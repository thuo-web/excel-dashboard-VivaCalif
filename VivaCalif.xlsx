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0D5A76FA-2C8B-457F-8302-445BE4B61998}" xr6:coauthVersionLast="47" xr6:coauthVersionMax="47" xr10:uidLastSave="{00000000-0000-0000-0000-000000000000}"/>
  <bookViews>
    <workbookView xWindow="-120" yWindow="-120" windowWidth="24240" windowHeight="13020" activeTab="1" xr2:uid="{D3648973-DD4B-4F27-866F-B3E1D28CA1B6}"/>
  </bookViews>
  <sheets>
    <sheet name="pivot" sheetId="5" r:id="rId1"/>
    <sheet name="Dashboard" sheetId="6" r:id="rId2"/>
    <sheet name="Sheet6" sheetId="10" r:id="rId3"/>
    <sheet name="Sheet8" sheetId="12" r:id="rId4"/>
    <sheet name="Data" sheetId="1" r:id="rId5"/>
    <sheet name="Sheet3" sheetId="7" r:id="rId6"/>
    <sheet name="Sheet5" sheetId="9" r:id="rId7"/>
    <sheet name="Sheet4" sheetId="8" r:id="rId8"/>
    <sheet name="Questions &amp; KPIs" sheetId="2" r:id="rId9"/>
  </sheets>
  <definedNames>
    <definedName name="_xlchart.v5.0" hidden="1">Sheet6!$K$3:$L$3</definedName>
    <definedName name="_xlchart.v5.1" hidden="1">Sheet6!$K$4:$L$62</definedName>
    <definedName name="_xlchart.v5.2" hidden="1">Sheet6!$M$3</definedName>
    <definedName name="_xlchart.v5.3" hidden="1">Sheet6!$M$4:$M$62</definedName>
    <definedName name="_xlchart.v5.4" hidden="1">Sheet6!$E$3:$F$3</definedName>
    <definedName name="_xlchart.v5.5" hidden="1">Sheet6!$E$4:$F$62</definedName>
    <definedName name="_xlchart.v5.6" hidden="1">Sheet6!$G$3</definedName>
    <definedName name="_xlchart.v5.7" hidden="1">Sheet6!$G$4:$G$62</definedName>
    <definedName name="_xlnm.Print_Area" localSheetId="1">Dashboard!$A$1:$AC$45</definedName>
    <definedName name="Slicer_Gender_Value">#N/A</definedName>
    <definedName name="Slicer_Order_Mode">#N/A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7" l="1"/>
  <c r="I5" i="7"/>
  <c r="J4" i="7"/>
  <c r="K4" i="7"/>
  <c r="L4" i="7"/>
  <c r="J5" i="7"/>
  <c r="K5" i="7"/>
  <c r="L5" i="7"/>
  <c r="H6" i="7"/>
  <c r="I6" i="7"/>
  <c r="J6" i="7"/>
  <c r="K6" i="7"/>
  <c r="L6" i="7"/>
  <c r="H7" i="7"/>
  <c r="I7" i="7"/>
  <c r="J7" i="7"/>
  <c r="K7" i="7"/>
  <c r="L7" i="7"/>
  <c r="H8" i="7"/>
  <c r="I8" i="7"/>
  <c r="J8" i="7"/>
  <c r="K8" i="7"/>
  <c r="L8" i="7"/>
  <c r="H9" i="7"/>
  <c r="I9" i="7"/>
  <c r="J9" i="7"/>
  <c r="K9" i="7"/>
  <c r="L9" i="7"/>
  <c r="H5" i="7"/>
  <c r="K4" i="5"/>
  <c r="J4" i="5"/>
  <c r="H4" i="5"/>
  <c r="I4" i="5"/>
  <c r="G4"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<sst xmlns="http://schemas.openxmlformats.org/spreadsheetml/2006/main" count="14798" uniqueCount="2541">
  <si>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</si>
  <si>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</si>
  <si>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</si>
  <si>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</si>
  <si>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</si>
  <si>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</si>
  <si>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</si>
  <si>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</si>
  <si>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</si>
  <si>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</si>
  <si>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</si>
  <si>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</si>
  <si>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</si>
  <si>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</si>
  <si>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</si>
  <si>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</si>
  <si>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</si>
  <si>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</si>
  <si>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</si>
  <si>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</si>
  <si>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</si>
  <si>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</si>
  <si>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</si>
  <si>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</si>
  <si>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</si>
  <si>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</si>
  <si>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</si>
  <si>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</si>
  <si>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</si>
  <si>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</si>
  <si>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</si>
  <si>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</si>
  <si>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</si>
  <si>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</si>
  <si>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</si>
  <si>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</si>
  <si>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</si>
  <si>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</si>
  <si>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</si>
  <si>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</si>
  <si>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</si>
  <si>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</si>
  <si>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</si>
  <si>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</si>
  <si>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</si>
  <si>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</si>
  <si>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</si>
  <si>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</si>
  <si>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</si>
  <si>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</si>
  <si>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</si>
  <si>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</si>
  <si>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</si>
  <si>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</si>
  <si>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</si>
  <si>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</si>
  <si>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</si>
  <si>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</si>
  <si>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</si>
  <si>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</si>
  <si>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</si>
  <si>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</si>
  <si>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</si>
  <si>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</si>
  <si>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</si>
  <si>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</si>
  <si>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</si>
  <si>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</si>
  <si>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</si>
  <si>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</si>
  <si>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</si>
  <si>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</si>
  <si>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</si>
  <si>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</si>
  <si>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</si>
  <si>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</si>
  <si>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</si>
  <si>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</si>
  <si>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</si>
  <si>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</si>
  <si>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</si>
  <si>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</si>
  <si>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</si>
  <si>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</si>
  <si>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</si>
  <si>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</si>
  <si>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</si>
  <si>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</si>
  <si>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</si>
  <si>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</si>
  <si>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</si>
  <si>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</si>
  <si>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</si>
  <si>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</si>
  <si>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</si>
  <si>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</si>
  <si>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</si>
  <si>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</si>
  <si>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</si>
  <si>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</si>
  <si>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</si>
  <si>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</si>
  <si>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</si>
  <si>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</si>
  <si>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</si>
  <si>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</si>
  <si>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</si>
  <si>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</si>
  <si>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</si>
  <si>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</si>
  <si>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</si>
  <si>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</si>
  <si>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</si>
  <si>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</si>
  <si>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</si>
  <si>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</si>
  <si>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</si>
  <si>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</si>
  <si>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</si>
  <si>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</si>
  <si>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</si>
  <si>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</si>
  <si>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</si>
  <si>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</si>
  <si>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</si>
  <si>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</si>
  <si>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</si>
  <si>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</si>
  <si>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</si>
  <si>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</si>
  <si>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</si>
  <si>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</si>
  <si>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</si>
  <si>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</si>
  <si>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</si>
  <si>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</si>
  <si>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</si>
  <si>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</si>
  <si>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</si>
  <si>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</si>
  <si>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</si>
  <si>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</si>
  <si>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</si>
  <si>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</si>
  <si>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</si>
  <si>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</si>
  <si>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</si>
  <si>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</si>
  <si>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</si>
  <si>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</si>
  <si>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</si>
  <si>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</si>
  <si>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</si>
  <si>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</si>
  <si>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</si>
  <si>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</si>
  <si>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</si>
  <si>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</si>
  <si>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</si>
  <si>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</si>
  <si>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</si>
  <si>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</si>
  <si>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</si>
  <si>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</si>
  <si>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</si>
  <si>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</si>
  <si>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</si>
  <si>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</si>
  <si>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</si>
  <si>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</si>
  <si>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</si>
  <si>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</si>
  <si>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</si>
  <si>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</si>
  <si>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</si>
  <si>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</si>
  <si>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</si>
  <si>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</si>
  <si>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</si>
  <si>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</si>
  <si>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</si>
  <si>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</si>
  <si>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</si>
  <si>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</si>
  <si>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</si>
  <si>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</si>
  <si>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</si>
  <si>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</si>
  <si>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</si>
  <si>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</si>
  <si>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</si>
  <si>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</si>
  <si>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</si>
  <si>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</si>
  <si>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</si>
  <si>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</si>
  <si>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</si>
  <si>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</si>
  <si>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</si>
  <si>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</si>
  <si>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</si>
  <si>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</si>
  <si>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</si>
  <si>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</si>
  <si>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</si>
  <si>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</si>
  <si>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</si>
  <si>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</si>
  <si>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</si>
  <si>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</si>
  <si>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</si>
  <si>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</si>
  <si>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</si>
  <si>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</si>
  <si>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</si>
  <si>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</si>
  <si>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</si>
  <si>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</si>
  <si>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</si>
  <si>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</si>
  <si>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</si>
  <si>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</si>
  <si>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</si>
  <si>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</si>
  <si>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</si>
  <si>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</si>
  <si>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</si>
  <si>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</si>
  <si>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</si>
  <si>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</si>
  <si>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</si>
  <si>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</si>
  <si>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</si>
  <si>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</si>
  <si>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</si>
  <si>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</si>
  <si>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</si>
  <si>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</si>
  <si>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</si>
  <si>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</si>
  <si>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</si>
  <si>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</si>
  <si>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</si>
  <si>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</si>
  <si>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</si>
  <si>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</si>
  <si>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</si>
  <si>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</si>
  <si>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</si>
  <si>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</si>
  <si>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</si>
  <si>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</si>
  <si>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</si>
  <si>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</si>
  <si>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</si>
  <si>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</si>
  <si>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</si>
  <si>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</si>
  <si>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</si>
  <si>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</si>
  <si>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</si>
  <si>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</si>
  <si>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</si>
  <si>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</si>
  <si>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</si>
  <si>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</si>
  <si>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</si>
  <si>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</si>
  <si>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</si>
  <si>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</si>
  <si>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</si>
  <si>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</si>
  <si>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</si>
  <si>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</si>
  <si>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</si>
  <si>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</si>
  <si>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</si>
  <si>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</si>
  <si>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</si>
  <si>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</si>
  <si>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</si>
  <si>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</si>
  <si>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</si>
  <si>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</si>
  <si>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</si>
  <si>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</si>
  <si>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</si>
  <si>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</si>
  <si>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</si>
  <si>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</si>
  <si>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</si>
  <si>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</si>
  <si>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</si>
  <si>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</si>
  <si>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</si>
  <si>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</si>
  <si>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</si>
  <si>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</si>
  <si>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</si>
  <si>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</si>
  <si>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</si>
  <si>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</si>
  <si>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</si>
  <si>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</si>
  <si>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</si>
  <si>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</si>
  <si>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</si>
  <si>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</si>
  <si>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</si>
  <si>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</si>
  <si>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</si>
  <si>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</si>
  <si>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</si>
  <si>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</si>
  <si>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</si>
  <si>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</si>
  <si>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</si>
  <si>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</si>
  <si>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</si>
  <si>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</si>
  <si>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</si>
  <si>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</si>
  <si>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</si>
  <si>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</si>
  <si>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</si>
  <si>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</si>
  <si>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</si>
  <si>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</si>
  <si>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</si>
  <si>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</si>
  <si>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</si>
  <si>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</si>
  <si>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</si>
  <si>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</si>
  <si>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</si>
  <si>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</si>
  <si>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</si>
  <si>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</si>
  <si>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</si>
  <si>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</si>
  <si>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</si>
  <si>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</si>
  <si>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</si>
  <si>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</si>
  <si>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</si>
  <si>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</si>
  <si>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</si>
  <si>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</si>
  <si>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</si>
  <si>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</si>
  <si>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</si>
  <si>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</si>
  <si>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</si>
  <si>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</si>
  <si>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</si>
  <si>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</si>
  <si>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</si>
  <si>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</si>
  <si>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</si>
  <si>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</si>
  <si>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</si>
  <si>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</si>
  <si>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</si>
  <si>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</si>
  <si>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</si>
  <si>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</si>
  <si>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</si>
  <si>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</si>
  <si>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</si>
  <si>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</si>
  <si>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</si>
  <si>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</si>
  <si>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</si>
  <si>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</si>
  <si>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</si>
  <si>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</si>
  <si>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</si>
  <si>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</si>
  <si>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</si>
  <si>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</si>
  <si>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</si>
  <si>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</si>
  <si>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</si>
  <si>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</si>
  <si>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</si>
  <si>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</si>
  <si>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</si>
  <si>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</si>
  <si>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</si>
  <si>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</si>
  <si>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</si>
  <si>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</si>
  <si>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</si>
  <si>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</si>
  <si>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</si>
  <si>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</si>
  <si>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</si>
  <si>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</si>
  <si>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</si>
  <si>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</si>
  <si>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</si>
  <si>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</si>
  <si>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</si>
  <si>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</si>
  <si>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</si>
  <si>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</si>
  <si>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</si>
  <si>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</si>
  <si>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</si>
  <si>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</si>
  <si>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</si>
  <si>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</si>
  <si>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</si>
  <si>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</si>
  <si>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</si>
  <si>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</si>
  <si>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</si>
  <si>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</si>
  <si>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</si>
  <si>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</si>
  <si>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</si>
  <si>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</si>
  <si>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</si>
  <si>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</si>
  <si>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</si>
  <si>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</si>
  <si>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</si>
  <si>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</si>
  <si>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</si>
  <si>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</si>
  <si>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</si>
  <si>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</si>
  <si>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</si>
  <si>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</si>
  <si>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</si>
  <si>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</si>
  <si>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</si>
  <si>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</si>
  <si>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</si>
  <si>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</si>
  <si>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</si>
  <si>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</si>
  <si>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</si>
  <si>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</si>
  <si>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</si>
  <si>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</si>
  <si>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</si>
  <si>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</si>
  <si>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</si>
  <si>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</si>
  <si>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</si>
  <si>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</si>
  <si>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</si>
  <si>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</si>
  <si>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</si>
  <si>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</si>
  <si>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</si>
  <si>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</si>
  <si>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</si>
  <si>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</si>
  <si>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</si>
  <si>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</si>
  <si>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</si>
  <si>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</si>
  <si>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</si>
  <si>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</si>
  <si>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</si>
  <si>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</si>
  <si>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</si>
  <si>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</si>
  <si>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</si>
  <si>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</si>
  <si>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</si>
  <si>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</si>
  <si>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</si>
  <si>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</si>
  <si>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</si>
  <si>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</si>
  <si>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</si>
  <si>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</si>
  <si>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</si>
  <si>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</si>
  <si>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</si>
  <si>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</si>
  <si>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</si>
  <si>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</si>
  <si>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</si>
  <si>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</si>
  <si>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</si>
  <si>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</si>
  <si>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</si>
  <si>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</si>
  <si>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</si>
  <si>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</si>
  <si>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</si>
  <si>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</si>
  <si>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</si>
  <si>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</si>
  <si>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</si>
  <si>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</si>
  <si>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</si>
  <si>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</si>
  <si>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</si>
  <si>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</si>
  <si>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</si>
  <si>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</si>
  <si>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</si>
  <si>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</si>
  <si>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</si>
  <si>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</si>
  <si>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</si>
  <si>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</si>
  <si>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</si>
  <si>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</si>
  <si>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</si>
  <si>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</si>
  <si>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</si>
  <si>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</si>
  <si>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</si>
  <si>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</si>
  <si>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</si>
  <si>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</si>
  <si>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</si>
  <si>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</si>
  <si>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</si>
  <si>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</si>
  <si>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</si>
  <si>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</si>
  <si>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</si>
  <si>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</si>
  <si>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</si>
  <si>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</si>
  <si>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</si>
  <si>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</si>
  <si>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</si>
  <si>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</si>
  <si>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</si>
  <si>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</si>
  <si>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</si>
  <si>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</si>
  <si>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</si>
  <si>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</si>
  <si>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</si>
  <si>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</si>
  <si>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</si>
  <si>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</si>
  <si>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</si>
  <si>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</si>
  <si>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</si>
  <si>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</si>
  <si>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</si>
  <si>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</si>
  <si>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</si>
  <si>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</si>
  <si>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</si>
  <si>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</si>
  <si>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</si>
  <si>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</si>
  <si>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</si>
  <si>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</si>
  <si>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</si>
  <si>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</si>
  <si>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</si>
  <si>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</si>
  <si>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</si>
  <si>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</si>
  <si>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</si>
  <si>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</si>
  <si>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</si>
  <si>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</si>
  <si>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</si>
  <si>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</si>
  <si>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</si>
  <si>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</si>
  <si>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</si>
  <si>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</si>
  <si>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</si>
  <si>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</si>
  <si>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</si>
  <si>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</si>
  <si>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</si>
  <si>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</si>
  <si>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</si>
  <si>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</si>
  <si>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</si>
  <si>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</si>
  <si>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</si>
  <si>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</si>
  <si>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</si>
  <si>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</si>
  <si>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</si>
  <si>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</si>
  <si>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</si>
  <si>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</si>
  <si>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</si>
  <si>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</si>
  <si>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</si>
  <si>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</si>
  <si>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</si>
  <si>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</si>
  <si>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</si>
  <si>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</si>
  <si>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</si>
  <si>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</si>
  <si>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</si>
  <si>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</si>
  <si>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</si>
  <si>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</si>
  <si>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</si>
  <si>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</si>
  <si>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</si>
  <si>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</si>
  <si>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</si>
  <si>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</si>
  <si>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</si>
  <si>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</si>
  <si>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</si>
  <si>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</si>
  <si>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</si>
  <si>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</si>
  <si>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</si>
  <si>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</si>
  <si>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</si>
  <si>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</si>
  <si>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</si>
  <si>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</si>
  <si>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</si>
  <si>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</si>
  <si>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</si>
  <si>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</si>
  <si>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</si>
  <si>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</si>
  <si>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</si>
  <si>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</si>
  <si>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</si>
  <si>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</si>
  <si>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</si>
  <si>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</si>
  <si>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</si>
  <si>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</si>
  <si>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</si>
  <si>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</si>
  <si>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</si>
  <si>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</si>
  <si>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</si>
  <si>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</si>
  <si>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</si>
  <si>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</si>
  <si>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</si>
  <si>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</si>
  <si>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</si>
  <si>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</si>
  <si>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</si>
  <si>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</si>
  <si>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</si>
  <si>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</si>
  <si>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</si>
  <si>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</si>
  <si>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</si>
  <si>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</si>
  <si>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</si>
  <si>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</si>
  <si>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</si>
  <si>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</si>
  <si>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</si>
  <si>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</si>
  <si>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</si>
  <si>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</si>
  <si>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</si>
  <si>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</si>
  <si>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</si>
  <si>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</si>
  <si>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</si>
  <si>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</si>
  <si>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</si>
  <si>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</si>
  <si>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</si>
  <si>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</si>
  <si>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</si>
  <si>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</si>
  <si>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</si>
  <si>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</si>
  <si>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</si>
  <si>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</si>
  <si>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</si>
  <si>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</si>
  <si>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</si>
  <si>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</si>
  <si>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</si>
  <si>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</si>
  <si>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</si>
  <si>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</si>
  <si>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</si>
  <si>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</si>
  <si>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</si>
  <si>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</si>
  <si>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</si>
  <si>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</si>
  <si>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</si>
  <si>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</si>
  <si>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</si>
  <si>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</si>
  <si>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</si>
  <si>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</si>
  <si>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</si>
  <si>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</si>
  <si>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</si>
  <si>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</si>
  <si>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</si>
  <si>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</si>
  <si>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</si>
  <si>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</si>
  <si>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</si>
  <si>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</si>
  <si>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</si>
  <si>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</si>
  <si>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</si>
  <si>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</si>
  <si>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</si>
  <si>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</si>
  <si>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</si>
  <si>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</si>
  <si>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</si>
  <si>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</si>
  <si>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</si>
  <si>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</si>
  <si>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</si>
  <si>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</si>
  <si>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</si>
  <si>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</si>
  <si>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</si>
  <si>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</si>
  <si>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</si>
  <si>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</si>
  <si>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</si>
  <si>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</si>
  <si>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</si>
  <si>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</si>
  <si>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</si>
  <si>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</si>
  <si>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</si>
  <si>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</si>
  <si>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</si>
  <si>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</si>
  <si>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</si>
  <si>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</si>
  <si>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</si>
  <si>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</si>
  <si>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</si>
  <si>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</si>
  <si>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</si>
  <si>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</si>
  <si>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</si>
  <si>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</si>
  <si>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</si>
  <si>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</si>
  <si>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</si>
  <si>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</si>
  <si>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</si>
  <si>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</si>
  <si>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</si>
  <si>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</si>
  <si>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</si>
  <si>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</si>
  <si>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</si>
  <si>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</si>
  <si>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</si>
  <si>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</si>
  <si>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</si>
  <si>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</si>
  <si>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</si>
  <si>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</si>
  <si>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</si>
  <si>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</si>
  <si>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</si>
  <si>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</si>
  <si>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</si>
  <si>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</si>
  <si>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</si>
  <si>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</si>
  <si>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</si>
  <si>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</si>
  <si>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</si>
  <si>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</si>
  <si>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</si>
  <si>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</si>
  <si>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</si>
  <si>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</si>
  <si>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</si>
  <si>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</si>
  <si>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</si>
  <si>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</si>
  <si>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</si>
  <si>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</si>
  <si>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</si>
  <si>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</si>
  <si>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</si>
  <si>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</si>
  <si>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</si>
  <si>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</si>
  <si>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</si>
  <si>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</si>
  <si>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</si>
  <si>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</si>
  <si>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</si>
  <si>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</si>
  <si>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</si>
  <si>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</si>
  <si>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</si>
  <si>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</si>
  <si>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</si>
  <si>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</si>
  <si>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</si>
  <si>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</si>
  <si>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</si>
  <si>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</si>
  <si>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</si>
  <si>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</si>
  <si>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</si>
  <si>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</si>
  <si>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</si>
  <si>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</si>
  <si>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</si>
  <si>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</si>
  <si>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</si>
  <si>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</si>
  <si>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</si>
  <si>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</si>
  <si>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</si>
  <si>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</si>
  <si>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</si>
  <si>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</si>
  <si>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</si>
  <si>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</si>
  <si>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</si>
  <si>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</si>
  <si>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</si>
  <si>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</si>
  <si>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</si>
  <si>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</si>
  <si>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</si>
  <si>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</si>
  <si>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</si>
  <si>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</si>
  <si>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</si>
  <si>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</si>
  <si>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</si>
  <si>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</si>
  <si>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</si>
  <si>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</si>
  <si>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</si>
  <si>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</si>
  <si>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</si>
  <si>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</si>
  <si>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</si>
  <si>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</si>
  <si>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</si>
  <si>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</si>
  <si>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</si>
  <si>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</si>
  <si>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</si>
  <si>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</si>
  <si>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</si>
  <si>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</si>
  <si>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</si>
  <si>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</si>
  <si>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</si>
  <si>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</si>
  <si>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</si>
  <si>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</si>
  <si>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</si>
  <si>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</si>
  <si>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</si>
  <si>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</si>
  <si>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</si>
  <si>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</si>
  <si>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</si>
  <si>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</si>
  <si>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</si>
  <si>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</si>
  <si>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</si>
  <si>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</si>
  <si>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</si>
  <si>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</si>
  <si>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</si>
  <si>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</si>
  <si>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</si>
  <si>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</si>
  <si>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</si>
  <si>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</si>
  <si>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</si>
  <si>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</si>
  <si>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</si>
  <si>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</si>
  <si>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</si>
  <si>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</si>
  <si>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</si>
  <si>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</si>
  <si>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</si>
  <si>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</si>
  <si>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</si>
  <si>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</si>
  <si>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</si>
  <si>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</si>
  <si>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</si>
  <si>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</si>
  <si>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</si>
  <si>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</si>
  <si>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</si>
  <si>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</si>
  <si>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</si>
  <si>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</si>
  <si>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</si>
  <si>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</si>
  <si>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</si>
  <si>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</si>
  <si>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</si>
  <si>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</si>
  <si>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</si>
  <si>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</si>
  <si>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</si>
  <si>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</si>
  <si>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</si>
  <si>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</si>
  <si>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</si>
  <si>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</si>
  <si>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</si>
  <si>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</si>
  <si>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</si>
  <si>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</si>
  <si>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</si>
  <si>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</si>
  <si>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</si>
  <si>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</si>
  <si>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</si>
  <si>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</si>
  <si>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</si>
  <si>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</si>
  <si>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</si>
  <si>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</si>
  <si>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</si>
  <si>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</si>
  <si>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</si>
  <si>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</si>
  <si>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</si>
  <si>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</si>
  <si>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</si>
  <si>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</si>
  <si>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</si>
  <si>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</si>
  <si>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</si>
  <si>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</si>
  <si>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</si>
  <si>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</si>
  <si>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</si>
  <si>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</si>
  <si>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</si>
  <si>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</si>
  <si>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</si>
  <si>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</si>
  <si>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</si>
  <si>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</si>
  <si>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</si>
  <si>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</si>
  <si>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</si>
  <si>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</si>
  <si>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</si>
  <si>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</si>
  <si>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</si>
  <si>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</si>
  <si>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</si>
  <si>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</si>
  <si>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</si>
  <si>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</si>
  <si>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</si>
  <si>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</si>
  <si>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</si>
  <si>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</si>
  <si>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</si>
  <si>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</si>
  <si>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</si>
  <si>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</si>
  <si>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</si>
  <si>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</si>
  <si>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</si>
  <si>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</si>
  <si>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</si>
  <si>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</si>
  <si>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</si>
  <si>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</si>
  <si>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</si>
  <si>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</si>
  <si>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</si>
  <si>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</si>
  <si>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</si>
  <si>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</si>
  <si>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</si>
  <si>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</si>
  <si>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</si>
  <si>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</si>
  <si>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</si>
  <si>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</si>
  <si>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</si>
  <si>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</si>
  <si>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</si>
  <si>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</si>
  <si>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</si>
  <si>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</si>
  <si>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</si>
  <si>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</si>
  <si>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</si>
  <si>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</si>
  <si>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</si>
  <si>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</si>
  <si>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</si>
  <si>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</si>
  <si>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</si>
  <si>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</si>
  <si>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</si>
  <si>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</si>
  <si>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</si>
  <si>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</si>
  <si>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</si>
  <si>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</si>
  <si>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</si>
  <si>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</si>
  <si>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</si>
  <si>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</si>
  <si>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</si>
  <si>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</si>
  <si>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</si>
  <si>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</si>
  <si>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</si>
  <si>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</si>
  <si>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</si>
  <si>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</si>
  <si>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</si>
  <si>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</si>
  <si>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</si>
  <si>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</si>
  <si>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</si>
  <si>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</si>
  <si>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</si>
  <si>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</si>
  <si>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</si>
  <si>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</si>
  <si>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</si>
  <si>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</si>
  <si>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</si>
  <si>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</si>
  <si>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</si>
  <si>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</si>
  <si>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</si>
  <si>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</si>
  <si>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</si>
  <si>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</si>
  <si>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</si>
  <si>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</si>
  <si>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</si>
  <si>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</si>
  <si>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</si>
  <si>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</si>
  <si>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</si>
  <si>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</si>
  <si>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</si>
  <si>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</si>
  <si>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</si>
  <si>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</si>
  <si>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</si>
  <si>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</si>
  <si>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</si>
  <si>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</si>
  <si>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</si>
  <si>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</si>
  <si>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</si>
  <si>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</si>
  <si>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</si>
  <si>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</si>
  <si>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</si>
  <si>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</si>
  <si>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</si>
  <si>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</si>
  <si>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</si>
  <si>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</si>
  <si>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</si>
  <si>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</si>
  <si>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</si>
  <si>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</si>
  <si>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</si>
  <si>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</si>
  <si>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</si>
  <si>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</si>
  <si>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</si>
  <si>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</si>
  <si>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</si>
  <si>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</si>
  <si>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</si>
  <si>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</si>
  <si>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</si>
  <si>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</si>
  <si>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</si>
  <si>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</si>
  <si>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</si>
  <si>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</si>
  <si>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</si>
  <si>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</si>
  <si>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</si>
  <si>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</si>
  <si>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</si>
  <si>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</si>
  <si>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</si>
  <si>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</si>
  <si>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</si>
  <si>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</si>
  <si>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</si>
  <si>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</si>
  <si>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</si>
  <si>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</si>
  <si>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</si>
  <si>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</si>
  <si>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</si>
  <si>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</si>
  <si>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</si>
  <si>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</si>
  <si>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</si>
  <si>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</si>
  <si>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</si>
  <si>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</si>
  <si>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</si>
  <si>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</si>
  <si>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</si>
  <si>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</si>
  <si>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</si>
  <si>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</si>
  <si>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</si>
  <si>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</si>
  <si>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</si>
  <si>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</si>
  <si>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</si>
  <si>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</si>
  <si>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</si>
  <si>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</si>
  <si>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</si>
  <si>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</si>
  <si>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</si>
  <si>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</si>
  <si>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</si>
  <si>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</si>
  <si>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</si>
  <si>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</si>
  <si>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</si>
  <si>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</si>
  <si>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</si>
  <si>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</si>
  <si>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</si>
  <si>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</si>
  <si>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</si>
  <si>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</si>
  <si>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</si>
  <si>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</si>
  <si>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</si>
  <si>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</si>
  <si>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</si>
  <si>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</si>
  <si>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</si>
  <si>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</si>
  <si>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</si>
  <si>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</si>
  <si>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</si>
  <si>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</si>
  <si>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</si>
  <si>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</si>
  <si>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</si>
  <si>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</si>
  <si>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</si>
  <si>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</si>
  <si>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</si>
  <si>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</si>
  <si>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</si>
  <si>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</si>
  <si>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</si>
  <si>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</si>
  <si>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</si>
  <si>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</si>
  <si>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</si>
  <si>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</si>
  <si>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</si>
  <si>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</si>
  <si>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</si>
  <si>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</si>
  <si>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</si>
  <si>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</si>
  <si>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</si>
  <si>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</si>
  <si>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</si>
  <si>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</si>
  <si>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</si>
  <si>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</si>
  <si>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</si>
  <si>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</si>
  <si>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</si>
  <si>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</si>
  <si>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</si>
  <si>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</si>
  <si>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</si>
  <si>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</si>
  <si>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</si>
  <si>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</si>
  <si>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</si>
  <si>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</si>
  <si>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</si>
  <si>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</si>
  <si>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</si>
  <si>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</si>
  <si>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</si>
  <si>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</si>
  <si>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</si>
  <si>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</si>
  <si>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</si>
  <si>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</si>
  <si>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</si>
  <si>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</si>
  <si>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</si>
  <si>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</si>
  <si>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</si>
  <si>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</si>
  <si>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</si>
  <si>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</si>
  <si>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</si>
  <si>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</si>
  <si>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</si>
  <si>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</si>
  <si>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</si>
  <si>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</si>
  <si>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</si>
  <si>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</si>
  <si>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</si>
  <si>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</si>
  <si>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</si>
  <si>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</si>
  <si>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</si>
  <si>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</si>
  <si>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</si>
  <si>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</si>
  <si>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</si>
  <si>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</si>
  <si>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</si>
  <si>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</si>
  <si>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</si>
  <si>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</si>
  <si>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</si>
  <si>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</si>
  <si>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</si>
  <si>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</si>
  <si>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</si>
  <si>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</si>
  <si>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</si>
  <si>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</si>
  <si>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</si>
  <si>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</si>
  <si>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</si>
  <si>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</si>
  <si>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</si>
  <si>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</si>
  <si>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</si>
  <si>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</si>
  <si>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</si>
  <si>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</si>
  <si>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</si>
  <si>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</si>
  <si>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</si>
  <si>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</si>
  <si>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</si>
  <si>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</si>
  <si>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</si>
  <si>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</si>
  <si>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</si>
  <si>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</si>
  <si>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</si>
  <si>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</si>
  <si>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</si>
  <si>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</si>
  <si>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</si>
  <si>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</si>
  <si>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</si>
  <si>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</si>
  <si>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</si>
  <si>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</si>
  <si>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</si>
  <si>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</si>
  <si>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</si>
  <si>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</si>
  <si>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</si>
  <si>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</si>
  <si>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</si>
  <si>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</si>
  <si>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</si>
  <si>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</si>
  <si>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</si>
  <si>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</si>
  <si>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</si>
  <si>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</si>
  <si>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</si>
  <si>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</si>
  <si>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</si>
  <si>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</si>
  <si>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</si>
  <si>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</si>
  <si>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</si>
  <si>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</si>
  <si>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</si>
  <si>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</si>
  <si>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</si>
  <si>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</si>
  <si>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</si>
  <si>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</si>
  <si>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</si>
  <si>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</si>
  <si>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</si>
  <si>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</si>
  <si>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</si>
  <si>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</si>
  <si>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</si>
  <si>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</si>
  <si>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</si>
  <si>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</si>
  <si>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</si>
  <si>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</si>
  <si>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</si>
  <si>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</si>
  <si>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</si>
  <si>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</si>
  <si>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</si>
  <si>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</si>
  <si>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</si>
  <si>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</si>
  <si>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</si>
  <si>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</si>
  <si>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</si>
  <si>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</si>
  <si>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</si>
  <si>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</si>
  <si>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</si>
  <si>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</si>
  <si>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</si>
  <si>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</si>
  <si>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</si>
  <si>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</si>
  <si>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</si>
  <si>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</si>
  <si>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</si>
  <si>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</si>
  <si>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</si>
  <si>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</si>
  <si>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</si>
  <si>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</si>
  <si>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</si>
  <si>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</si>
  <si>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</si>
  <si>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</si>
  <si>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</si>
  <si>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</si>
  <si>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</si>
  <si>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</si>
  <si>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</si>
  <si>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</si>
  <si>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</si>
  <si>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</si>
  <si>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</si>
  <si>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</si>
  <si>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</si>
  <si>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</si>
  <si>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</si>
  <si>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</si>
  <si>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</si>
  <si>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</si>
  <si>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</si>
  <si>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</si>
  <si>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</si>
  <si>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</si>
  <si>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</si>
  <si>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</si>
  <si>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</si>
  <si>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</si>
  <si>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</si>
  <si>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</si>
  <si>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</si>
  <si>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</si>
  <si>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</si>
  <si>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</si>
  <si>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</si>
  <si>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</si>
  <si>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</si>
  <si>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</si>
  <si>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</si>
  <si>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</si>
  <si>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</si>
  <si>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</si>
  <si>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</si>
  <si>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</si>
  <si>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</si>
  <si>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</si>
  <si>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</si>
  <si>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</si>
  <si>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</si>
  <si>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</si>
  <si>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</si>
  <si>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</si>
  <si>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</si>
  <si>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</si>
  <si>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</si>
  <si>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</si>
  <si>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</si>
  <si>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</si>
  <si>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</si>
  <si>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</si>
  <si>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</si>
  <si>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</si>
  <si>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</si>
  <si>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</si>
  <si>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</si>
  <si>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</si>
  <si>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</si>
  <si>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</si>
  <si>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</si>
  <si>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</si>
  <si>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</si>
  <si>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</si>
  <si>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</si>
  <si>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</si>
  <si>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</si>
  <si>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</si>
  <si>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</si>
  <si>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</si>
  <si>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</si>
  <si>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</si>
  <si>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</si>
  <si>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</si>
  <si>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</si>
  <si>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</si>
  <si>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</si>
  <si>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</si>
  <si>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</si>
  <si>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</si>
  <si>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</si>
  <si>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</si>
  <si>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</si>
  <si>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</si>
  <si>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</si>
  <si>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</si>
  <si>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</si>
  <si>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</si>
  <si>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</si>
  <si>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</si>
  <si>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</si>
  <si>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</si>
  <si>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</si>
  <si>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</si>
  <si>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</si>
  <si>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</si>
  <si>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</si>
  <si>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</si>
  <si>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</si>
  <si>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</si>
  <si>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</si>
  <si>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</si>
  <si>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</si>
  <si>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</si>
  <si>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</si>
  <si>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</si>
  <si>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</si>
  <si>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</si>
  <si>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</si>
  <si>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</si>
  <si>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</si>
  <si>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</si>
  <si>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</si>
  <si>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</si>
  <si>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</si>
  <si>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</si>
  <si>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</si>
  <si>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</si>
  <si>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</si>
  <si>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</si>
  <si>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</si>
  <si>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</si>
  <si>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</si>
  <si>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</si>
  <si>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</si>
  <si>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</si>
  <si>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</si>
  <si>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</si>
  <si>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</si>
  <si>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</si>
  <si>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</si>
  <si>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</si>
  <si>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</si>
  <si>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</si>
  <si>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</si>
  <si>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</si>
  <si>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</si>
  <si>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</si>
  <si>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</si>
  <si>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</si>
  <si>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</si>
  <si>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</si>
  <si>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</si>
  <si>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</si>
  <si>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</si>
  <si>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</si>
  <si>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</si>
  <si>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</si>
  <si>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</si>
  <si>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</si>
  <si>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</si>
  <si>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</si>
  <si>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</si>
  <si>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</si>
  <si>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</si>
  <si>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</si>
  <si>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</si>
  <si>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</si>
  <si>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</si>
  <si>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</si>
  <si>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</si>
  <si>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</si>
  <si>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</si>
  <si>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</si>
  <si>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</si>
  <si>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</si>
  <si>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</si>
  <si>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</si>
  <si>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</si>
  <si>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</si>
  <si>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</si>
  <si>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</si>
  <si>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</si>
  <si>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</si>
  <si>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</si>
  <si>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</si>
  <si>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</si>
  <si>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</si>
  <si>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</si>
  <si>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</si>
  <si>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</si>
  <si>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</si>
  <si>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</si>
  <si>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</si>
  <si>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</si>
  <si>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</si>
  <si>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</si>
  <si>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</si>
  <si>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</si>
  <si>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</si>
  <si>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</si>
  <si>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</si>
  <si>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</si>
  <si>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</si>
  <si>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</si>
  <si>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</si>
  <si>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</si>
  <si>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</si>
  <si>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</si>
  <si>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</si>
  <si>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</si>
  <si>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</si>
  <si>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</si>
  <si>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</si>
  <si>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</si>
  <si>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</si>
  <si>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</si>
  <si>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</si>
  <si>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</si>
  <si>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</si>
  <si>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</si>
  <si>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</si>
  <si>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</si>
  <si>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</si>
  <si>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</si>
  <si>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</si>
  <si>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</si>
  <si>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</si>
  <si>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</si>
  <si>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</si>
  <si>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</si>
  <si>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</si>
  <si>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</si>
  <si>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</si>
  <si>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</si>
  <si>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</si>
  <si>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</si>
  <si>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</si>
  <si>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</si>
  <si>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</si>
  <si>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</si>
  <si>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</si>
  <si>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</si>
  <si>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</si>
  <si>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</si>
  <si>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</si>
  <si>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</si>
  <si>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</si>
  <si>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</si>
  <si>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</si>
  <si>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</si>
  <si>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</si>
  <si>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</si>
  <si>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</si>
  <si>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</si>
  <si>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</si>
  <si>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</si>
  <si>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</si>
  <si>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</si>
  <si>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</si>
  <si>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</si>
  <si>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</si>
  <si>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</si>
  <si>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</si>
  <si>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</si>
  <si>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</si>
  <si>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</si>
  <si>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</si>
  <si>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</si>
  <si>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</si>
  <si>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</si>
  <si>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</si>
  <si>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</si>
  <si>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</si>
  <si>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</si>
  <si>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</si>
  <si>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</si>
  <si>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</si>
  <si>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</si>
  <si>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</si>
  <si>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</si>
  <si>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</si>
  <si>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</si>
  <si>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</si>
  <si>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</si>
  <si>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</si>
  <si>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</si>
  <si>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</si>
  <si>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</si>
  <si>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</si>
  <si>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</si>
  <si>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</si>
  <si>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</si>
  <si>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</si>
  <si>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</si>
  <si>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</si>
  <si>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</si>
  <si>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</si>
  <si>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</si>
  <si>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</si>
  <si>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</si>
  <si>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</si>
  <si>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</si>
  <si>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</si>
  <si>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</si>
  <si>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</si>
  <si>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</si>
  <si>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</si>
  <si>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</si>
  <si>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</si>
  <si>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</si>
  <si>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</si>
  <si>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</si>
  <si>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</si>
  <si>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</si>
  <si>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</si>
  <si>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</si>
  <si>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</si>
  <si>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</si>
  <si>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</si>
  <si>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</si>
  <si>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</si>
  <si>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</si>
  <si>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</si>
  <si>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</si>
  <si>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</si>
  <si>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</si>
  <si>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</si>
  <si>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</si>
  <si>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</si>
  <si>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</si>
  <si>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</si>
  <si>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</si>
  <si>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</si>
  <si>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</si>
  <si>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</si>
  <si>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</si>
  <si>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</si>
  <si>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</si>
  <si>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</si>
  <si>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</si>
  <si>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</si>
  <si>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</si>
  <si>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</si>
  <si>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</si>
  <si>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</si>
  <si>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</si>
  <si>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</si>
  <si>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</si>
  <si>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</si>
  <si>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</si>
  <si>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</si>
  <si>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</si>
  <si>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</si>
  <si>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</si>
  <si>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</si>
  <si>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</si>
  <si>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</si>
  <si>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</si>
  <si>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</si>
  <si>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</si>
  <si>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</si>
  <si>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</si>
  <si>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</si>
  <si>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</si>
  <si>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</si>
  <si>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</si>
  <si>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</si>
  <si>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</si>
  <si>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</si>
  <si>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</si>
  <si>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</si>
  <si>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</si>
  <si>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</si>
  <si>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</si>
  <si>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</si>
  <si>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</si>
  <si>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</si>
  <si>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</si>
  <si>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</si>
  <si>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</si>
  <si>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</si>
  <si>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</si>
  <si>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</si>
  <si>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</si>
  <si>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</si>
  <si>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</si>
  <si>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</si>
  <si>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</si>
  <si>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</si>
  <si>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</si>
  <si>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</si>
  <si>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</si>
  <si>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</si>
  <si>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</si>
  <si>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</si>
  <si>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</si>
  <si>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</si>
  <si>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</si>
  <si>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</si>
  <si>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</si>
  <si>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</si>
  <si>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</si>
  <si>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</si>
  <si>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</si>
  <si>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</si>
  <si>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</si>
  <si>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</si>
  <si>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</si>
  <si>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</si>
  <si>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</si>
  <si>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</si>
  <si>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</si>
  <si>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</si>
  <si>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</si>
  <si>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</si>
  <si>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</si>
  <si>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</si>
  <si>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</si>
  <si>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</si>
  <si>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</si>
  <si>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</si>
  <si>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</si>
  <si>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</si>
  <si>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</si>
  <si>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</si>
  <si>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</si>
  <si>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</si>
  <si>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</si>
  <si>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</si>
  <si>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</si>
  <si>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</si>
  <si>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</si>
  <si>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</si>
  <si>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</si>
  <si>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</si>
  <si>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</si>
  <si>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</si>
  <si>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</si>
  <si>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</si>
  <si>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</si>
  <si>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</si>
  <si>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</si>
  <si>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</si>
  <si>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</si>
  <si>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</si>
  <si>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</si>
  <si>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</si>
  <si>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</si>
  <si>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</si>
  <si>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</si>
  <si>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</si>
  <si>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</si>
  <si>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</si>
  <si>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</si>
  <si>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</si>
  <si>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</si>
  <si>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</si>
  <si>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</si>
  <si>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</si>
  <si>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</si>
  <si>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</si>
  <si>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</si>
  <si>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</si>
  <si>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</si>
  <si>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</si>
  <si>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</si>
  <si>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</si>
  <si>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</si>
  <si>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</si>
  <si>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</si>
  <si>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</si>
  <si>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</si>
  <si>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</si>
  <si>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</si>
  <si>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</si>
  <si>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</si>
  <si>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</si>
  <si>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</si>
  <si>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</si>
  <si>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</si>
  <si>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</si>
  <si>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</si>
  <si>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</si>
  <si>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</si>
  <si>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</si>
  <si>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</si>
  <si>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</si>
  <si>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</si>
  <si>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</si>
  <si>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</si>
  <si>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</si>
  <si>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</si>
  <si>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</si>
  <si>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</si>
  <si>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</si>
  <si>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</si>
  <si>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</si>
  <si>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</si>
  <si>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</si>
  <si>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</si>
  <si>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</si>
  <si>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</si>
  <si>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</si>
  <si>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</si>
  <si>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</si>
  <si>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</si>
  <si>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</si>
  <si>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</si>
  <si>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</si>
  <si>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</si>
  <si>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</si>
  <si>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</si>
  <si>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</si>
  <si>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</si>
  <si>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</si>
  <si>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</si>
  <si>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</si>
  <si>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</si>
  <si>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</si>
  <si>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</si>
  <si>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</si>
  <si>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</si>
  <si>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</si>
  <si>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</si>
  <si>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</si>
  <si>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</si>
  <si>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</si>
  <si>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</si>
  <si>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</si>
  <si>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</si>
  <si>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</si>
  <si>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</si>
  <si>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</si>
  <si>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</si>
  <si>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</si>
  <si>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</si>
  <si>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</si>
  <si>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</si>
  <si>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</si>
  <si>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</si>
  <si>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</si>
  <si>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</si>
  <si>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</si>
  <si>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</si>
  <si>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</si>
  <si>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</si>
  <si>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</si>
  <si>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</si>
  <si>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</si>
  <si>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</si>
  <si>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</si>
  <si>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</si>
  <si>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</si>
  <si>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</si>
  <si>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</si>
  <si>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</si>
  <si>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</si>
  <si>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</si>
  <si>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</si>
  <si>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</si>
  <si>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</si>
  <si>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</si>
  <si>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</si>
  <si>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</si>
  <si>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</si>
  <si>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</si>
  <si>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</si>
  <si>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</si>
  <si>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</si>
  <si>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</si>
  <si>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</si>
  <si>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</si>
  <si>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</si>
  <si>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</si>
  <si>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</si>
  <si>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</si>
  <si>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</si>
  <si>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</si>
  <si>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</si>
  <si>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</si>
  <si>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</si>
  <si>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</si>
  <si>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</si>
  <si>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</si>
  <si>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</si>
  <si>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</si>
  <si>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</si>
  <si>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</si>
  <si>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</si>
  <si>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</si>
  <si>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</si>
  <si>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</si>
  <si>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</si>
  <si>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</si>
  <si>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</si>
  <si>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</si>
  <si>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</si>
  <si>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</si>
  <si>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</si>
  <si>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</si>
  <si>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</si>
  <si>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</si>
  <si>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</si>
  <si>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</si>
  <si>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</si>
  <si>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</si>
  <si>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</si>
  <si>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</si>
  <si>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</si>
  <si>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</si>
  <si>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</si>
  <si>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</si>
  <si>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</si>
  <si>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</si>
  <si>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</si>
  <si>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</si>
  <si>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</si>
  <si>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</si>
  <si>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</si>
  <si>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</si>
  <si>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</si>
  <si>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</si>
  <si>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</si>
  <si>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</si>
  <si>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</si>
  <si>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</si>
  <si>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</si>
  <si>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</si>
  <si>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</si>
  <si>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</si>
  <si>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</si>
  <si>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</si>
  <si>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</si>
  <si>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</si>
  <si>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</si>
  <si>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</si>
  <si>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</si>
  <si>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</si>
  <si>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</si>
  <si>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</si>
  <si>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</si>
  <si>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</si>
  <si>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</si>
  <si>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</si>
  <si>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</si>
  <si>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</si>
  <si>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</si>
  <si>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</si>
  <si>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</si>
  <si>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</si>
  <si>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</si>
  <si>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</si>
  <si>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</si>
  <si>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</si>
  <si>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</si>
  <si>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</si>
  <si>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</si>
  <si>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</si>
  <si>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</si>
  <si>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</si>
  <si>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</si>
  <si>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</si>
  <si>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</si>
  <si>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</si>
  <si>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</si>
  <si>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</si>
  <si>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</si>
  <si>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</si>
  <si>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</si>
  <si>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</si>
  <si>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</si>
  <si>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</si>
  <si>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</si>
  <si>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</si>
  <si>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</si>
  <si>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</si>
  <si>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</si>
  <si>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</si>
  <si>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</si>
  <si>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</si>
  <si>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</si>
  <si>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</si>
  <si>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</si>
  <si>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</si>
  <si>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</si>
  <si>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</si>
  <si>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</si>
  <si>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</si>
  <si>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</si>
  <si>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</si>
  <si>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</si>
  <si>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</si>
  <si>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</si>
  <si>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</si>
  <si>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</si>
  <si>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</si>
  <si>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</si>
  <si>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</si>
  <si>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</si>
  <si>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</si>
  <si>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</si>
  <si>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</si>
  <si>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</si>
  <si>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</si>
  <si>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</si>
  <si>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</si>
  <si>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</si>
  <si>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</si>
  <si>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</si>
  <si>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</si>
  <si>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</si>
  <si>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</si>
  <si>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</si>
  <si>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</si>
  <si>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</si>
  <si>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</si>
  <si>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</si>
  <si>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</si>
  <si>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</si>
  <si>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</si>
  <si>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</si>
  <si>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</si>
  <si>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</si>
  <si>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</si>
  <si>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</si>
  <si>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</si>
  <si>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</si>
  <si>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</si>
  <si>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</si>
  <si>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</si>
  <si>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</si>
  <si>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</si>
  <si>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</si>
  <si>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</si>
  <si>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</si>
  <si>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</si>
  <si>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</si>
  <si>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</si>
  <si>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</si>
  <si>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</si>
  <si>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</si>
  <si>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</si>
  <si>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</si>
  <si>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</si>
  <si>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</si>
  <si>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</si>
  <si>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</si>
  <si>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</si>
  <si>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</si>
  <si>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</si>
  <si>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</si>
  <si>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</si>
  <si>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</si>
  <si>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</si>
  <si>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</si>
  <si>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</si>
  <si>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</si>
  <si>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</si>
  <si>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</si>
  <si>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</si>
  <si>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</si>
  <si>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</si>
  <si>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</si>
  <si>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</si>
  <si>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</si>
  <si>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</si>
  <si>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</si>
  <si>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</si>
  <si>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</si>
  <si>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</si>
  <si>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</si>
  <si>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</si>
  <si>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</si>
  <si>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</si>
  <si>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</si>
  <si>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</si>
  <si>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</si>
  <si>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</si>
  <si>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</si>
  <si>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</si>
  <si>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</si>
  <si>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</si>
  <si>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</si>
  <si>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</si>
  <si>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</si>
  <si>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</si>
  <si>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</si>
  <si>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</si>
  <si>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</si>
  <si>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</si>
  <si>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</si>
  <si>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</si>
  <si>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</si>
  <si>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</si>
  <si>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</si>
  <si>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</si>
  <si>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</si>
  <si>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</si>
  <si>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</si>
  <si>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</si>
  <si>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</si>
  <si>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</si>
  <si>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</si>
  <si>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</si>
  <si>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</si>
  <si>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</si>
  <si>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</si>
  <si>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</si>
  <si>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</si>
  <si>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</si>
  <si>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</si>
  <si>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</si>
  <si>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</si>
  <si>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</si>
  <si>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</si>
  <si>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</si>
  <si>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</si>
  <si>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</si>
  <si>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</si>
  <si>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</si>
  <si>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</si>
  <si>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</si>
  <si>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</si>
  <si>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</si>
  <si>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</si>
  <si>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</si>
  <si>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</si>
  <si>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</si>
  <si>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</si>
  <si>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</si>
  <si>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</si>
  <si>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</si>
  <si>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</si>
  <si>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</si>
  <si>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</si>
  <si>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</si>
  <si>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</si>
  <si>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</si>
  <si>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</si>
  <si>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</si>
  <si>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</si>
  <si>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</si>
  <si>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</si>
  <si>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</si>
  <si>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</si>
  <si>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</si>
  <si>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</si>
  <si>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</si>
  <si>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</si>
  <si>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</si>
  <si>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</si>
  <si>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</si>
  <si>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</si>
  <si>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</si>
  <si>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</si>
  <si>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</si>
  <si>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</si>
  <si>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</si>
  <si>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</si>
  <si>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</si>
  <si>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</si>
  <si>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</si>
  <si>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</si>
  <si>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</si>
  <si>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</si>
  <si>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</si>
  <si>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</si>
  <si>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</si>
  <si>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</si>
  <si>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</si>
  <si>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</si>
  <si>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</si>
  <si>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</si>
  <si>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</si>
  <si>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</si>
  <si>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</si>
  <si>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</si>
  <si>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</si>
  <si>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</si>
  <si>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</si>
  <si>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</si>
  <si>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</si>
  <si>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</si>
  <si>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</si>
  <si>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</si>
  <si>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</si>
  <si>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</si>
  <si>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</si>
  <si>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</si>
  <si>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</si>
  <si>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</si>
  <si>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</si>
  <si>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</si>
  <si>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</si>
  <si>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</si>
  <si>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</si>
  <si>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</si>
  <si>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</si>
  <si>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</si>
  <si>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</si>
  <si>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</si>
  <si>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</si>
  <si>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</si>
  <si>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</si>
  <si>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</si>
  <si>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</si>
  <si>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</si>
  <si>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</si>
  <si>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</si>
  <si>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</si>
  <si>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</si>
  <si>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</si>
  <si>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</si>
  <si>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</si>
  <si>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</si>
  <si>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</si>
  <si>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</si>
  <si>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</si>
  <si>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</si>
  <si>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</si>
  <si>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</si>
  <si>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</si>
  <si>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</si>
  <si>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</si>
  <si>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</si>
  <si>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</si>
  <si>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</si>
  <si>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</si>
  <si>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</si>
  <si>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</si>
  <si>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</si>
  <si>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</si>
  <si>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</si>
  <si>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</si>
  <si>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</si>
  <si>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</si>
  <si>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</si>
  <si>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</si>
  <si>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</si>
  <si>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</si>
  <si>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</si>
  <si>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</si>
  <si>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</si>
  <si>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</si>
  <si>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</si>
  <si>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</si>
  <si>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</si>
  <si>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</si>
  <si>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</si>
  <si>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</si>
  <si>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</si>
  <si>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</si>
  <si>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</si>
  <si>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</si>
  <si>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</si>
  <si>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</si>
  <si>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</si>
  <si>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</si>
  <si>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</si>
  <si>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</si>
  <si>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</si>
  <si>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</si>
  <si>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</si>
  <si>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</si>
  <si>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</si>
  <si>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</si>
  <si>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</si>
  <si>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</si>
  <si>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</si>
  <si>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</si>
  <si>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</si>
  <si>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</si>
  <si>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</si>
  <si>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</si>
  <si>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</si>
  <si>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</si>
  <si>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</si>
  <si>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</si>
  <si>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</si>
  <si>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</si>
  <si>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</si>
  <si>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</si>
  <si>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</si>
  <si>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</si>
  <si>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</si>
  <si>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</si>
  <si>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</si>
  <si>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</si>
  <si>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</si>
  <si>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</si>
  <si>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</si>
  <si>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</si>
  <si>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</si>
  <si>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</si>
  <si>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</si>
  <si>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</si>
  <si>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</si>
  <si>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</si>
  <si>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</si>
  <si>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</si>
  <si>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</si>
  <si>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</si>
  <si>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</si>
  <si>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</si>
  <si>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</si>
  <si>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</si>
  <si>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</si>
  <si>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</si>
  <si>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</si>
  <si>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</si>
  <si>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</si>
  <si>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</si>
  <si>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</si>
  <si>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</si>
  <si>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</si>
  <si>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</si>
  <si>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</si>
  <si>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</si>
  <si>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</si>
  <si>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</si>
  <si>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</si>
  <si>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</si>
  <si>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</si>
  <si>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</si>
  <si>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</si>
  <si>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</si>
  <si>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</si>
  <si>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</si>
  <si>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</si>
  <si>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</si>
  <si>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</si>
  <si>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</si>
  <si>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</si>
  <si>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</si>
  <si>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</si>
  <si>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</si>
  <si>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</si>
  <si>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</si>
  <si>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</si>
  <si>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</si>
  <si>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</si>
  <si>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</si>
  <si>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</si>
  <si>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</si>
  <si>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</si>
  <si>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</si>
  <si>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</si>
  <si>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</si>
  <si>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</si>
  <si>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</si>
  <si>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</si>
  <si>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</si>
  <si>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</si>
  <si>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</si>
  <si>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</si>
  <si>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</si>
  <si>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</si>
  <si>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</si>
  <si>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</si>
  <si>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</si>
  <si>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</si>
  <si>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</si>
  <si>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</si>
  <si>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</si>
  <si>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</si>
  <si>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</si>
  <si>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</si>
  <si>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</si>
  <si>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</si>
  <si>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</si>
  <si>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</si>
  <si>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</si>
  <si>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</si>
  <si>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</si>
  <si>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</si>
  <si>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</si>
  <si>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</si>
  <si>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</si>
  <si>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</si>
  <si>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</si>
  <si>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</si>
  <si>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</si>
  <si>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</si>
  <si>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</si>
  <si>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</si>
  <si>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</si>
  <si>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</si>
  <si>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</si>
  <si>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</si>
  <si>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</si>
  <si>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</si>
  <si>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</si>
  <si>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</si>
  <si>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</si>
  <si>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</si>
  <si>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</si>
  <si>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</si>
  <si>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</si>
  <si>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</si>
  <si>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</si>
  <si>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</si>
  <si>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</si>
  <si>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</si>
  <si>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</si>
  <si>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</si>
  <si>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</si>
  <si>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</si>
  <si>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</si>
  <si>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</si>
  <si>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</si>
  <si>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</si>
  <si>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</si>
  <si>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</si>
  <si>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</si>
  <si>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</si>
  <si>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</si>
  <si>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</si>
  <si>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</si>
  <si>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</si>
  <si>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</si>
  <si>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</si>
  <si>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</si>
  <si>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</si>
  <si>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</si>
  <si>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</si>
  <si>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</si>
  <si>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</si>
  <si>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</si>
  <si>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</si>
  <si>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</si>
  <si>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</si>
  <si>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</si>
  <si>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</si>
  <si>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</si>
  <si>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</si>
  <si>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</si>
  <si>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</si>
  <si>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</si>
  <si>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</si>
  <si>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</si>
  <si>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</si>
  <si>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</si>
  <si>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</si>
  <si>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</si>
  <si>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</si>
  <si>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</si>
  <si>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</si>
  <si>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</si>
  <si>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</si>
  <si>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</si>
  <si>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</si>
  <si>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</si>
  <si>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</si>
  <si>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</si>
  <si>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</si>
  <si>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</si>
  <si>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</si>
  <si>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</si>
  <si>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</si>
  <si>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</si>
  <si>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</si>
  <si>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</si>
  <si>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</si>
  <si>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</si>
  <si>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</si>
  <si>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</si>
  <si>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</si>
  <si>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</si>
  <si>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</si>
  <si>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 dislay area</t>
  </si>
  <si>
    <t>Qty</t>
  </si>
  <si>
    <t>Avg. Days</t>
  </si>
  <si>
    <t>Row Labels</t>
  </si>
  <si>
    <t>Grand Total</t>
  </si>
  <si>
    <t>FOR TRENDS</t>
  </si>
  <si>
    <t>Column Labels</t>
  </si>
  <si>
    <t>Female</t>
  </si>
  <si>
    <t>Male</t>
  </si>
  <si>
    <t>Other</t>
  </si>
  <si>
    <t>Unknown</t>
  </si>
  <si>
    <t>For matrix</t>
  </si>
  <si>
    <t>6 TO 10</t>
  </si>
  <si>
    <t>More than 10</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</si>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</sst>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5" x14ac:knownFonts="1">
    <font>
      <sz val="11"/>
      <color theme="1"/>
      <name val="Calibri"/>
      <family val="2"/>
      <scheme val="minor"/>
    </font>
    <font>
      <b/>
      <sz val="11"/>
      <color theme="1"/>
      <name val="Calibri"/>
      <family val="2"/>
      <scheme val="minor"/>
    </font>
    <font>
      <b/>
      <sz val="11"/>
      <color rgb="FF000000"/>
      <name val="Aptos Narrow"/>
      <family val="2"/>
    </font>
    <font>
      <sz val="11"/>
      <color rgb="FF000000"/>
      <name val="Aptos Narrow"/>
      <family val="2"/>
    </font>
    <font>
      <sz val="10"/>
      <color theme="1"/>
      <name val="Verdana"/>
      <family val="2"/>
    </font>
  </fonts>
  <fills count="4">
    <fill>
      <patternFill patternType="none"/>
    </fill>
    <fill>
      <patternFill patternType="gray125"/>
    </fill>
    <fill>
      <patternFill patternType="solid">
        <fgColor theme="9"/>
        <bgColor indexed="64"/>
      </patternFill>
    </fill>
    <fill>
      <patternFill patternType="solid">
        <fgColor rgb="FFECF2EF"/>
        <bgColor indexed="64"/>
      </patternFill>
    </fill>
  </fills>
  <borders count="10">
    <border>
      <left/>
      <right/>
      <top/>
      <bottom/>
      <diagonal/>
    </border>
    <border>
      <left style="thick">
        <color theme="0"/>
      </left>
      <right style="thick">
        <color theme="0"/>
      </right>
      <top style="thick">
        <color theme="0"/>
      </top>
      <bottom style="thick">
        <color theme="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6D9CE"/>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3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165" fontId="0" fillId="0" borderId="1" xfId="0" applyNumberFormat="1" applyBorder="1"/>
    <xf numFmtId="0" fontId="2" fillId="3" borderId="2" xfId="0" applyFont="1" applyFill="1" applyBorder="1" applyAlignment="1">
      <alignment wrapText="1"/>
    </xf>
    <xf numFmtId="0" fontId="2" fillId="3" borderId="3" xfId="0" applyFont="1" applyFill="1" applyBorder="1" applyAlignment="1">
      <alignment wrapText="1"/>
    </xf>
    <xf numFmtId="0" fontId="2" fillId="0" borderId="4" xfId="0" applyFont="1" applyBorder="1" applyAlignment="1">
      <alignment wrapText="1"/>
    </xf>
    <xf numFmtId="0" fontId="3" fillId="0" borderId="5" xfId="0" applyFont="1" applyBorder="1" applyAlignment="1">
      <alignment wrapText="1"/>
    </xf>
    <xf numFmtId="0" fontId="3" fillId="0" borderId="5" xfId="0" applyFont="1" applyBorder="1" applyAlignment="1">
      <alignment horizontal="right" wrapText="1"/>
    </xf>
    <xf numFmtId="0" fontId="2" fillId="3" borderId="4" xfId="0" applyFont="1" applyFill="1" applyBorder="1" applyAlignment="1">
      <alignment wrapText="1"/>
    </xf>
    <xf numFmtId="0" fontId="4" fillId="3" borderId="5" xfId="0" applyFont="1" applyFill="1" applyBorder="1" applyAlignment="1">
      <alignment wrapText="1"/>
    </xf>
    <xf numFmtId="0" fontId="2" fillId="3" borderId="5" xfId="0" applyFont="1" applyFill="1" applyBorder="1" applyAlignment="1">
      <alignment horizontal="right" wrapText="1"/>
    </xf>
    <xf numFmtId="0" fontId="4" fillId="0" borderId="6" xfId="0" applyFont="1" applyBorder="1" applyAlignment="1">
      <alignment wrapText="1"/>
    </xf>
    <xf numFmtId="0" fontId="2" fillId="3" borderId="7" xfId="0" applyFont="1" applyFill="1" applyBorder="1" applyAlignment="1">
      <alignment wrapText="1"/>
    </xf>
    <xf numFmtId="0" fontId="2" fillId="3" borderId="7" xfId="0" applyFont="1" applyFill="1" applyBorder="1" applyAlignment="1">
      <alignment vertical="center"/>
    </xf>
    <xf numFmtId="0" fontId="2" fillId="0" borderId="6" xfId="0" applyFont="1" applyBorder="1" applyAlignment="1">
      <alignment wrapText="1"/>
    </xf>
    <xf numFmtId="0" fontId="3" fillId="0" borderId="6" xfId="0" applyFont="1" applyBorder="1" applyAlignment="1">
      <alignment wrapText="1"/>
    </xf>
    <xf numFmtId="0" fontId="3" fillId="0" borderId="6" xfId="0" applyFont="1" applyBorder="1" applyAlignment="1">
      <alignment horizontal="right" wrapText="1"/>
    </xf>
    <xf numFmtId="0" fontId="2" fillId="0" borderId="7" xfId="0" applyFont="1" applyBorder="1" applyAlignment="1">
      <alignment wrapText="1"/>
    </xf>
    <xf numFmtId="0" fontId="3" fillId="0" borderId="7" xfId="0" applyFont="1" applyBorder="1" applyAlignment="1">
      <alignment wrapText="1"/>
    </xf>
    <xf numFmtId="0" fontId="3" fillId="0" borderId="7" xfId="0" applyFont="1" applyBorder="1" applyAlignment="1">
      <alignment horizontal="right" wrapText="1"/>
    </xf>
    <xf numFmtId="0" fontId="2" fillId="3" borderId="6" xfId="0" applyFont="1" applyFill="1" applyBorder="1" applyAlignment="1">
      <alignment horizontal="right" wrapText="1"/>
    </xf>
    <xf numFmtId="0" fontId="2" fillId="3" borderId="8" xfId="0" applyFont="1" applyFill="1" applyBorder="1" applyAlignment="1">
      <alignment wrapText="1"/>
    </xf>
    <xf numFmtId="0" fontId="2" fillId="3" borderId="9" xfId="0" applyFont="1" applyFill="1" applyBorder="1" applyAlignment="1">
      <alignment wrapText="1"/>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colors>
    <mruColors>
      <color rgb="FFEDFAE4"/>
      <color rgb="FF33D359"/>
      <color rgb="FF84144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 13 Week Trends - Qty 7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90000"/>
                <a:lumOff val="10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711330955425448E-2"/>
          <c:y val="7.4074119113489198E-2"/>
          <c:w val="0.80372703412073487"/>
          <c:h val="0.84204505686789155"/>
        </c:manualLayout>
      </c:layout>
      <c:lineChart>
        <c:grouping val="standard"/>
        <c:varyColors val="0"/>
        <c:ser>
          <c:idx val="1"/>
          <c:order val="1"/>
          <c:tx>
            <c:strRef>
              <c:f>pivot!$C$9</c:f>
              <c:strCache>
                <c:ptCount val="1"/>
                <c:pt idx="0">
                  <c:v>Sum of Quantity</c:v>
                </c:pt>
              </c:strCache>
            </c:strRef>
          </c:tx>
          <c:spPr>
            <a:ln w="28575" cap="rnd">
              <a:solidFill>
                <a:schemeClr val="accent2"/>
              </a:solidFill>
              <a:round/>
            </a:ln>
            <a:effectLst/>
          </c:spPr>
          <c:marker>
            <c:symbol val="none"/>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pivot!$C$10:$C$23</c:f>
              <c:numCache>
                <c:formatCode>General</c:formatCode>
                <c:ptCount val="13"/>
                <c:pt idx="0">
                  <c:v>106</c:v>
                </c:pt>
                <c:pt idx="1">
                  <c:v>235</c:v>
                </c:pt>
                <c:pt idx="2">
                  <c:v>239</c:v>
                </c:pt>
                <c:pt idx="3">
                  <c:v>186</c:v>
                </c:pt>
                <c:pt idx="4">
                  <c:v>132</c:v>
                </c:pt>
                <c:pt idx="5">
                  <c:v>224</c:v>
                </c:pt>
                <c:pt idx="6">
                  <c:v>226</c:v>
                </c:pt>
                <c:pt idx="7">
                  <c:v>253</c:v>
                </c:pt>
                <c:pt idx="8">
                  <c:v>202</c:v>
                </c:pt>
                <c:pt idx="9">
                  <c:v>217</c:v>
                </c:pt>
                <c:pt idx="10">
                  <c:v>202</c:v>
                </c:pt>
                <c:pt idx="11">
                  <c:v>233</c:v>
                </c:pt>
                <c:pt idx="12">
                  <c:v>211</c:v>
                </c:pt>
              </c:numCache>
            </c:numRef>
          </c:val>
          <c:smooth val="0"/>
          <c:extLst>
            <c:ext xmlns:c16="http://schemas.microsoft.com/office/drawing/2014/chart" uri="{C3380CC4-5D6E-409C-BE32-E72D297353CC}">
              <c16:uniqueId val="{00000001-B4D3-4956-9CFD-B879C8778BF6}"/>
            </c:ext>
          </c:extLst>
        </c:ser>
        <c:dLbls>
          <c:showLegendKey val="0"/>
          <c:showVal val="0"/>
          <c:showCatName val="0"/>
          <c:showSerName val="0"/>
          <c:showPercent val="0"/>
          <c:showBubbleSize val="0"/>
        </c:dLbls>
        <c:marker val="1"/>
        <c:smooth val="0"/>
        <c:axId val="2110861839"/>
        <c:axId val="2110860879"/>
      </c:lineChart>
      <c:lineChart>
        <c:grouping val="standard"/>
        <c:varyColors val="0"/>
        <c:ser>
          <c:idx val="0"/>
          <c:order val="0"/>
          <c:tx>
            <c:strRef>
              <c:f>pivot!$B$9</c:f>
              <c:strCache>
                <c:ptCount val="1"/>
                <c:pt idx="0">
                  <c:v>Sum of Amount</c:v>
                </c:pt>
              </c:strCache>
            </c:strRef>
          </c:tx>
          <c:spPr>
            <a:ln w="28575" cap="rnd">
              <a:solidFill>
                <a:schemeClr val="tx2">
                  <a:lumMod val="90000"/>
                  <a:lumOff val="10000"/>
                </a:schemeClr>
              </a:solidFill>
              <a:round/>
            </a:ln>
            <a:effectLst/>
          </c:spPr>
          <c:marker>
            <c:symbol val="circle"/>
            <c:size val="5"/>
            <c:spPr>
              <a:solidFill>
                <a:schemeClr val="accent1"/>
              </a:solidFill>
              <a:ln w="9525">
                <a:solidFill>
                  <a:schemeClr val="accent1"/>
                </a:solidFill>
              </a:ln>
              <a:effectLst/>
            </c:spPr>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pivot!$B$10:$B$23</c:f>
              <c:numCache>
                <c:formatCode>"$"#,##0</c:formatCode>
                <c:ptCount val="13"/>
                <c:pt idx="0">
                  <c:v>5530.5999999999995</c:v>
                </c:pt>
                <c:pt idx="1">
                  <c:v>11648.6</c:v>
                </c:pt>
                <c:pt idx="2">
                  <c:v>14960.699999999999</c:v>
                </c:pt>
                <c:pt idx="3">
                  <c:v>10358.900000000001</c:v>
                </c:pt>
                <c:pt idx="4">
                  <c:v>7508.0000000000018</c:v>
                </c:pt>
                <c:pt idx="5">
                  <c:v>14115.399999999998</c:v>
                </c:pt>
                <c:pt idx="6">
                  <c:v>12354.4</c:v>
                </c:pt>
                <c:pt idx="7">
                  <c:v>15048.500000000005</c:v>
                </c:pt>
                <c:pt idx="8">
                  <c:v>10938.800000000001</c:v>
                </c:pt>
                <c:pt idx="9">
                  <c:v>14980.4</c:v>
                </c:pt>
                <c:pt idx="10">
                  <c:v>10512.100000000002</c:v>
                </c:pt>
                <c:pt idx="11">
                  <c:v>12628</c:v>
                </c:pt>
                <c:pt idx="12">
                  <c:v>12212.000000000002</c:v>
                </c:pt>
              </c:numCache>
            </c:numRef>
          </c:val>
          <c:smooth val="0"/>
          <c:extLst>
            <c:ext xmlns:c16="http://schemas.microsoft.com/office/drawing/2014/chart" uri="{C3380CC4-5D6E-409C-BE32-E72D297353CC}">
              <c16:uniqueId val="{00000000-B4D3-4956-9CFD-B879C8778BF6}"/>
            </c:ext>
          </c:extLst>
        </c:ser>
        <c:dLbls>
          <c:showLegendKey val="0"/>
          <c:showVal val="0"/>
          <c:showCatName val="0"/>
          <c:showSerName val="0"/>
          <c:showPercent val="0"/>
          <c:showBubbleSize val="0"/>
        </c:dLbls>
        <c:marker val="1"/>
        <c:smooth val="0"/>
        <c:axId val="2035367487"/>
        <c:axId val="2035367007"/>
      </c:lineChart>
      <c:catAx>
        <c:axId val="211086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60879"/>
        <c:crosses val="autoZero"/>
        <c:auto val="1"/>
        <c:lblAlgn val="ctr"/>
        <c:lblOffset val="100"/>
        <c:noMultiLvlLbl val="0"/>
      </c:catAx>
      <c:valAx>
        <c:axId val="2110860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861839"/>
        <c:crosses val="autoZero"/>
        <c:crossBetween val="between"/>
      </c:valAx>
      <c:valAx>
        <c:axId val="2035367007"/>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367487"/>
        <c:crosses val="max"/>
        <c:crossBetween val="between"/>
      </c:valAx>
      <c:catAx>
        <c:axId val="2035367487"/>
        <c:scaling>
          <c:orientation val="minMax"/>
        </c:scaling>
        <c:delete val="1"/>
        <c:axPos val="b"/>
        <c:numFmt formatCode="General" sourceLinked="1"/>
        <c:majorTickMark val="out"/>
        <c:minorTickMark val="none"/>
        <c:tickLblPos val="nextTo"/>
        <c:crossAx val="2035367007"/>
        <c:crosses val="autoZero"/>
        <c:auto val="1"/>
        <c:lblAlgn val="ctr"/>
        <c:lblOffset val="100"/>
        <c:noMultiLvlLbl val="0"/>
      </c:catAx>
      <c:spPr>
        <a:noFill/>
        <a:ln>
          <a:noFill/>
        </a:ln>
        <a:effectLst/>
      </c:spPr>
    </c:plotArea>
    <c:legend>
      <c:legendPos val="r"/>
      <c:layout>
        <c:manualLayout>
          <c:xMode val="edge"/>
          <c:yMode val="edge"/>
          <c:x val="0.5025887951056478"/>
          <c:y val="0.50957589760739364"/>
          <c:w val="0.25846925972396489"/>
          <c:h val="0.242667376941349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[VivaCalif.xlsx]Sheet4!PivotTable6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many they buy?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rgbClr val="00206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50601263047482E-2"/>
          <c:y val="0.13866489664179876"/>
          <c:w val="0.90225461916270366"/>
          <c:h val="0.72125801983085447"/>
        </c:manualLayout>
      </c:layout>
      <c:barChart>
        <c:barDir val="col"/>
        <c:grouping val="clustered"/>
        <c:varyColors val="0"/>
        <c:ser>
          <c:idx val="0"/>
          <c:order val="0"/>
          <c:tx>
            <c:strRef>
              <c:f>Sheet4!$B$3</c:f>
              <c:strCache>
                <c:ptCount val="1"/>
                <c:pt idx="0">
                  <c:v>Total</c:v>
                </c:pt>
              </c:strCache>
            </c:strRef>
          </c:tx>
          <c:spPr>
            <a:solidFill>
              <a:schemeClr val="tx2">
                <a:lumMod val="90000"/>
                <a:lumOff val="10000"/>
              </a:schemeClr>
            </a:solidFill>
            <a:ln>
              <a:solidFill>
                <a:srgbClr val="002060"/>
              </a:solidFill>
            </a:ln>
            <a:effectLst/>
          </c:spPr>
          <c:invertIfNegative val="0"/>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86</c:v>
                </c:pt>
                <c:pt idx="1">
                  <c:v>139</c:v>
                </c:pt>
                <c:pt idx="2">
                  <c:v>86</c:v>
                </c:pt>
                <c:pt idx="3">
                  <c:v>65</c:v>
                </c:pt>
                <c:pt idx="4">
                  <c:v>45</c:v>
                </c:pt>
                <c:pt idx="5">
                  <c:v>98</c:v>
                </c:pt>
                <c:pt idx="6">
                  <c:v>50</c:v>
                </c:pt>
              </c:numCache>
            </c:numRef>
          </c:val>
          <c:extLst>
            <c:ext xmlns:c16="http://schemas.microsoft.com/office/drawing/2014/chart" uri="{C3380CC4-5D6E-409C-BE32-E72D297353CC}">
              <c16:uniqueId val="{00000000-62EC-480D-8ABB-594E9F870E1E}"/>
            </c:ext>
          </c:extLst>
        </c:ser>
        <c:dLbls>
          <c:showLegendKey val="0"/>
          <c:showVal val="0"/>
          <c:showCatName val="0"/>
          <c:showSerName val="0"/>
          <c:showPercent val="0"/>
          <c:showBubbleSize val="0"/>
        </c:dLbls>
        <c:gapWidth val="0"/>
        <c:overlap val="-27"/>
        <c:axId val="31124975"/>
        <c:axId val="31121615"/>
      </c:barChart>
      <c:catAx>
        <c:axId val="311249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1615"/>
        <c:crosses val="autoZero"/>
        <c:auto val="1"/>
        <c:lblAlgn val="ctr"/>
        <c:lblOffset val="100"/>
        <c:noMultiLvlLbl val="0"/>
      </c:catAx>
      <c:valAx>
        <c:axId val="3112161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[VivaCalif.xlsx]Sheet5!PivotTable7</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029177602799651"/>
          <c:y val="0.15637440247505294"/>
          <c:w val="0.52483398950131233"/>
          <c:h val="0.82182509794971281"/>
        </c:manualLayout>
      </c:layout>
      <c:barChart>
        <c:barDir val="bar"/>
        <c:grouping val="stacked"/>
        <c:varyColors val="0"/>
        <c:ser>
          <c:idx val="0"/>
          <c:order val="0"/>
          <c:tx>
            <c:strRef>
              <c:f>Sheet5!$B$3:$B$4</c:f>
              <c:strCache>
                <c:ptCount val="1"/>
              </c:strCache>
            </c:strRef>
          </c:tx>
          <c:spPr>
            <a:solidFill>
              <a:schemeClr val="accent1"/>
            </a:solidFill>
            <a:ln>
              <a:noFill/>
            </a:ln>
            <a:effectLst/>
          </c:spPr>
          <c:invertIfNegative val="0"/>
          <c:cat>
            <c:strRef>
              <c:f>Sheet5!$A$5:$A$25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Sheet5!$B$5:$B$25</c:f>
              <c:numCache>
                <c:formatCode>General</c:formatCode>
                <c:ptCount val="20"/>
                <c:pt idx="0">
                  <c:v>10</c:v>
                </c:pt>
                <c:pt idx="1">
                  <c:v>12</c:v>
                </c:pt>
                <c:pt idx="2">
                  <c:v>27</c:v>
                </c:pt>
                <c:pt idx="5">
                  <c:v>6</c:v>
                </c:pt>
                <c:pt idx="6">
                  <c:v>10</c:v>
                </c:pt>
                <c:pt idx="8">
                  <c:v>3</c:v>
                </c:pt>
                <c:pt idx="9">
                  <c:v>17</c:v>
                </c:pt>
                <c:pt idx="10">
                  <c:v>4</c:v>
                </c:pt>
                <c:pt idx="11">
                  <c:v>6</c:v>
                </c:pt>
                <c:pt idx="13">
                  <c:v>10</c:v>
                </c:pt>
                <c:pt idx="14">
                  <c:v>2</c:v>
                </c:pt>
                <c:pt idx="15">
                  <c:v>7</c:v>
                </c:pt>
                <c:pt idx="16">
                  <c:v>5</c:v>
                </c:pt>
                <c:pt idx="17">
                  <c:v>15</c:v>
                </c:pt>
              </c:numCache>
            </c:numRef>
          </c:val>
          <c:extLst>
            <c:ext xmlns:c16="http://schemas.microsoft.com/office/drawing/2014/chart" uri="{C3380CC4-5D6E-409C-BE32-E72D297353CC}">
              <c16:uniqueId val="{00000000-56AE-4FAA-A403-352B0242D9FF}"/>
            </c:ext>
          </c:extLst>
        </c:ser>
        <c:ser>
          <c:idx val="1"/>
          <c:order val="1"/>
          <c:tx>
            <c:strRef>
              <c:f>Sheet5!$C$3:$C$4</c:f>
              <c:strCache>
                <c:ptCount val="1"/>
                <c:pt idx="0">
                  <c:v>F</c:v>
                </c:pt>
              </c:strCache>
            </c:strRef>
          </c:tx>
          <c:spPr>
            <a:solidFill>
              <a:schemeClr val="tx2">
                <a:lumMod val="90000"/>
                <a:lumOff val="10000"/>
              </a:schemeClr>
            </a:solidFill>
            <a:ln>
              <a:noFill/>
            </a:ln>
            <a:effectLst/>
          </c:spPr>
          <c:invertIfNegative val="0"/>
          <c:cat>
            <c:strRef>
              <c:f>Sheet5!$A$5:$A$25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Sheet5!$C$5:$C$25</c:f>
              <c:numCache>
                <c:formatCode>General</c:formatCode>
                <c:ptCount val="20"/>
                <c:pt idx="0">
                  <c:v>157</c:v>
                </c:pt>
                <c:pt idx="1">
                  <c:v>175</c:v>
                </c:pt>
                <c:pt idx="2">
                  <c:v>177</c:v>
                </c:pt>
                <c:pt idx="3">
                  <c:v>146</c:v>
                </c:pt>
                <c:pt idx="4">
                  <c:v>42</c:v>
                </c:pt>
                <c:pt idx="5">
                  <c:v>72</c:v>
                </c:pt>
                <c:pt idx="6">
                  <c:v>68</c:v>
                </c:pt>
                <c:pt idx="7">
                  <c:v>55</c:v>
                </c:pt>
                <c:pt idx="8">
                  <c:v>53</c:v>
                </c:pt>
                <c:pt idx="9">
                  <c:v>57</c:v>
                </c:pt>
                <c:pt idx="10">
                  <c:v>57</c:v>
                </c:pt>
                <c:pt idx="11">
                  <c:v>34</c:v>
                </c:pt>
                <c:pt idx="12">
                  <c:v>53</c:v>
                </c:pt>
                <c:pt idx="13">
                  <c:v>42</c:v>
                </c:pt>
                <c:pt idx="14">
                  <c:v>31</c:v>
                </c:pt>
                <c:pt idx="15">
                  <c:v>44</c:v>
                </c:pt>
                <c:pt idx="16">
                  <c:v>11</c:v>
                </c:pt>
                <c:pt idx="17">
                  <c:v>13</c:v>
                </c:pt>
                <c:pt idx="18">
                  <c:v>16</c:v>
                </c:pt>
                <c:pt idx="19">
                  <c:v>9</c:v>
                </c:pt>
              </c:numCache>
            </c:numRef>
          </c:val>
          <c:extLst>
            <c:ext xmlns:c16="http://schemas.microsoft.com/office/drawing/2014/chart" uri="{C3380CC4-5D6E-409C-BE32-E72D297353CC}">
              <c16:uniqueId val="{00000001-56AE-4FAA-A403-352B0242D9FF}"/>
            </c:ext>
          </c:extLst>
        </c:ser>
        <c:ser>
          <c:idx val="2"/>
          <c:order val="2"/>
          <c:tx>
            <c:strRef>
              <c:f>Sheet5!$D$3:$D$4</c:f>
              <c:strCache>
                <c:ptCount val="1"/>
                <c:pt idx="0">
                  <c:v>M</c:v>
                </c:pt>
              </c:strCache>
            </c:strRef>
          </c:tx>
          <c:spPr>
            <a:solidFill>
              <a:schemeClr val="tx2">
                <a:lumMod val="50000"/>
                <a:lumOff val="50000"/>
              </a:schemeClr>
            </a:solidFill>
            <a:ln>
              <a:noFill/>
            </a:ln>
            <a:effectLst/>
          </c:spPr>
          <c:invertIfNegative val="0"/>
          <c:cat>
            <c:strRef>
              <c:f>Sheet5!$A$5:$A$25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Sheet5!$D$5:$D$25</c:f>
              <c:numCache>
                <c:formatCode>General</c:formatCode>
                <c:ptCount val="20"/>
                <c:pt idx="0">
                  <c:v>220</c:v>
                </c:pt>
                <c:pt idx="1">
                  <c:v>187</c:v>
                </c:pt>
                <c:pt idx="2">
                  <c:v>80</c:v>
                </c:pt>
                <c:pt idx="3">
                  <c:v>98</c:v>
                </c:pt>
                <c:pt idx="4">
                  <c:v>82</c:v>
                </c:pt>
                <c:pt idx="5">
                  <c:v>52</c:v>
                </c:pt>
                <c:pt idx="6">
                  <c:v>48</c:v>
                </c:pt>
                <c:pt idx="7">
                  <c:v>54</c:v>
                </c:pt>
                <c:pt idx="8">
                  <c:v>45</c:v>
                </c:pt>
                <c:pt idx="9">
                  <c:v>31</c:v>
                </c:pt>
                <c:pt idx="10">
                  <c:v>41</c:v>
                </c:pt>
                <c:pt idx="11">
                  <c:v>50</c:v>
                </c:pt>
                <c:pt idx="12">
                  <c:v>34</c:v>
                </c:pt>
                <c:pt idx="13">
                  <c:v>29</c:v>
                </c:pt>
                <c:pt idx="14">
                  <c:v>26</c:v>
                </c:pt>
                <c:pt idx="15">
                  <c:v>14</c:v>
                </c:pt>
                <c:pt idx="16">
                  <c:v>20</c:v>
                </c:pt>
                <c:pt idx="17">
                  <c:v>9</c:v>
                </c:pt>
                <c:pt idx="18">
                  <c:v>16</c:v>
                </c:pt>
                <c:pt idx="19">
                  <c:v>12</c:v>
                </c:pt>
              </c:numCache>
            </c:numRef>
          </c:val>
          <c:extLst>
            <c:ext xmlns:c16="http://schemas.microsoft.com/office/drawing/2014/chart" uri="{C3380CC4-5D6E-409C-BE32-E72D297353CC}">
              <c16:uniqueId val="{00000002-56AE-4FAA-A403-352B0242D9FF}"/>
            </c:ext>
          </c:extLst>
        </c:ser>
        <c:ser>
          <c:idx val="3"/>
          <c:order val="3"/>
          <c:tx>
            <c:strRef>
              <c:f>Sheet5!$E$3:$E$4</c:f>
              <c:strCache>
                <c:ptCount val="1"/>
                <c:pt idx="0">
                  <c:v>O</c:v>
                </c:pt>
              </c:strCache>
            </c:strRef>
          </c:tx>
          <c:spPr>
            <a:solidFill>
              <a:schemeClr val="accent4"/>
            </a:solidFill>
            <a:ln>
              <a:noFill/>
            </a:ln>
            <a:effectLst/>
          </c:spPr>
          <c:invertIfNegative val="0"/>
          <c:cat>
            <c:strRef>
              <c:f>Sheet5!$A$5:$A$25</c:f>
              <c:strCache>
                <c:ptCount val="20"/>
                <c:pt idx="0">
                  <c:v>T-Shirts</c:v>
                </c:pt>
                <c:pt idx="1">
                  <c:v>Jeans</c:v>
                </c:pt>
                <c:pt idx="2">
                  <c:v>Sneakers</c:v>
                </c:pt>
                <c:pt idx="3">
                  <c:v>Tank Tops</c:v>
                </c:pt>
                <c:pt idx="4">
                  <c:v>Pajama Sets</c:v>
                </c:pt>
                <c:pt idx="5">
                  <c:v>Graphic Tees</c:v>
                </c:pt>
                <c:pt idx="6">
                  <c:v>Shorts</c:v>
                </c:pt>
                <c:pt idx="7">
                  <c:v>Hoodies &amp; Sweatshirts</c:v>
                </c:pt>
                <c:pt idx="8">
                  <c:v>Sandals</c:v>
                </c:pt>
                <c:pt idx="9">
                  <c:v>Sundresses</c:v>
                </c:pt>
                <c:pt idx="10">
                  <c:v>Bikinis</c:v>
                </c:pt>
                <c:pt idx="11">
                  <c:v>Tote Bags</c:v>
                </c:pt>
                <c:pt idx="12">
                  <c:v>Maxi Dresses</c:v>
                </c:pt>
                <c:pt idx="13">
                  <c:v>Casual Dresses</c:v>
                </c:pt>
                <c:pt idx="14">
                  <c:v>Crop Tops</c:v>
                </c:pt>
                <c:pt idx="15">
                  <c:v>Workout Tops</c:v>
                </c:pt>
                <c:pt idx="16">
                  <c:v>Leggings</c:v>
                </c:pt>
                <c:pt idx="17">
                  <c:v>Sunglasses</c:v>
                </c:pt>
                <c:pt idx="18">
                  <c:v>Baseball Caps</c:v>
                </c:pt>
                <c:pt idx="19">
                  <c:v>Jewelry</c:v>
                </c:pt>
              </c:strCache>
            </c:strRef>
          </c:cat>
          <c:val>
            <c:numRef>
              <c:f>Sheet5!$E$5:$E$25</c:f>
              <c:numCache>
                <c:formatCode>General</c:formatCode>
                <c:ptCount val="20"/>
                <c:pt idx="0">
                  <c:v>12</c:v>
                </c:pt>
                <c:pt idx="1">
                  <c:v>8</c:v>
                </c:pt>
                <c:pt idx="3">
                  <c:v>6</c:v>
                </c:pt>
                <c:pt idx="4">
                  <c:v>13</c:v>
                </c:pt>
                <c:pt idx="7">
                  <c:v>5</c:v>
                </c:pt>
                <c:pt idx="8">
                  <c:v>6</c:v>
                </c:pt>
                <c:pt idx="13">
                  <c:v>4</c:v>
                </c:pt>
                <c:pt idx="14">
                  <c:v>15</c:v>
                </c:pt>
                <c:pt idx="16">
                  <c:v>3</c:v>
                </c:pt>
              </c:numCache>
            </c:numRef>
          </c:val>
          <c:extLst>
            <c:ext xmlns:c16="http://schemas.microsoft.com/office/drawing/2014/chart" uri="{C3380CC4-5D6E-409C-BE32-E72D297353CC}">
              <c16:uniqueId val="{00000003-56AE-4FAA-A403-352B0242D9FF}"/>
            </c:ext>
          </c:extLst>
        </c:ser>
        <c:dLbls>
          <c:showLegendKey val="0"/>
          <c:showVal val="0"/>
          <c:showCatName val="0"/>
          <c:showSerName val="0"/>
          <c:showPercent val="0"/>
          <c:showBubbleSize val="0"/>
        </c:dLbls>
        <c:gapWidth val="150"/>
        <c:overlap val="100"/>
        <c:axId val="31119695"/>
        <c:axId val="31116815"/>
      </c:barChart>
      <c:catAx>
        <c:axId val="31119695"/>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6815"/>
        <c:crosses val="autoZero"/>
        <c:auto val="1"/>
        <c:lblAlgn val="ctr"/>
        <c:lblOffset val="100"/>
        <c:noMultiLvlLbl val="0"/>
      </c:catAx>
      <c:valAx>
        <c:axId val="31116815"/>
        <c:scaling>
          <c:orientation val="minMax"/>
        </c:scaling>
        <c:delete val="0"/>
        <c:axPos val="t"/>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Which Produts are popular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[VivaCalif.xlsx]Sheet5!PivotTable8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dLbl>
          <c:idx val="0"/>
          <c:layout>
            <c:manualLayout>
              <c:x val="0.17777777777777778"/>
              <c:y val="-0.118895886523305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4.0404040404040331E-2"/>
              <c:y val="7.643306990783897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9.696969696969697E-2"/>
              <c:y val="-2.547768996927965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0505050505050509"/>
              <c:y val="-0.254776899692796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617561441183487"/>
          <c:y val="0.3574519902689936"/>
          <c:w val="0.56290972719319177"/>
          <c:h val="0.59159262979244709"/>
        </c:manualLayout>
      </c:layout>
      <c:doughnutChart>
        <c:varyColors val="1"/>
        <c:ser>
          <c:idx val="0"/>
          <c:order val="0"/>
          <c:tx>
            <c:strRef>
              <c:f>Sheet5!$L$3</c:f>
              <c:strCache>
                <c:ptCount val="1"/>
                <c:pt idx="0">
                  <c:v>Total</c:v>
                </c:pt>
              </c:strCache>
            </c:strRef>
          </c:tx>
          <c:explosion val="23"/>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A46-4855-9EBD-668912CDE43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A46-4855-9EBD-668912CDE43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A46-4855-9EBD-668912CDE43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A46-4855-9EBD-668912CDE430}"/>
              </c:ext>
            </c:extLst>
          </c:dPt>
          <c:dLbls>
            <c:dLbl>
              <c:idx val="0"/>
              <c:layout>
                <c:manualLayout>
                  <c:x val="0.17777777777777778"/>
                  <c:y val="-0.1188958865233051"/>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A46-4855-9EBD-668912CDE430}"/>
                </c:ext>
              </c:extLst>
            </c:dLbl>
            <c:dLbl>
              <c:idx val="1"/>
              <c:layout>
                <c:manualLayout>
                  <c:x val="4.0404040404040331E-2"/>
                  <c:y val="7.643306990783897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46-4855-9EBD-668912CDE430}"/>
                </c:ext>
              </c:extLst>
            </c:dLbl>
            <c:dLbl>
              <c:idx val="2"/>
              <c:layout>
                <c:manualLayout>
                  <c:x val="-9.696969696969697E-2"/>
                  <c:y val="-2.5477689969279658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46-4855-9EBD-668912CDE430}"/>
                </c:ext>
              </c:extLst>
            </c:dLbl>
            <c:dLbl>
              <c:idx val="3"/>
              <c:layout>
                <c:manualLayout>
                  <c:x val="-0.10505050505050509"/>
                  <c:y val="-0.254776899692796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A46-4855-9EBD-668912CDE43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Sheet5!$K$4:$K$8</c:f>
              <c:strCache>
                <c:ptCount val="4"/>
                <c:pt idx="1">
                  <c:v>F</c:v>
                </c:pt>
                <c:pt idx="2">
                  <c:v>M</c:v>
                </c:pt>
                <c:pt idx="3">
                  <c:v>O</c:v>
                </c:pt>
              </c:strCache>
            </c:strRef>
          </c:cat>
          <c:val>
            <c:numRef>
              <c:f>Sheet5!$L$4:$L$8</c:f>
              <c:numCache>
                <c:formatCode>General</c:formatCode>
                <c:ptCount val="4"/>
                <c:pt idx="0">
                  <c:v>134</c:v>
                </c:pt>
                <c:pt idx="1">
                  <c:v>1312</c:v>
                </c:pt>
                <c:pt idx="2">
                  <c:v>1148</c:v>
                </c:pt>
                <c:pt idx="3">
                  <c:v>72</c:v>
                </c:pt>
              </c:numCache>
            </c:numRef>
          </c:val>
          <c:extLst>
            <c:ext xmlns:c16="http://schemas.microsoft.com/office/drawing/2014/chart" uri="{C3380CC4-5D6E-409C-BE32-E72D297353CC}">
              <c16:uniqueId val="{00000008-CA46-4855-9EBD-668912CDE43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061385508629598"/>
          <c:y val="6.0507841912605526E-2"/>
          <c:w val="0.1809012964288555"/>
          <c:h val="0.7261181763591110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[VivaCalif.xlsx]Sheet8!PivotTable13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 take to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solidFill>
              <a:schemeClr val="accent6">
                <a:lumMod val="50000"/>
              </a:schemeClr>
            </a:solidFill>
          </a:ln>
          <a:effectLst>
            <a:outerShdw blurRad="50800" dist="127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580927384076988E-2"/>
          <c:y val="0.11245689655172414"/>
          <c:w val="0.87764129483814524"/>
          <c:h val="0.74048160467010593"/>
        </c:manualLayout>
      </c:layout>
      <c:barChart>
        <c:barDir val="col"/>
        <c:grouping val="clustered"/>
        <c:varyColors val="0"/>
        <c:ser>
          <c:idx val="0"/>
          <c:order val="0"/>
          <c:tx>
            <c:strRef>
              <c:f>Sheet8!$B$3</c:f>
              <c:strCache>
                <c:ptCount val="1"/>
                <c:pt idx="0">
                  <c:v>Total</c:v>
                </c:pt>
              </c:strCache>
            </c:strRef>
          </c:tx>
          <c:spPr>
            <a:solidFill>
              <a:schemeClr val="tx2">
                <a:lumMod val="90000"/>
                <a:lumOff val="10000"/>
              </a:schemeClr>
            </a:solidFill>
            <a:ln>
              <a:solidFill>
                <a:schemeClr val="accent6">
                  <a:lumMod val="50000"/>
                </a:schemeClr>
              </a:solidFill>
            </a:ln>
            <a:effectLst>
              <a:outerShdw blurRad="50800" dist="12700" dir="5400000" algn="ctr" rotWithShape="0">
                <a:srgbClr val="000000">
                  <a:alpha val="43137"/>
                </a:srgbClr>
              </a:outerShdw>
            </a:effectLst>
          </c:spPr>
          <c:invertIfNegative val="0"/>
          <c:cat>
            <c:strRef>
              <c:f>Sheet8!$A$4:$A$18</c:f>
              <c:strCache>
                <c:ptCount val="14"/>
                <c:pt idx="0">
                  <c:v>0</c:v>
                </c:pt>
                <c:pt idx="1">
                  <c:v>1</c:v>
                </c:pt>
                <c:pt idx="2">
                  <c:v>2</c:v>
                </c:pt>
                <c:pt idx="3">
                  <c:v>3</c:v>
                </c:pt>
                <c:pt idx="4">
                  <c:v>4</c:v>
                </c:pt>
                <c:pt idx="5">
                  <c:v>5</c:v>
                </c:pt>
                <c:pt idx="6">
                  <c:v>6</c:v>
                </c:pt>
                <c:pt idx="7">
                  <c:v>7</c:v>
                </c:pt>
                <c:pt idx="8">
                  <c:v>8</c:v>
                </c:pt>
                <c:pt idx="9">
                  <c:v>9</c:v>
                </c:pt>
                <c:pt idx="10">
                  <c:v>10</c:v>
                </c:pt>
                <c:pt idx="11">
                  <c:v>11</c:v>
                </c:pt>
                <c:pt idx="12">
                  <c:v>13</c:v>
                </c:pt>
                <c:pt idx="13">
                  <c:v>14</c:v>
                </c:pt>
              </c:strCache>
            </c:strRef>
          </c:cat>
          <c:val>
            <c:numRef>
              <c:f>Sheet8!$B$4:$B$18</c:f>
              <c:numCache>
                <c:formatCode>General</c:formatCode>
                <c:ptCount val="14"/>
                <c:pt idx="0">
                  <c:v>49</c:v>
                </c:pt>
                <c:pt idx="1">
                  <c:v>208</c:v>
                </c:pt>
                <c:pt idx="2">
                  <c:v>140</c:v>
                </c:pt>
                <c:pt idx="3">
                  <c:v>79</c:v>
                </c:pt>
                <c:pt idx="4">
                  <c:v>45</c:v>
                </c:pt>
                <c:pt idx="5">
                  <c:v>15</c:v>
                </c:pt>
                <c:pt idx="6">
                  <c:v>10</c:v>
                </c:pt>
                <c:pt idx="7">
                  <c:v>9</c:v>
                </c:pt>
                <c:pt idx="8">
                  <c:v>2</c:v>
                </c:pt>
                <c:pt idx="9">
                  <c:v>2</c:v>
                </c:pt>
                <c:pt idx="10">
                  <c:v>2</c:v>
                </c:pt>
                <c:pt idx="11">
                  <c:v>2</c:v>
                </c:pt>
                <c:pt idx="12">
                  <c:v>2</c:v>
                </c:pt>
                <c:pt idx="13">
                  <c:v>4</c:v>
                </c:pt>
              </c:numCache>
            </c:numRef>
          </c:val>
          <c:extLst>
            <c:ext xmlns:c16="http://schemas.microsoft.com/office/drawing/2014/chart" uri="{C3380CC4-5D6E-409C-BE32-E72D297353CC}">
              <c16:uniqueId val="{00000000-2232-45F5-BD97-7630A79FF5E9}"/>
            </c:ext>
          </c:extLst>
        </c:ser>
        <c:dLbls>
          <c:showLegendKey val="0"/>
          <c:showVal val="0"/>
          <c:showCatName val="0"/>
          <c:showSerName val="0"/>
          <c:showPercent val="0"/>
          <c:showBubbleSize val="0"/>
        </c:dLbls>
        <c:gapWidth val="0"/>
        <c:overlap val="-27"/>
        <c:axId val="1826600223"/>
        <c:axId val="1826599743"/>
      </c:barChart>
      <c:catAx>
        <c:axId val="182660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599743"/>
        <c:crosses val="autoZero"/>
        <c:auto val="1"/>
        <c:lblAlgn val="ctr"/>
        <c:lblOffset val="100"/>
        <c:noMultiLvlLbl val="0"/>
      </c:catAx>
      <c:valAx>
        <c:axId val="182659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0223"/>
        <c:crosses val="autoZero"/>
        <c:crossBetween val="between"/>
      </c:valAx>
      <c:spPr>
        <a:noFill/>
        <a:ln>
          <a:noFill/>
        </a:ln>
        <a:effectLst>
          <a:glow rad="812800">
            <a:schemeClr val="accent1">
              <a:alpha val="40000"/>
            </a:schemeClr>
          </a:glow>
          <a:outerShdw blurRad="50800" dist="50800" dir="5400000" sx="46000" sy="46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[VivaCalif.xlsx]Sheet8!PivotTable15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satisfied are our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Sheet8!$B$20:$B$21</c:f>
              <c:strCache>
                <c:ptCount val="1"/>
                <c:pt idx="0">
                  <c:v>1</c:v>
                </c:pt>
              </c:strCache>
            </c:strRef>
          </c:tx>
          <c:spPr>
            <a:solidFill>
              <a:schemeClr val="accent1"/>
            </a:solidFill>
            <a:ln>
              <a:noFill/>
            </a:ln>
            <a:effectLst/>
          </c:spPr>
          <c:invertIfNegative val="0"/>
          <c:cat>
            <c:strRef>
              <c:f>Sheet8!$A$22:$A$25</c:f>
              <c:strCache>
                <c:ptCount val="3"/>
                <c:pt idx="0">
                  <c:v>Jan</c:v>
                </c:pt>
                <c:pt idx="1">
                  <c:v>Feb</c:v>
                </c:pt>
                <c:pt idx="2">
                  <c:v>Mar</c:v>
                </c:pt>
              </c:strCache>
            </c:strRef>
          </c:cat>
          <c:val>
            <c:numRef>
              <c:f>Sheet8!$B$22:$B$25</c:f>
              <c:numCache>
                <c:formatCode>General</c:formatCode>
                <c:ptCount val="3"/>
                <c:pt idx="2">
                  <c:v>1</c:v>
                </c:pt>
              </c:numCache>
            </c:numRef>
          </c:val>
          <c:extLst>
            <c:ext xmlns:c16="http://schemas.microsoft.com/office/drawing/2014/chart" uri="{C3380CC4-5D6E-409C-BE32-E72D297353CC}">
              <c16:uniqueId val="{00000000-14B1-412D-9EE0-AEBD75D82DD5}"/>
            </c:ext>
          </c:extLst>
        </c:ser>
        <c:ser>
          <c:idx val="1"/>
          <c:order val="1"/>
          <c:tx>
            <c:strRef>
              <c:f>Sheet8!$C$20:$C$21</c:f>
              <c:strCache>
                <c:ptCount val="1"/>
                <c:pt idx="0">
                  <c:v>2</c:v>
                </c:pt>
              </c:strCache>
            </c:strRef>
          </c:tx>
          <c:spPr>
            <a:solidFill>
              <a:srgbClr val="FFC000"/>
            </a:solidFill>
            <a:ln>
              <a:noFill/>
            </a:ln>
            <a:effectLst/>
          </c:spPr>
          <c:invertIfNegative val="0"/>
          <c:cat>
            <c:strRef>
              <c:f>Sheet8!$A$22:$A$25</c:f>
              <c:strCache>
                <c:ptCount val="3"/>
                <c:pt idx="0">
                  <c:v>Jan</c:v>
                </c:pt>
                <c:pt idx="1">
                  <c:v>Feb</c:v>
                </c:pt>
                <c:pt idx="2">
                  <c:v>Mar</c:v>
                </c:pt>
              </c:strCache>
            </c:strRef>
          </c:cat>
          <c:val>
            <c:numRef>
              <c:f>Sheet8!$C$22:$C$25</c:f>
              <c:numCache>
                <c:formatCode>General</c:formatCode>
                <c:ptCount val="3"/>
                <c:pt idx="0">
                  <c:v>5</c:v>
                </c:pt>
                <c:pt idx="1">
                  <c:v>11</c:v>
                </c:pt>
                <c:pt idx="2">
                  <c:v>4</c:v>
                </c:pt>
              </c:numCache>
            </c:numRef>
          </c:val>
          <c:extLst>
            <c:ext xmlns:c16="http://schemas.microsoft.com/office/drawing/2014/chart" uri="{C3380CC4-5D6E-409C-BE32-E72D297353CC}">
              <c16:uniqueId val="{00000001-14B1-412D-9EE0-AEBD75D82DD5}"/>
            </c:ext>
          </c:extLst>
        </c:ser>
        <c:ser>
          <c:idx val="2"/>
          <c:order val="2"/>
          <c:tx>
            <c:strRef>
              <c:f>Sheet8!$D$20:$D$21</c:f>
              <c:strCache>
                <c:ptCount val="1"/>
                <c:pt idx="0">
                  <c:v>3</c:v>
                </c:pt>
              </c:strCache>
            </c:strRef>
          </c:tx>
          <c:spPr>
            <a:solidFill>
              <a:srgbClr val="00B050"/>
            </a:solidFill>
            <a:ln>
              <a:noFill/>
            </a:ln>
            <a:effectLst/>
          </c:spPr>
          <c:invertIfNegative val="0"/>
          <c:cat>
            <c:strRef>
              <c:f>Sheet8!$A$22:$A$25</c:f>
              <c:strCache>
                <c:ptCount val="3"/>
                <c:pt idx="0">
                  <c:v>Jan</c:v>
                </c:pt>
                <c:pt idx="1">
                  <c:v>Feb</c:v>
                </c:pt>
                <c:pt idx="2">
                  <c:v>Mar</c:v>
                </c:pt>
              </c:strCache>
            </c:strRef>
          </c:cat>
          <c:val>
            <c:numRef>
              <c:f>Sheet8!$D$22:$D$25</c:f>
              <c:numCache>
                <c:formatCode>General</c:formatCode>
                <c:ptCount val="3"/>
                <c:pt idx="0">
                  <c:v>23</c:v>
                </c:pt>
                <c:pt idx="1">
                  <c:v>20</c:v>
                </c:pt>
                <c:pt idx="2">
                  <c:v>15</c:v>
                </c:pt>
              </c:numCache>
            </c:numRef>
          </c:val>
          <c:extLst>
            <c:ext xmlns:c16="http://schemas.microsoft.com/office/drawing/2014/chart" uri="{C3380CC4-5D6E-409C-BE32-E72D297353CC}">
              <c16:uniqueId val="{00000002-14B1-412D-9EE0-AEBD75D82DD5}"/>
            </c:ext>
          </c:extLst>
        </c:ser>
        <c:ser>
          <c:idx val="3"/>
          <c:order val="3"/>
          <c:tx>
            <c:strRef>
              <c:f>Sheet8!$E$20:$E$21</c:f>
              <c:strCache>
                <c:ptCount val="1"/>
                <c:pt idx="0">
                  <c:v>4</c:v>
                </c:pt>
              </c:strCache>
            </c:strRef>
          </c:tx>
          <c:spPr>
            <a:solidFill>
              <a:schemeClr val="tx2">
                <a:lumMod val="50000"/>
                <a:lumOff val="50000"/>
              </a:schemeClr>
            </a:solidFill>
            <a:ln>
              <a:noFill/>
            </a:ln>
            <a:effectLst/>
          </c:spPr>
          <c:invertIfNegative val="0"/>
          <c:cat>
            <c:strRef>
              <c:f>Sheet8!$A$22:$A$25</c:f>
              <c:strCache>
                <c:ptCount val="3"/>
                <c:pt idx="0">
                  <c:v>Jan</c:v>
                </c:pt>
                <c:pt idx="1">
                  <c:v>Feb</c:v>
                </c:pt>
                <c:pt idx="2">
                  <c:v>Mar</c:v>
                </c:pt>
              </c:strCache>
            </c:strRef>
          </c:cat>
          <c:val>
            <c:numRef>
              <c:f>Sheet8!$E$22:$E$25</c:f>
              <c:numCache>
                <c:formatCode>General</c:formatCode>
                <c:ptCount val="3"/>
                <c:pt idx="0">
                  <c:v>41</c:v>
                </c:pt>
                <c:pt idx="1">
                  <c:v>38</c:v>
                </c:pt>
                <c:pt idx="2">
                  <c:v>36</c:v>
                </c:pt>
              </c:numCache>
            </c:numRef>
          </c:val>
          <c:extLst>
            <c:ext xmlns:c16="http://schemas.microsoft.com/office/drawing/2014/chart" uri="{C3380CC4-5D6E-409C-BE32-E72D297353CC}">
              <c16:uniqueId val="{00000003-14B1-412D-9EE0-AEBD75D82DD5}"/>
            </c:ext>
          </c:extLst>
        </c:ser>
        <c:ser>
          <c:idx val="4"/>
          <c:order val="4"/>
          <c:tx>
            <c:strRef>
              <c:f>Sheet8!$F$20:$F$21</c:f>
              <c:strCache>
                <c:ptCount val="1"/>
                <c:pt idx="0">
                  <c:v>5</c:v>
                </c:pt>
              </c:strCache>
            </c:strRef>
          </c:tx>
          <c:spPr>
            <a:solidFill>
              <a:srgbClr val="7030A0"/>
            </a:solidFill>
            <a:ln>
              <a:noFill/>
            </a:ln>
            <a:effectLst/>
          </c:spPr>
          <c:invertIfNegative val="0"/>
          <c:cat>
            <c:strRef>
              <c:f>Sheet8!$A$22:$A$25</c:f>
              <c:strCache>
                <c:ptCount val="3"/>
                <c:pt idx="0">
                  <c:v>Jan</c:v>
                </c:pt>
                <c:pt idx="1">
                  <c:v>Feb</c:v>
                </c:pt>
                <c:pt idx="2">
                  <c:v>Mar</c:v>
                </c:pt>
              </c:strCache>
            </c:strRef>
          </c:cat>
          <c:val>
            <c:numRef>
              <c:f>Sheet8!$F$22:$F$25</c:f>
              <c:numCache>
                <c:formatCode>General</c:formatCode>
                <c:ptCount val="3"/>
                <c:pt idx="0">
                  <c:v>34</c:v>
                </c:pt>
                <c:pt idx="1">
                  <c:v>26</c:v>
                </c:pt>
                <c:pt idx="2">
                  <c:v>37</c:v>
                </c:pt>
              </c:numCache>
            </c:numRef>
          </c:val>
          <c:extLst>
            <c:ext xmlns:c16="http://schemas.microsoft.com/office/drawing/2014/chart" uri="{C3380CC4-5D6E-409C-BE32-E72D297353CC}">
              <c16:uniqueId val="{00000001-537C-4B02-816A-93201BEE3764}"/>
            </c:ext>
          </c:extLst>
        </c:ser>
        <c:dLbls>
          <c:showLegendKey val="0"/>
          <c:showVal val="0"/>
          <c:showCatName val="0"/>
          <c:showSerName val="0"/>
          <c:showPercent val="0"/>
          <c:showBubbleSize val="0"/>
        </c:dLbls>
        <c:gapWidth val="219"/>
        <c:overlap val="-27"/>
        <c:axId val="31119695"/>
        <c:axId val="31113455"/>
      </c:barChart>
      <c:catAx>
        <c:axId val="3111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3455"/>
        <c:crosses val="autoZero"/>
        <c:auto val="1"/>
        <c:lblAlgn val="ctr"/>
        <c:lblOffset val="100"/>
        <c:noMultiLvlLbl val="0"/>
      </c:catAx>
      <c:valAx>
        <c:axId val="31113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19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81FC85AF-1CFD-4FAF-9054-53AB53D22120}">
          <cx:tx>
            <cx:txData>
              <cx:f>_xlchart.v5.2</cx:f>
              <cx:v>Sum of Quantity</cx:v>
            </cx:txData>
          </cx:tx>
          <cx:dataId val="0"/>
          <cx:layoutPr>
            <cx:geography cultureLanguage="en-US" cultureRegion="US" attribution="Powered by Bing">
              <cx:geoCache provider="{E9337A44-BEBE-4D9F-B70C-5C5E7DAFC167}">
                <cx:binary>7H1pb9vI0u5fCfL50tMb2c2DMwc4TWqzvDuxk3whFFvmzua+/fpbspNMREnz0sAI90J4NYMZ2FS1
i3zYVdVPVVf/+6n911O0XuUf2jhKin89tX9+9Moy/dcffxRP3jpeFWex/5SrQr2UZ08q/kO9vPhP
6z+e81XjJ+4fBGH2x5O3yst1+/E//4bR3LW6UE+r0lfJbbXOu7t1UUVl8TfX9l76sHqO/cT2izL3
n0r850drFfkvKk/81cftawSuqaTMVx8sVZSb/1ZJ2X38sE5Kv+w+den6z49bg5GPH/4Y/s0d/T5E
cAtl9QzCVJwhLEyTUm6+fsTHD5FK3B+XNUzIGaZM6BzDlbc/e7WKQfK9er1qtXp+ztdFATf5+v8D
o2zdEXznvyOfytPm6WxQcQGgPz9+Tvxy/fzhvlyV6+LjB79Qr48v7yy1ufXP96/P6o9tXP/z78Ev
4OkNfvMb9MNH/T9d+vD3Km7d+Oa9gDs/CPV7keZnRGeGYWITvX7wAGlsnhmYE44ZfnsVfv7tH3j/
9o4e1ukAyr/Jbt3j2y3+/UP5/wK3La3/hxm7BONRHGGqGmeUcE4Y09/wMfcACNcwwXwbutEK7Udv
W3zrSeyfnNsCJ4bufyMwf8/HMMX8TCAmiDDoG76A4tAUE4CfG2Dkf7fE79BoP8DDAUZAPBQ5OZBT
P1kfYQ6LM8OkuoF19obx0N2CEebw0XXOhiCP1egQxlvyoyDekjgxhO119OFKQWj3z4PM8BnXGVjq
TWC1+exMZHZGEKMwkQcz+V1K7cd5d4gRUO8KnRja/41Xzyr/56GG8JmCQUZEwHTdNtYIJjIhJkVv
4RZEW1s2e7RC+2Ee3NAIjAcSJwbwvbc6yvqIoTMwxQYVlL9FzTBjt3EmZ1RgJAQxthEer9F+hAfy
IxAeSJwawqvkw0XlFx+uv/tFqo4wl/UzAihik4n9CySCzgwDIYwJRN6/T+b796t2APMDA40B/4Do
ib0FV+t6dZTg2zwjBuGCIv0NfDqc5xiIEpNB3DaY5+M12o/5QH4E1AOJE0NYVuUxgjJqnumYUIYO
Rd4En+nAj8DsHrjq0Qrtx3dbfAS82wInhu7l6nn9ymZW/zCPaZyZBqE64T/m75DdAuONDCAygdza
Nt7jNdqP70B+BMADiRNDGLjsVQ0YH4MBE2cYUMbAgh0IxsBDC2TCNB8Y6XcptR/n3SFGQL0rdGpo
q6gqjkGGgT/eAAlMyQGoyRlCghrgkrfnszVaowM4b8uPAXlb4sQQXiTdMYJtA8hOohPEfxBhO2T2
Zq6bhiHEIO80Vp/96G5Jj8B26/snhuwk+mCrHIiRI6ylxBknpqGTH1S2OYQX3DEkHDEkFmFFBZ9B
zPUu1fYjvTvECLh3hU4M85uogrz3EQA3z0xqcAD8R/Jwh/NEZ7CwNnVgv7ft9XiN9uM8kB8B8kDi
xBCeQoI9OcaUNs44xYau4x8ID6f0JnUhdPgHDxAer9F+hAfyIxAeSJwYwp8qCDjio6Sn+JkpiMkY
O1AjAGabCoKxIMCP/E6BvUen/SjvjDAC5x2ZE0N6Fq2T5CjGGiIvHZsbznrIZmNTYA4L6W18R2uy
H9xt8RHIbgucGKyX6igGWkCBj86F8SPruJN2BANNiBAmR0MKZKQ++7HdupsR0G59/8SQnVfxdxU9
l//8nIVEFECLGduds+wMG5giqBx5Szdvz9z3qLQf4J0RRoC8I3NiQC/X+TEMs35G+StH/bYq2iyL
tuwzTOFNuSaGQrBtlMfqsx/hLekR6G59/8SQXcTpOvdX0T8/hSmBNS8ROqP4jdMa5piwfqZDgK1j
qCjYsyh+j2b7cd4ZYQTWOzInhve9v86PkpGAhJOBIFoWbD/aEEvDRQT++o3iHFAg4/Xaj/VAfgTS
A4kTw/liFR6h1gvSilDJhSGkom8o76kPMbGODcEHKYmx+uxHd0t6BLZb3z85ZItifQRvDCEXg0JN
YZI3aNHQXsMMNuAyE8bAG1+sxmp0CN0t+VH4bkmcGsKq+PDfxF1H62NQl+wM6YRQ8bOufqcmFxZW
jEKdH0zzzWdgqC/ep9wBxPcMMgb2PWInhv3lKvePMLkpUF2c6VAu8CNFMUQdNj7pFMPUNgcJqNEK
7Ud6W3wExtsCJ4bup7W3io+QPwbbDVG0ARP7AFsN8EKZAIaCnzfrPpjU4/Xaj/JAfgTMA4kTw/lq
lR4BZSi/JiZsiYGarTcXveOhAWVw0EgXAz5zrD770d2SHoHt1vdPDNmNeUrVUWpA+BnUa0FFl/gR
gO1hQ0yDcUEg/H79bHMi79FsP847I4zAekfm1PBeJ8/qyT8Kg22e4U05COc/pvMQcEKhKogblG64
7d/TT5fvUeoA1jtDjAF7R+jk0M6fYA+19Y/vO+dnFBmm8StbsRN+weJLYBNi7jf6ZOCfL9dj9TqE
9pb8KKi3JE4NZwWT+p+HGbbCQSoZqj6w8WahdxKOsL+Gwb50oLQHM3qsQgfw3RIfA++WwMmhm5Tr
fN398wBT48zgBucU/SjJ3YnA8JmhG7CDarhrGdKAo3U6hPFghFEwD2RODOnrfAU8yRFwppC7gHI9
YRzauAy713XY7GgM6ZHxGu1HeSA/AuOBxIkhfBOtntbH2coKpQEbjH/U/uyZyVCtC7kr8mbKB0UE
4/Xaj/NAfgTOA4kTw/nOh10Uhf98nMlsCqRT+iPLvJtmhugM9lhAI5EByO9Saj/Ou0OMgHpX6MTQ
/lRFq/wYUEPTGIo2HNeBir5NUZAJRfZYHwRg4zXaj/NAfgTIA4kTQ/h+9ZRD55ikPEZtroBd6tBY
BHYuv9nmnerrTRy++QeKS/akMN6n236894wxAvM9UieHe/JBrqEV2TFwh100Otnsaz3QEgo2tTJE
ENSNDbLPmy3r47U6hPjOGKMQ35E6ScTzZJU/H4cmg4I/2PqGBVj2188wUsPQ6g1Ib4jmttfUb6C/
R7G/A35nnNHg70ie4Atg+2v3GDMeasgwZC2hjmxYGsihDBRakYiftmAX+9E6HYZ9e4iRiG8LnSDY
U1h1P/nFk/r5zP+JzpwcCn4R4hCb/VpvbdWCQgaTQYtSXdA90/yXRmOogMNw7w4zEvJdwROE/Vyt
supYxQkwyRkBgPdaePDrxIROkKa5v3YQvPs7lDuM/3CQkegPxU4P+00v3rzqx8yudzbkhUYWHOoS
0E/GfGjnYdpDuzGwDMNGNODd36HVQcyHY4yDfCh1eoh/uIQ2wsfw6K9Zbs5hY+yBtRvUMBABiVE2
yIFtwrnRSh3EezDEOLgHQqeHNrzPcpV/Xx2lMpxtHPemsuxAbRJwMoYpoDoJ2lu8fn6GFW+dmN8m
+jvUO4j9nrsch/8ewZN8Byxg5cDSHyP7DfWkUDP+I7bbMfL4bMPJQbuxwV7qH0Z+rFp/h/z2vY3G
fVvs1FCHnZDHKEeEQjVGTQNq1Q6lSV/XdQaDgqfBZB+t0QGst+XHwLwtcWoI+0Xod6r65yf1pu0v
heUY+dm/G5ZlwwWbAb2fdehDNsD4HTodQHk4whichzKnhrSKVkepUtvss4Y06abo4fWzU6UGEToz
YVfXDuk6WqMDKG/Lj8F4W+LUEC5XiV9Eq+oYu0I47O1B0AjBOLSxCxqCos2+EA7O+/daRDhv5B1a
HUB6d4wxaO9KnRrim+agxyh+gMpTSgi0FvwRku8JyIzNrN9p/3o/WqMDSG/Lj0F5W+LEEP4Eu33g
aKMjuGdooADb5oFW+7Go2smREuhQBV1RoOfg9oR+h0r7MR4OMALkociJofwABrM6ysoKjlaAPdUU
HTrP6rXeAYqYDDQw2+9QaT/KwwFGoDwUOTGUv6roGIQZnKHCoW0kzNVhgA0ROIdtmtAOZXsGj1Vk
P7Bb0iNQ3fr+qUFafT8GH7LZ+IGh8QX0Jnr97Oyih+bcsINeQB3xANmR+hxA9nfpMcj+/v3/F8ge
Ponu1yF/9qpcTV6PB/ztMLq/v/r6cOBsw4Hoj6h2fy7zLeJdPP/5EfbqUFjrwGr318mDm4G2Y+LX
mOUndNtSazi548+PcNIg1KrAWwC1LFTHOkRbHz8061+XYJc99H5mGEOcJmB6J3B2jwfnF5pndBO0
waFZ0BYHio+hzqVQ1esl6EEKjaDhfTI4pkC3kl+HON6oqHNV8uup/Pj5Q1LFN8pPyuLPj+BFPn5I
37630VdHOtgWiBD1TVIO+mxtrE/6tLrbHPYGD+H/1CQhZaaZ3TUEGMUUaVEyKRgqQhlS4WRLgYJW
l1mta5qlO0l62TTVPYr1mS7CWhZ5X0nfQ/pFm7SZrAOSyKpg51DFgayoo8WU4NK8MlSj5m2dpbeE
5ak0WKkt487VZ0Wgvpg9DixNR09JxpDEXn8b+yqUTqMiW0vrSFKXX/ciqq1E1Ui6KQ8tXzW9xMKl
svLdxEpichtSLVrUcVPZsaNPUO7pc423rdSpUyxwWCVCmkaiW34a3jEs1k2Y3avav0jjJrdzZGiL
oNXac9eMIqsvzfQaVcY3iK3vzAxGcXB4CWVqjc1IZRdtEtlOY14iBo+Gkki2bn2Lwv4hrtLPZpAt
fa/4hjQ6C9IYlO0bYiUiuGB618qq0S/7VDz3ZhRaXRdmliD1suNKWU7UZJZWlbH0jHZqEucp9Ggh
daGmjiomXMsuE5J+Cfw4k5ymjuV7cT5p9O5775Mr7Ofwg0jvfM+NLBTQTNwUVGjdTKuSTqYe/D0H
NbWV5coWOJ/kqZoR3k6R2cwIKpcVNqc479e9EP5E5/UyafXc4jkXsig6TyZVkVosDmIrF006N11T
yYawx7SKLiuNunbG0kndEt0uurXDjQkhaWkRx111XfJScVfZPNQTu2S9mmJURpciIjdO3hmSGxma
p0F66+X9SmSFI3GpuZYXKcPKWaHLxFCLmpQPQaBuKxQjaRhpI0UUTPtsqkdxbnk0mVXYuG0b97FM
UlOWcbF08zKyay2uJ8KA11UUuiP90C1t3vVozqPEn6i4YFK5TjnxM/MhdYKbMHYzKyuMpdOI3O6y
orVL3V+hrnetslYr3tLcKlrNtwvN6edOqZjdlGE4SV3my5hUSCLcp3bLXCbd0r3nDod3SlEyJ3F8
WTqqtaokNKXT9pr0M+5Jytgy0ppbA3tfE04dmbSxmOiFcREbZA7dpEurds3rNikKO9KIbnEPL5CL
CmmkuJR643gyiNpr1WqLXJW57JrwqQqqxyCm39OuuQlY1drYjddgpK5y4sYyb8RV3ehoEgiRS6dI
6guzK25oSp8D5qeySL05jbrvTWBetSS595MosGK9/xplJZKFprtToQfBNHXzSpaO8bVQ2S1xvUgG
QbgO+jqbd8SZ9VXDLRJphixYEUnT9e+V5zYwqf1ooqXhY9KoR5x7nTRqtspR8C0xqhjgV6VMlZNK
X9HLSomHINeW2K3PhRmjCWr1ieGl547SA6tSlVVDf1cZmNrXMutmPIDzbvM4kg0vGum5/EvZk1KG
LjXndcpNu4jNeN5gePGywmTXJFRCszO9959/P1t1y9w+qbTLfdf7cWzurx//80nF8O/rYat//XJz
6u5fP83WapMCK4Zf2rjFX9/668DWjRv6dXrrwLm9Hd17wPP97cX3uUVYZf6NW3yl2ve4xc321p9u
EQ6YYptOFQIO4WXg6n5zixRaVFBwbYQC1yg4eKSfblFsCkM3vWngOFcK55rAgH+5RaC1CIzFDNgb
j2Bf1s+nsIUTxAN73CJ44S23uOldxaDQkIG/hNNzBN80hv3dLYZJGqUhCtA1OPbcm+qizy3YeVA9
5UE1qVnYShQ74VxzysQKsPnglLUnndzLbHCy38s4uudxY0qCiA1BBJJO6n+vNLQo6uwi1ALXyvU8
gMlf245Rl9OQ4m8Nb91ZQZpiGWfZIqtdi/b+NS21ReyZl0XYSZwXplU5QWbVXa8kL8Q88YNJ32g2
p6VdNgacFaz1N6FROVbkN3eEll9Nn4PrDpPbLtSwVKn2SfP83HLqoJCZ709dx1hGwZfI7741Lqpk
oAd3RR4gmWeFhWN9GaMsmgR9MuuUIpcoZdee3zOwcWzZ6+lVnVRLUTjPqdksfQI+szPCW9ZmteUm
zmXDSk+6RPva5PqkgCa8q7xTnWxCYfdF/uAT9OzywJNNSjPLiKLPLdeeK72GG4nMeRiKyy5yvQmG
e3BQeOn36QqChmJaO6E/aboytjyS6bNEdxZO62UyF/HnLnWui6r5FhulkiEnF63IZiULlTTjOJG1
wFNRuLPM0a9DklIwn/28ajCyut58CAxzuvHRTe3NUClqqxDBbRIjZtVJeyGK/qIpBJo0TvrF93Rq
1SQLZGaGD1nRcRmG5Re9b5aNkeWyLOIXJfJLgql74YXulekxz05KY9IUVWnhkswLx8xlkbmfSJQv
UOr5luCled4YVTohhvecuPzedbpZFTbtJFbxeacIlhXV1i1Ll72RTI2gfITfzROl55LVQkwU8Qvp
BeVNUgTRhdnGn4wLhUMwvjy2DZhPtkcdz+ZV8RLjbB7wfGbUmWcBteFO4YuXuMomqQIrjMK6lrVW
3OM6nwV6+JV1eGa6lStToS+LgJtWqcD7JUl8WwVeN82KcMrKHrydU086j6cS8ofCCvv8MjWjQgYx
+FnS0Rlx1TLU2TQyq16GZn7LwuY88MrA8vLuKjfh2TNnWfZ6KTXh8+6pclX+6CUltT3XjIU0VMLv
SAqciStFHmu3KDWzu6Jz42iGW39aUjQNNc+QFXFeQrddOzqEpJ6KrARl/Jwn7UNh5N/LsMrAz6hb
7pozzQtvcRothIh1C4oY7LTlVkB5bfsRysHdlVeYRgxuLp1knGuStsFclS2beA5rpBnx3grqIrZS
P7ZL1U6p0a1ag9gQQX4Tjpggs/sMQHtSBNqi87WLJPNmXqgtEgiljBBbbhDZpubMg7ibhiJxZStS
2bH+nKblI85y29M71yZxO61j4UrqBxfcz0KrDIk0Wz5rTEPGaQyAPJR5MOvaalqJxqrjauFrjivD
hNtdXNieb36JwU9DAO9d1KmJ7T7zzWkbG5Xsw2RuZuiKluZT0TCYBJ3VtTydhMy0adpdsipYNDlN
IdRB+ZI0DWCrS0er5lWRP1V5fR20wi4C9gn5EGiYXX7Rh9yQTE8mLIRZiIQns3YTbYboXq+cdWZs
QoM6XpSmK6yC13Ps8tbSMn3OaHzjoL5eeqkvA18XUvi15bHqsuHJstWSRMZhZDFXfI0oBCKGmFcJ
k3mHZiavbnyjfkQkXTisnRo14pMwiMD+tYkmU0Pd0cosIT7PrxlyZecG8wgMYOrXV47Rf8qUkhkp
bx1SnedZLY1Mr2Vrdnbfk6lh5BOq4YVSRW0XKunBCtOpqZdLlPRTkbDaMjtNZin6HjkFkSWpvlFf
RFZDdLrA3L3Bm6DcdW9xLy5M0dVW32v+1Oibc2SEFleNZ4WpG0xizTcX1NWrmem1NzTSpmHU3cDu
pxdK+mkSp3ZhlJMiF9rU97PEarTyuivTm5KLz61feRC06ZXVxro5aQMSfQmp09luWr8ERbX0WvQQ
VckiKNWFZxa1rHL/ruqJTfz8RXe7SVXh9Mpr22kW9J9DTHqp1+EDWOBJkei3ueYo6SLzq2bkj23W
LpvYg9CxirlFU2GV2FuSEOL4Vr92G3fJyhLMOOsWTmYGicRO1rG5URThQw3Rb2hjLcFTrS8bS7Ri
EiF/QfQwkGkT93arvGdW08ruatXaRY5XZt9f4zymEwgXXNsleNrmfSAdmr3wsg4tswwvS5+Dueza
xPaU/6gCcqNicsfCpJG1YrL1iidIfdslMs+51l0XRrvoCdivnONKJnryue20h7RVnyKfhLJJqJ1G
Ppaia67r0Ogt1ov7PkmpHUG0fZuXAaycIh7MWYIcaTh13FoxprW3/C2e2hOfbLojp9urdjhCCLYy
GjpUxiPg/7fDkyKDKpvOpOY1vo/lF31a32RWL2PLXH26Ky7VOaxrrHLuX+izxvbmauqd6+48uPRm
/xvgvvI+BOpVDge4m17fu+HtRuZneAt7VQSkZaBzOYFOEYTCpZ+sz6YMDpgg4AYwdPICSuj38BYo
HWgFAyXQAtLwv4e3UE4J3BE0bYQyjDdC6B3hLTU34evW+wMHWkBsjTfnrsNrxAfhbdEjv6v0yrhy
adJfZLD/PS2kEl7GbA3IjL6XvVORWmoQhES2KB2uLjsUF9Wk8oNOeqWOYPle+SguJXHhb7hWgTqN
TcANsMCcuGUCVBDtGz1qZVMGlfvYVLGW2j1ymRZDVKaZ6aJgOU7B8OtGC/EDJ5J7mnKnXM81q2qT
R4Iq36KMzsvklYSoS2CiUC1zP49l5WrF1KnQpyAhl3liRLCUD2ynQ3dJ5+cS4xbW9U66TFW8TDLn
AjftQ1eAF2m5cmSaxrMqXUSx64DhT4n0jcC3Ql66Mmp5I33hh7JyelfWbf8Yc/MGo7qSEVBOWgXs
WNomqYS9SqndxOI8T7pn0pat7Vf1l7LVqcRutIx9pNux6m7AP3TTxqgNy6jMCkLvrLQo71s7LI3I
Rh14j07PdQlnS02QXnV2UOHMakT9rLEWiAHftarcya3Ywc9tmyqr0otpgLK5r2cRGJjoIhAktYAA
eqj0LraCrLkoqhCWxX5NJsA83GsMTTNekakTOlasxTGsVZx0wSAqlS1TVwFRd1nWWA5Plz7YNa8F
+1yLTGKeTboq+s464Ftyr7YhsJJ1FNqRxzSrTt1z5sRAJQlDJk5PJSnbQOaRCqei49pUo+VlrPUY
fFYeXACFMsOu+1glSWCFyvRntKO+rRnuTctzXzLwxjgrz+uqhpga5Y+u6uBNDPVl1+H70m0nRhvV
MmjxPEyCOxc4C1+ndsj9Cgih3p84ehfJlEEElYeOZ6HWvEG64hOR0bWKcDHH0PPL0hN1peOknHk0
niY0/AzJ1Yc4yGBxlF1rXppa3ISAikVmYG0opiCKHxou7C7yZIXoV5RWQGUF+qxuovs21BeJmwF/
4XhA3AlPt7oiqOFFJ94yTXNsUxO4Jq9pHhNYZtoBKR9bp3nArPjEijCWbt7PEs+8Dgrd0gIBYVL5
veVOIoukaayKh6mdhdhWAsc2Lat7J+hDqQJcTVTnLtyCufOszO4qo/8aCvdbphe+1fpdIM3AzyZB
zbDFUPW59pEhcch8Wxneuaapc8TNVdID+YPcjFhE4XtTN6Z+zj6lBZppVN00yG9k69N7xpGwhYdi
CHm1K9djlz5PNYuG/rT1o0ef8WSW4G4Vu307Dzt3XtU5k5onTCvRwsSmcaSmZZl8DRJYF3aFr2CW
9WJpok7YJkYzF/X5hW+E07jh8JKSiE02i3xpaM00KrprjNk6j7xaqjy7Sjn/rDLHOwfnH00M3K5D
37wD1opLA2hRiaO2k0XfvTR1HMi6jhLbcQmziODCSosSzyLebOjW6t5wQnh1IO0qQ6wpeAH8zso6
pVtMeXNYNqwMr0wmpZEkk9YwLys9u8QaW4dlS23VRhBohh28UCWf9hp6yRu2dJU/h8U50HguAY4q
W3AaNlba4iWCIHIqWq22SWXcsZawhVvGruwDMCWYBJc4hPVd7826MlhCy/XbIHeWcRQsvDK7d7zs
pWzNwk6a/KJTzrWhpZ9S4QWSdl0mkecaSxPsIthGBTM3ohOuqmYWhOoxURDB88aEOQvEqu40QBO7
BsS9dfNgFmUlK6XBnE5SGNwPv7a0pDAd22lYAZMZC6ossyXxNOy8R9Ksm7yLJdch0Ek6tvSM+Gvb
wRPFZnUfNSWZOLV6yDcrQ1poD4Tpa88tddmFHMme6gtUqCfYAvStz9FLjeFlSBPjU5oDYA0Ujtt6
VBZgIpJsmsX8pg7CiUsdLDW30WQU1Ve6Ft7BrdpN5V33MWNTnWXCcmuNyD7iF5CHgwWiQItKhT4w
JaJdsEa/J6nzxeNmP8sjfx03QArCeq2VuOmTeRHWn2miesvgbS+bNq/NQv5vlPQaJW2SRYejJAta
Ib0WQ8AR9rvR0kb2Z7S0OaR4sy8AQpufibCf0dJmOyDkUKFdGpyayKHW+PdoCSOobjKhyzGkrYCn
+4sMhE2GWOiwnRQiLTi/DdjFd0RLwMkNoyVu8teubQJ6u23SddvRthnz3kxqvb6Oap94jpVnCp1H
LWbnSa+CwAoMIJ0CF+KXVrsQycbK63Etm8CwvQTmFi6DT61bLkPR3teovegcDKsazzAhGyTAwfn9
uemXD03cXfGYLnTfkDSClVUmiuu0bc+NtDJgBZct/D5qZFwUsnFcyB9ws53llL5Q4ZZWU2SJRH7Y
Af1AySQPtUz2gk2rIBAW2yxszcL72oGbkkXEuolZdrGN8vQTM6pKskojwBIC55j2QIQ1pWQuzM48
cR4joAdKYnRWDtkH3W++G1UoAyeLbTjy4SkLuG/Vhv/FyFpIR3BjQVthVRkYY02RL4bLZoKnveXA
8tgTOZAmRTwnRq3btRLzoo1ju2N1Lv26/Q527XtcttdIAZOnh+VXH5m+FbNwFobtQnhuMsXtJl1X
g60WbvrsQpRttzj5kkIiQFKvprZTlWvDIf0VEKYrP9WdZaX7HOhWAt7ZNSZaIvAdKXhuMwUhgg8k
s1RFa86aJlxiPau/CrPOIbEImdqpCmBZzrg/YRAATyGhCVlNve0nwvMgE2kCB1uRpIDIWEAsF9fA
ESk/tZ1I66wS3maZF6E30XyVTzrkO5MEFf7SRyqaCbMp74le9w9NX3u2QpEjwyJCl50Rgy9pwvCr
ymty7nNufAFKKQZKFmc3nkH8BeTuWgjZHWrXXaTOCVCNldQYCy6cJkmdiabaiyrvIzCJMXK+t8LX
hN3oWrZICLqFsAtPPK9JP6MOHvzMgcrvb1pgui9MRNUkNgmBgL2rJqEQVheTTBZBWsm6Bx63yP0l
Lshl2cF6HDeTrHEviiT7igrgpbWsusq9pJk7TtlOOaoh10mVCdE8uG3WplesJCWYdWQB41hOMmwu
HccATgqW1jKhPbWN2kzsnm2CHSx8m8cdmqqKekCF+vecJukMQ4hwqaDxyzKs3PoBiECxMOBYOelp
yJlpIumtQstfWuJo8zgN7FZ0/vn/GvNXY86gMuCwMd/anbVrzTfCP605LHBhRcmgSgFSKNBAD9aW
v6w5HC3A4QRkWMrCGhfKIv6y5voZmH4d7CzsERusfelm7QuVbVCUDG0/YNj3WHNYeW+vfMFfINh5
yCDYFiY0Xd225dTDGrzeMbvy4m99cdW2X397LDdva+jfKyoY3qmo2PRuhlQUtLIA56TzgbeonIKV
jt5WV1Wvb3LgL13KriInuNPz8qWEBUEe5L4dM5ptCK8F4eY8z4JJxVMojdAMNVMNnSU8n2sFLG4r
b8qK9FmLsC+JeVHpeWsVZdjI3ouucY318ILWZUav3bhQm2i9BkKOUEv3MiCRKSygwFsgfQFUl/MC
+d5LSmPPsDtgxmzG/Og5Ixvb0+NowgoiZI5c7UsQabFthuyp8tp4WgJdabHQy5bYbIDvw+Kap1yb
RCL/YuYunUApiwfLLgZ55rbBkhJVTnFOA9nlyfL/cncl25XiWvaLeIseNKW7je+97sPhmLAcHQIk
EAgkwdfXJjMr0+HMZ6+3qiZVk5g4bBpJR0e7Q431l9Z1T9jGM0L4ctIVuGHW9fuum9ZsLIeHMmA7
cF1nVHgvWdfui2XrIHF885O31jXa3j6RfF2L2Y+BXE73UcMTyxYHbyBfWtvad2I+TsLuU5ydb00b
H5vVdEm1jpkztUdA9S+lo3QyAZiriJXNbf0yyZInMvJx3Ir3rGqurRW/3gEtK91n2VZHMkd7PgQn
vxuCbHTVmXlrFgJtHMWwD5cBu4YPtqhep/3aspuxhGZFrvRqqu1nAdg4Xazm6Fv+w8ScNnFXrwUc
4t/X6DVTKg3N57g+LGyok6AJAJ834c4eQNz0Yftl9kmu7THFWNAEwh5VYOs7GlCQxFdPfu+lmgaX
UIJ0n9brtvbvKMeBcS75LvLVmerx0C/6UJnmiaqlSjjRe6b0ibrsPnR6nkwNe8LG9ckpo6ewnIt+
DI/xGhSWGb9AnSOScQId4snnHg/vLtzsrGX93rIoXyKajmWQea05CY3j6jxUYHmWDn80Bs7tR2VS
hdEXrIKiqZvnqiybxMipKax5xrQZfi59s4+nJvc98WUe7WfLsu9lhDNMWzaZMiS1A/Z1bcvbljtr
Qpfq1DZji0OBaBPfih7oStJBANeu6qoBC8u/EofXiSUoVB5rFJxjI7tjDRQD8iFHZUF43xD/8yxk
VVgu5EcgdrF6Gn1vO82VNYs4cQcN3nYwY2I5wZ2JIT2ZAXpcqcpuExN6MidMqMT1sYdrCdAM7VBe
AzSww7jKyFDGX0cyqZyike0TJcIZ63tUpUz5YpULeAtVX8xYh6dBhDYYHjRcHsD9dLTaNmtYTzOf
RmPCwBDn0+rLpJvK9q4HRT4lfLavRAhwiC6gEYbxakKHJHwhD90MiMvxuganx0Hugzhu8qqeTyF0
EolsRbdz1mAHlQnJV7PRhj4TeT8NvZvwml1HzIYkiFnydlV44rIU34J1+TSW3kvUDnvUt3NDHWDK
jmUB+7BOZeuil2VOkLRhYNKJ9fy+D2YLSzUq2dPcdndajTp13fDar2OQJwDSGz/zAKZnveiuoiFC
QXRw05G+7WavSgUoQtSoYzWUe+ZtcEWTinU6scba0YCebWY/taNKvdk+alKyXWfaL35TBoms0fLG
4K6dyYY+C4f/r0Kjh13XQQJJGjR/aB2uC1V7Oy/qgSOuOCnSeG3zta7H8xq3F88V+5bIWwcEVMrQ
Vhs+dwlAywwl7+A65YzjZzge2KIet/M2d3k6A3lk4B9mmqNL5gQ1Zz5qO+y/dJC1of5aPwdJ7WyZ
RwY4aPWzUYT+de+xETxaC25LNVTtOp8vUF8R+lQOuII7s4eOAwtD5h05zsvYHFlTXTogMimLvPgw
ty5N/D56CIYedLnf+ID7XTmgeS7LImiHh7BcHuIuWD+vZVenbAZJHsyVk0TaFNMSWzthq27XL0Of
MvxiMqpg/jzWLC62Lmnd9AIUuxKd9r7qMMRaFF7MIYDi/XOoxKHTAHsiMEKyv7aX6NgOy6NNm1xB
UAXghD7OzH2I54FcmcWoQ281Y9aXDMeRudGJsO1nUKpe5hl/+DxDtpQBmAX3SzHRgd+JxCq9z64h
033pBqaIZ4ukzWwv+fvb80aM/AV8x4iK2743iVaDIG0IH37GefK1rgMCrBCnpaa7TG2ToZU/BKG+
1aMs3r/MJuv8h+tA3xJEHuyTf2sCpmjlbUW7C2fsLEP3EVXpJub8C8rlmOiFYAAWtldGFCxu99Kl
J6rcJHa7K1SqU1CCLCftLS3nO2jjco/OKbjKpKvKH/0cqmTBEgD5dAntCofvP/u6f2hg/vHO8cVz
SGz8AFma22H4lSA04HNfT6TtLhrYVLU82BD80f70/kW2r838+n42dY2HAzr0Pfi++pbp9foqQKfF
wttZXURFZWKF/sHrURjscsC+oVQAIkF9tgTrbzuCOUjsg441AP1FoFB59u3a8IJa63w7U4/cd9iV
5l5dLNthWCUA9wK3AVXZV5faqo+mDPDOXaybkGuWLCRY7wKHvbQTSx1W1btVD5DAOWFOWd3m7eR9
s0a3CMw4p6hKISh44qT9AEEnHVtg+wKtDQ0Pw+r+APb5YqIgmQN7oxbYeVkjlUTRYu1tRzdnmwqe
rGaGCsaZ6oySJsqcuvpUzg5/GHSA/cOpTgEXQSFDMe1DnKtUjy3OgTJlaSLICm33GvBHl5nVVKj3
7FTaLzMO9kF0QF18ji0GRE47+6XxQYKPNO9Et4LfHhPPsnGgQuthsMyyqAJubSy+HyceJNwxx9lW
Ly0gjW8LC3Z2iCN9xOjZ7VeobuVQ1J4EROGaOx6G7EJmJ3HC1VwNkTy/Px2gbP6H+YAFGWM6xDY+
4bz9/NWsKz2r7/Cz6RI57otHJM9WaH8voTVApSTpl0oGbdJJmjqhyeKajQkq6hlvZU1K2kZ7t5Ln
yQKAt7rnoI8/e35HC8mDoQCK6R944M5JVQNuV7GCEKP3AUJgU8+0Uw8ZYAn0IyhENu87QALDfcVr
kzpU9tgNZplMYkg6MRQhX7+NffhCQPylyumBK3D3MXQX9M4QZniTk4W9HIA2WC0UluHnJg4PunS/
A1wEZ6RRBgjbh515KAmkG2pMB5AzYbBghgjw1O59oNS5bej9UAd3YJ124TJ9jtvWT9A32nk4zOgF
B5VD3qTSOJCQjjZWZpcudo7QerEwJ1JBvGfHsz47VA3ZMK1eTiO7UKtlEsv0ueOPO9tuDkC0creP
EuxGmd9OdhrH+ioaG7wSJbHNi3Rm04OnxYUARpX98uJp+9vgITQM2t5gwX3OXdaq9rqn5hR1YaEh
BaJR3aR1B80nqW9bYbWHJV7zXi55yMqMCzQ0fVjhXILFqCxyq4fpJwRqZRItdgplCViCuU1DSTMX
mBY8MadQervaGzBK0K/mfrWm0JSJpJ3pyXLKvHX0Uw+xaGXVNwGF4Jb2hdtCX45dnOpqHzvsWQlZ
DFXSkYPvZ46DXZOVupiwvXcj9BOzNTQZa61do+OrFaqYiEAAq51Kg9RE0V0hLWicGDqx+KaMnX3V
TVeVHk5dHKDrnZh1zQQE0QuLjn6lr4QLgR5YJ4yNqJ1U282eCn22JE4JLISgiOf9HHVAxG7CII/A
DkCKC0lPuBS9vy8j9SRsK4m5fQ4DSLpN6Z8aqmWiyhJglquiVELtmkZN2e20WjOBvmHfL5PMljDa
jwpdSARVUhJBg6XK0flga/tgpXrb8ffVSnUpWRoi2vkSYt9X8sw7kxoFQlFft+PZwYnl/doATeff
dopXlcF7c5x2Ke1wukBl6PsfTvRdmTtFTl31Wfv79y8UbHvOL70B9qQQ4SQuwGO4IoJtZ3z1ZFpO
amiAW11WZ6lyURuZ1qX7EMiqP9DewpwzCpRebSe9YzvneIiDJGx6C4eJFYpA/N1UOtZP345vTefF
CdQqnwD+Xfd2dM/QvuHUk07SvTcVJOXdVBV8qr90jf9kUSbuqrlVeUDptOPBfBVAgInGIl8cW6do
8XaQvkVPxCX3YmUZkJTj7E0HAL1Xa7UcAkGudVtdjdi2I6u9at0Oi8naGLjUCOeJizGvWXnQAipp
ZuJkCvjLai9BynT1PBgyPrmbBN6VXvXBW/0Vb0HD9ealbkqWVy+1Df2uHkHEXGLzha5fl/h3PA7S
538j1f1g0N5sHDCsoEeu2uVSx/eiIfBjPH4wLd6/wGbCe/0APOSt3brVcgncm9p3Erwmmy7p+xfZ
3sLfpx6+Q4CW1Ani8M3UM5HUVPp4CgImdvo2aY6e5LE20Qej4f46x2H3IQEy0GFJA/iF1tR5c6Gl
qTtdrcK9oI35hk0te2BFmVm5Sur0KemSp0OYqtPXuzqln0z+wvLlK1a03HuH9x/4NwH12yd+tax/
u9FX84KomghSoYxMhcrs1M7N/bzjt7QgOUnZWDg7vOfCSUFPJzSHFlPl/qX79v5dBBva9/YuXi/5
rfi8ugtI81jsgsO9fDYHN4+SqSA3UXINSwjNdk9BegozviMXWph9dx/sH8qs2pk96l6y7nqSyAzQ
WUYy6zTvu528pgk1SZV9Ai9wAYuyCw7k0F/p/fjIi/v3b32TEL176286aMuVNRNWjXmZ9Iko5A9R
iAcnG1KIYDKagZ8t+LHf3Xw75fMhSHFgb44QBRybS5Vi88nDNvlepp/evyv3V/Dzb8s9fLM71HWv
xijEXdEDSWi67vmufOjspE2hpgyTMhnTJQH/cRn27hcAafn719+m79/H86919KbaoNRY0Pgs5mKv
fR5pfbVa7UXNdv/BprRVlfeu86bqxHXsKbUy8HUVuBH9zTZ7HX5dvHywoVgWxftP9c9D/edTvT1M
WhzFPxia+UKjFie/O1Hd/s8u8ObMB8aOhSHHAQpSG7cBDkii7P0rfDAwbwVnFhdxFy1YaL24SN4W
wv28zvEHo/LRe3pT3KTDoLyJmulitlGBjJOY5oNC/dFzvJlgc7/KuZMgarUyaR1eeGvSld+8/7I+
mF3Rm6oUlpW1AJzDbmDC1Cdd3rLp2vPmNILYpNHuRVX1B6/uH58LH7SKtgxuG4rZXwth7MF1Jupp
vvj859jAj0IB8u3ef6x/HJ5X13izaFhFpDVQ31yCBuIg+5bzD1CFjy7wpiSuLTde0w/qYqNoA4xu
PfbBa/ptf3xv4W8byqsNg9YgfUqGeYyzQTKk1VHtoTJO1vQIC2JeXc8J/0Dr630wG8LtqV9d0gH+
B6sIxR71GcBwh6p6rnDtRL84p/WgkpsVoiZs3UHOU0iTb63kbsq3Xf3mebjxjji1wxyYL1Oy71K6
++j2/nEjx/fC/2xd3s6cetS2U2LROdfbRm4lcsf8Q+ekSbvzs6cuOdrJcvXT/orD2fi4XOlEf1C9
3K08vTcob8YdDhUIrciCXiKD8C6DZtANE3LFsjt4j0/ebs6eISpLOiC2xbgTuzi1PqjQH91C9Gbf
s8xs+Z0W08W66hOTAdlsvgeFk0VX8w+zFzk/RTtrZ/2snr3U7NrrKmt+vL+6fjt4vfMWojfzpFUe
92WHqTkWkOsnTlJvXd2hTR/UwRwO9da0XGAufgKrnvFC7KKbORmzOacHuCS/sA8q5W8Hs7/dz1/L
PXjzSmKLgBtCYMplyP1duIPS1RRrsZ6gIUi+VYeyaNP4IPYA9U4mjR7zGN0BtHa7trivs61J+KM5
+CM94Ob3a//ufn9tm3ztovx/YMd8Tb5D4oS5/ie6+7eAgvSF1T/7satf/v5bf9L1+O7C9pV4WCaB
WsXbqfhPuh6RrlBW2SGOrCG+oYWjzx9OTB9hcA6Q9Nj2ES3lOjGKFpxjvwUUbF8Yxx9EzHuMbQP5
Bf8JXe/gGq/W9nZgwbesHXxRE6IAD9Hhb/Z0wFdQ5c6zuXTaI7mC01kA+gMuCrG2VrehFSzHxqiu
zW0biiGYsdVj60ukEUjSDU+v3t4fE+g1ue9sxeyvOf3b3UCJ5kaAB2wfypjtbl/VYr9bREsoYGt3
6JxL1a5dmcwRFLWAQCYcCJT25+dIoS9PRh5P8JGDu6yScgXVnOJDZd13Mk32Nf4GnTOXMedxDazY
2S1hUP5wFssxHxWmX/fE3+8Yqis4B3Des/HN4Td3XEcUY7tMF88EVZWFZmWPCjl/XjFFELomajFO
k9VRGSdrFC41pJq2t4OWaYFQQfXTd2qkdNLaEvD1T2jvk4lTGwj3CLVYXgHHu2lncuSSUJlBf0k+
SQgFWqYDk9fSCs81VOP8g07i78OAT7ZBn+xGIeaGtzkvXg8DwHUIQgWTF/Ck5FNfweiQ+GDIRCJA
it5AxQmcpHTY5/eH/9cmCRi7g2/4Qp1C4Eze/tlu69XoB7apwLtW3aWLV+fitHS+dHJM67ikn96/
0q97/u9Xgm8EX6YDW7WJD3+9kuj8ZR1G2l9iYfsvg+5HtiunGAxwK2huDzNbUw/i6R5wYqD5R5Nm
mxSvpzmeEiIZaHSQNBKiOry5PDIiESLR8foSDW3wwps5eGnZdg/BymUejjjLLTaGfqfZoN1kaPvo
x8SIPGiy+Ccw5qOderrpW2i9Ov7ojQKaSBovyw9hKZHZ1gqHWEB6fwTNHCJD5P2396ZL214fYnVQ
NsAowuGCVKVfX58dzkEXBKUFK2vJX+pxkiBOrHaCMxBy6a46alq3X6uYiJNZB1qEvW/q1HVU9BPE
HZQgC1IDoAFv1I969AA6BoJGHwFXwd8GGdYVTKItuA056EBjfr3LcIxr5JRM3rnxB1GSOJsIXXew
kXikmNQ8p6MZ7FvFlwACN0pBNjgAGSBhQIMl3LRlA78TLOCAegHjPemG94dFTghOCAbxGEp4rMuh
K8GMNU2d1JMHHrZsJJg9YcnrwQIzUFUOaRILlDFPXUX5Pggnduc21U21dJ6BIiEaLhMkOpPLrU2h
5+JF1ouL2uDPcAnZGrkmjAbxc2nP/pHCcnRaK6MIYG/qc5i4l/pgxZtmXIMIyBzoELO1Md+EHKb7
2baAkmsO+Xwph/ngl677MFBHt7sysiB4WmlbfkXe9IhGphusLzAW8kwI6R7avhMHZyDsew29Bda9
x9v7mpQmStTgV0fYZeZ0wXvYOb5LriEHMLmvx6GAL8hROQNjW6VKVzG89JD05lx6aIUAo9LSqmyQ
BP20x1bjaviFmxDQbcQ+G27DzzgScR94U7CbSWO5IO04IktCSDylbZq1UDBhQEdj7BdXMv1TVkIE
KeInoL/tKldVhZmaHotD63yp1BwXI2SoGZs8DhmTCBBS4yOfJVRcgZqRTWOlUakjIPogqxN/YmWK
RICO78YQ2nh/Xuxb7Tl+VsvR3qI3/GEqvEkTuTNeZE5hu66svJ1Bs8Dzs9Rs6cbvtKSuuz5LbZmI
04SMKOX9N8h8mskbk3maZ2GDH59wtj2Selh3isxTeeBjDVoEFtL+3o4s79As25EUhD/0Y8tgE4Ph
giAz6yDrhJuctXoAyIRMgXRkk1Ne0wGRRj3sIRGEBothZAK3M3mYUbrsHQmvC/bCIrRoU14rLJ2w
SodYwObseK2EUYfVI0nYgM2rzI2qw9QqEUUPb0Fpd37aQ9AFoprMuiw0ixjPZYmuoAi6iq8pxE2o
mJ3b+nPK6WgxMBdLJW9kDS9U3ld1/NOaVVTbmd2706724zmG2aCsymPnRRP8Dmln5LAue4kcZFCs
oK0jnpdSIX+GjLKri4WFfNnbUnIB9nlhdRoZ2JF2Yz3UVophdZ8swVf4gbywhRG/5TaIo8a2JF55
1yGqBakkBw9CIpa3dArv1nnyvKKBitq5ooCHow7+OBf8QDkq0d1jM/aOTbW6bTEL3AGUPayCNNmB
3ieNG/i1zjxeMLXBrIoxKx0HNmaEarCsKr1qzqJOYTjrCGK3pFsbb/3BWoR9ZzFuAE6jhcO74ti1
v6/qqA1Tt20HL6v7uszWuWyDxNKjIDdNqRs/9WrYg+E8b1bryi6ZXziirALcLgxyubPQFQRK7egq
b4lPIQbB/0scUpMO06dC8IPRNbjbCeKZL7DS9TBO11hHyDRau3qtk1j5lvewMO2CdRJk6bOODNM5
mDtsSZWMWvwC4cgUKcqaOt0zxIwdPQ4LZ6aQGrkuEAlV04PfuMFLYEpeJrGDyVvMnYm8XMI5hpuf
nYZnYPtbmca6zGsQw89Ma3QWTdWoewmhyFcxUm+vIl2VedwGNnTLcYm/E7C+MUU3KucCHtfzb+UU
OA+IMML/0KElNyf0Eplcubyp96NxXX3ookq617UVkU9IJNgmZ9MMchcxSeWNWfwpTu0BnE5CdYcb
A4OKaYAdjHzyYhuzm6NKjuBEiekPkySle9OMc9veuXFH/IPxGz2fJzNtzSddzE3QWqHJe81x6b5f
VzjZXT6tOxvmOTz8dusa9Qn3JbhzgVUfTzEPAV4Vbft2TUmrsHQEq9r6thsjLPlxRldQ4Weoqe7U
0esBluQRpk9BbQy3Hs0M6x8FNFHb82AKs0mF80UN7lY0sJhSPBEKiCHO1idPHf9Uuh45xqqGdgw+
OkRjmaUKX+C6xm2YsVnuvMnY8qpCm9tcQVDWNvcxdoud7GznMpBqeIZ+OBwSxGzU7rGPKzJflbSv
VLaM0QDRX4ToCQG1X5va0bB8a1kb3JhZ2v1+sBfVPumQV3LPS4v/RBbIVkPqgYGKDuHCzmt3obIQ
ISdPUJtzWNVENSSRjzK3jJre1f0krwhvmyALXGQsoext5gJFXQJHlKWqnLkdlskKpROY6K53hh8c
BXk5xtDDVbneKnbeBBbeqFGryrHJaGhux9kN05KwSWGn9RCBFkEu/GUkijxYC9r040qgKv4+yW6R
UHU4kTrUGsFeueFIU0t9mL2qg8Cw6NRqSVisvVLT2SwRu28UhGBxJPc+NyrYrzrE4LS2I9edYG3f
n7vQ+Cdrsv0+p0PH1VW1aEE35QGnD+hE5HebdCgjKJ1SQcwlwVMTDeModoFluGfV4NSfnX71YoAP
6MCWRzF5FsEfk+UIXYIFpa1VCv2VVralIHWTYXuoie3cmi1cazfOUPPl9Tpjktbu1MCZ1rI1uPBQ
MIZ0BWWHZ98Bppgu6G5krqnAqOm4q6tkXCPoQmMpWe4Yz4yZYm487tZ4wOxvfVMhCwN2YZmWQobD
E3LUnAfoezDXsNMhCoxBUX3Tkc5BgXUFaYoYwmkorOdnN5517CDsRUWPgdsNOoOOZ/LPfslidTeU
ksDwAQs0B4kM2WGBg8NiTrU3tf0pGgX1blxjsxCJNT3BcxljVed2tITOuCxRM9CNzdOZsRL3P5K2
KiSNW5ppY9uHZfCx7heYpaByLGn0uxLnfxsjOdfQucj+5/Q2s+oXsOX/YLAVevR/D6f8lYH+Gk75
IykSv/nfkIpr/wvxVRGIRdj1f7Of/QWpIA4SP0KI1R95kH9CKviYhg1mFp8hRwAAjGtIsPoTUsFH
ED049TfF3Pa1jTD8TyAV2OreHO8gsYKVHJgtUiKA4GyZwa/PsVZsee1oWH89I6tpPTeuCJoLPt7V
uPmE6KobZMqoKeUsuARiuJlp/M2vqM5Hlz8oh/UoMvw0uOMzW/ojk91dzetsstweYqTyDF/eGYkZ
bdpFeld5qsrggjpRWz/B6PqD1NIkvXLR7rVhfxtUa+Fwv0koJGczlFyZ60MbzabmPEG/YJCdmo2e
6pyvrgUdORp2VsA/ECP9LvLG+ui24VTt4N2FHNZWJET+nvDQr5eWjYCaTbYa1RHfDRE5hgxi3Aev
nLBwSq6bGW4EOJlPY1PL50aXXTYDQXWLzXy+IgwJHlzZhU0KfYHUOeAOKyMyHhtYzyO15sNY2UPO
g5AgMUCbr3OIVlqz7ikSiFuZqN7FigBsrsMXUfZlFunB3DYx04U39+e6tIfUlZMPG2CdD2sJkpt4
eV+qR9cuP1njepgi605FPO2UPkBfnylrOhkdXBMVLkksEIzI3DtYqV+E1V/hnGYl/TSfISxCm2iJ
fUwhrR6Jc6dm64Czct6VwwWeuZ8uenxu6b1TT8iZ4vuqHE4VgVDVNReY3r7ai7wjlO3dJnxsicpo
EO1Lp7oOKWRhAxP3TKxJ1NUZE/ZOB/JunGKoevWhCX0EJYRIRYhfSCwhYNZzGnN4ERvys3P63Gfh
xdNzrvt458MS6PTyXNbyhgC3G+WaRXOcCcvJoea8rD2/Bl6QQKoJjMXfS+M+rbo/K7dJfN5dMJap
aHQBIO3SlP1FeuQK/uJinqYjEsx20Nl/cQPU7Ho6C2/6WvUQx29DX0XkwR8BaHFnF4fmBLHblMzE
vswuTiVDcxlD93ZYdDqt1mNAvQODNw7n4D4TLT9IyMBA/iakHH4QXyITjD0hvuyxt+ndRK2iFMEJ
37Mu3Jlf7AbhpeHinLRvvircRIq9JGs751Sq9RhH0DbQ6VRFiLypkZxj6KGXSPaMl/HHGLlQOZm7
cdliIisV3CITY1eHml7C0j8vgcuvRwYRH7KPBlhE3N5DkIbC+wrMcG2HwUk7mFIzOkGmpJUOoRaZ
kOT7UoEaNzzzuYfkqOrWDFOYGVFjb2RR5g3Dl6lZMP28EMfscocUtwUZDiXs2uysiaHYA+eHFu2x
Z22eeX+S0BCiQ3cQmJeAf4hSi8KgJJTV5S51zqXv3/mwpaeWj6SQxmDEVYNTg7B20sdRXjX9XiAB
K7Vk1BQIhTpPzbxry2pDh4AuIHAEswOj5UI4SGZ5A9v/kna+vHI92GHoIq8Yr6+h3Tx5g7VzPJ3z
EAkBrlsneuDfhM8xGKuVIVZPZ02JGNN6Cm8DFh96dBPZ2Dde0rUl8mZXMyF/YU572yWpS+EnbWpx
glFiTlrEFnG3/zwBlUwWl6vU4utldryzaevvoYcEOCt296WAbt7U8OR3jboLO/fTRMIjkjL3sTUz
2Ec7kSJR4QzOZEmUjwrALcgsCTDLzB3KOdE1NKbNvJz6wdHIMqivceh6VCHcv5SahyoMMN8Bi3QW
8kDj9rrEuTqFzwvWorF5RIBWl5KaEniaLH1C7Ae7ogGypH7b8v63O4T/e3u/DRT53+/9gKpm+fL3
fX/7rT/3fedfEQls7NVgCIBQYF/9k0rBl7DiwN7kzQF8kRt/+N+hlmQLiMaPcFbDxvyLjz3+F1Dm
ENw7Ot7/3Mce/cqTgguIItuJfQfS++1LPvH281f4tYFrHMfA0r9uVxEthzXsEQ+rqDeV1zhieAin
tQBp7eMtr9aa6f2yJdhCwSeyzp1h/SmxvwLxbXNYEfxMBtze2xo+inhLxJ0RjetsGbnwW7/AhAMS
1AMlMErES/6WqIto3WZAX70JDcWWuqti9PbxlsRbk1Bm7eyUgL9aGOe3xF66ZffSELnEW5qvE9VP
CvG+8M+BSUTeL0LAOrXu6mHSidoSgVtEA6+V/tQjKhhZs0FSb+nB7pYjTLZE4RrRwqQZb0P4KfYz
3xhixA8j+BjpxVsiMQ70XQZuvweWNvz0EFuMSC90QVaUT8sPveUaA0/M1ZZ0zHh3Rn7Hk+gqxJ1t
achgXpGLDLU0QttghvR6C3xKTMbUUeYK3sYmdxGtPMdlAZ/C5qPcOYjYkIhglrCXjYD83MZRQM1E
m47K+zFBCIg6uybE3syDp25Z92sAIHCuyjGhEQoAr2G3QbYJY2IPr0lu+uaBwd6InJVbMdpX1ELU
EEd20BjwW4UhneHuQXRuPXa7yXLiIg7F0Qn4V8jqWQoG6IQO6gRUCNpRVnZwBHrueOsYW5RfmpEh
zkR6fdXdIqBtETu+5dfBH2d/XtZmiy9U7Td4YgtDR6Qn/Rd757UbudFu0Vc5L0CDsUhe/uzcLakV
R+GGkEZSFXOOT38W5TP22P59AN8bBgYwND2SOlR9Ye+1ze47tIGta/oSdTNfjrrho7IN5Ct47YOs
H/ftpK7sHCqiNoyQI1v1OUCRC2Jveha6f9/O4w321hd2B0e9mJ8j7o2VcBrAJtJ+j8wR05WcXlJV
JRzpJdN6K195PZNiBzBS7NQ3tMx7FyzeBTPs+yni1yrTrgqk9M7hCCTHU/MnIuB1p9oE2oDw4bxM
+n52P424sBkAtd/6lu4/K21zjUzwKpG+tXPwk9R0pshq8YWyJ1tphfoukwoHVTfNW2+Iy1U8yZ2p
Nc8R3POCjw3473zkZscl6zbzppUL8YVOdxzscIX74HoKtae61SE9WAaIoPjBCZVklme6QYOBkE/z
mt51n7qJu4JqesypSQPFpLFbRMhKJJ+Nas9lZr/2TXghUjh4yRRfseU5lWARwGX6p5yxaGBaVr+K
GUvUKkIW0vbDrhppeVtlGfiLyR5LvOfZLTZU/we9Qa6QWOXdrAm1iIlZCJjOg6upu9HUKPSGJ/Q8
0aFU/mEeq1MovfIEqvxJjOGOFc2dJsRBWd5Zw2SndPFR2vNVltX7pOC9OQswAqXB5cdW4bbvi13C
IEZ20a6Olb9JRh9EYD+Kl6ZvDsqMu9vQA7ILiHqbjcNJtE2y+fdq+9Xbz0n/91fb/6VvEvz81+vN
5pE/XW+OZxgOvS0O/mWx//P1ZhlsmclMoKukv/39enOJrqFNQwf+pS5YLsUfSgEBzll3wC4ZLjqC
JeXgn2BavvT5P28tuT0x7zlCWMzVlh/lj9ebH2pYSzyvPOdjBGF+EpBCzJTPLig51njexoxrI2CB
hus1cdNgdtpD5RiffQHYqsiy4TiwhwkyxZXGvmYvC7nBaYHZuS6soMhxp3QSFLIbvw1hDT+ox73d
59TszObyjZtBJ9XKyb+mJHtwasha1WBRkifzBcrHBynbgvrvMYyt+yyL8rNrhBr3GKVeF7mSk9mI
jlmKI9SWmNB8/8aDM8W8yfwwtLrbSlMb7vPK3zP7OcUlh6Y+5hutGW+pFs9jAbk21Sp4zHUg7Wrn
6E286p3xInPrO9XggIO8fNk47gyU3uKz5qtVKJvvU4TNupCy37jzBOQ6Cncyqu5sf9qqkYAD34ZQ
XNfRoU/dF8NgDTmMAwrEihNpRsYzYqvtxmwPYNNYj9hy1mmNJtqZb0NpTHtHM3hquqg/pRHgsswB
g1xGR99LKpzP6WZutfc4Tn1Y2HjqoWfthnmIVlWIH1rrMT4ZCjFFNzOtT71rS+ZY06h6gWyWeG+s
27h0b4vm3fSKT5d/rpt4yqKKW1QZzauCBbtqwmVU5rbrGAQ/4+kYQoEwgyLFtDKldrQSU7P3Cv92
ohu5rjLjshrjkSW7UWLyLpo1wRnmbmY1aWPtWyW9v/Y056HMJ/9Y9cwDXHx9ogqv9KbElBUmbCHS
U1O01+y11m2q79Ih3xaj360NJ3qkbbSxMdNkhAxR135abefIvZyq6ckssq2d9y/2MJWHzOpv6d3I
uZiHD74z81wr/ejdyjiT9moFlTGBW/CsIEzUpd9p4UVv1W9GHaJirw3zQDCGeFFa5m4A//nOZsqb
aqPPeIUJQajjvrySveYeS1k0DFsL8DguM0ufJ6jSAkd47+zehmPvWAH14LYuubGtcDs51rC2wvrZ
twHUMpfY20nJt8CJVnbJvh5QqHYOT7EnAbJkan6wysIIbJOO2irdO68SJ5YhH8u9vTYS5zblojsJ
pt1zhqpGDWsW0gheBQMd6pL3eC79Q1u476PrAjz2ZhBEELogxDQ3ONl5iuvLMIFO59ZDeSxcIInY
yVAk2GhTmBFwJXWBMU48YuyLAPPDhJcr/EzL8BpHdkcnjB6nV10Bm5F7PpzTU2Xm+mbWRcVlBEQA
hgA4vuMQm80aP9BzXCJYEKJtL0AgwtOAbP6h62FyX+h2CWfBYxtlpApSxr+3E7cTN8P/q2H7T/qa
fbz/pfP69WE/XU3gTAnCYI/q2dbCw/2p86KB8mzdAq1Kqg5f+tF5ub/4YP7xwywsGvRvfOnH1QRv
1aGBc4Ug0PqrX/sHVxM7lj9PXF1UctyZ3JHk7GA8/+PV5I2y8jtPdeeYWvXopb4NsnQ8eXmKVbCr
vwkwWFXcJmDc3XT+UEVTaTcd85ypmqlUjTG98VWZB20y3bTSPjIpKrZVCunAmCfEWExAd1HagzMp
1VYmPZJOYjpWsgztgJ2MVCu/rzCEuJTAd5Msn301FdiuMS67rF2BLpiNfexHbT46ZY5beDUBBTh2
gD5J8dD2LVQlhoQzOjBAS5NRoEgxEv+QLhimcgEymQuayfsV0nRXflGbvAXgVC4op77GiOz24J2K
BfSULsgnc5mc1lCgki8clDTAKAKIciBFeQsyql/gUX0641pdgFLNgpaqh+bKaIBNtVCnauhTE25p
pU9rEyqVbsvTsGCq2gVYFbF/opnwVvh38XnSkQcy1FoGua38JFxIvNC39OG2chigIURBI6AaY+/X
3a1KrDsv1vPuUAqltTeRkYPDqMoVuHaxr5ypye9Eq/v0YR12zcByQ3tnGQPQUid0PpOwGw5LWPOO
lJdkPWf59RQ3V7TRxzxVV5VunrxW2xbNcNQysS5m9jsLuo2psxOV70Nu3mLAf/738PgqbXW0a39f
2v4nLaP8469l7fKoH2cHvCo8n5YAdUDWB2fET2eHzk4GVSxRI18yVw6qH2cHoxkEBZbOGudHxfvj
7PB+sRauwQKY8H1Oln8mgP2LTIw5DXwEfkDP4Oc0lr3Qz1MbWbtDHFteetaM6llGzDvmLn0zJueQ
GsRZxOB6wZFsXMzIeg88jrAJf6quBg9+QzhADcyi6guXDNUcArB09K2O63xY2MAelFCihaYLvQ3X
QisQhND2RgtNOAUrrBa+cK/ReCbNaybAD3SG/Y7bvFmVWiZX0hlPI5hiRjfkWCV8EDmFN2LqQcIs
VGO901KaZGekVmSWQh3SUTPogtgIiMg5aGRzogM3ZXrqRioNCpAna+Eos8t+L3RxRBsJ/nZhLcse
6nIGH8pRXL85QObZNx77hdAcL6xmpbQhSBd+cywgOc8SpnO20J3dEHp+uyVhKwwqtsmBCQh6VvKy
JUCgBBCt+J0AS8BOzUzzdoiSdS9xmidgpUPDvA+nFIti2mUB+BLUrw0U6jJhvGMDps6sKVqFXvno
OTCrhT4RjrFy6AvkXWvG5QsSjm/TbA8n4EhnVgB4IwwIFHFVv4DZPkR5ssvKgWyEzikCyj6Mg1Zo
Bir0LpU0v1lVs0ScDWcAGWKTJJQjpjPLzeyzg5C1j6Og6G4tTb078CJ3yEVWBiKQE4iCdnxFKbO1
S/HaTFaxA7W0Y8IpN3U5ZMU331D5HR6jMvmI5PzO9uF2tnSOx66ECZDUyvNeayO+Cnl/H/Q21/dj
axZnsw79s52FzXHyw5Xtc7IOrti3NbxhXem4Rukbrqx4puSOimzYIbR7HMBquVGmLq2x+GD5bu71
Qi4AFMEI5t8i6df98mKf+Ptz7v5DvWZ/qZForn8656CsMpg2HdIm6dC/JPu/1UjWL/py/i1tMzB4
m5n2/51ztk4hZHLCsS1mAQ306fcayWfaDedP/xLEf427/0GN5Py1RkJr7BjL9wL/QQ/7p3MuTzGm
pfwY595XSbOOLeuBs2of57lGISI3BsFxK0frpyDsO0Znk0HTboqN0fvHlvndqsQwv5UxGCStqHZd
TAJYbkRpUIhsE3fld2mOpITNbcd0Soii09aW1n1rWCXeon0cdqIWITX9JIgCdOnooOiVbl9fopPu
AkeauIBd460Nm08dyui+HHKi1GKDBrJgFBWN3e1kjDduH4ubqszSlUwGb62nOS4bT2RB6i+deeeT
6IL1OcBYvvHGZBvLTtsbsRtuYlqXAKj+u5GbIzGDfRgFLaukvWjIbpHlzJjOQtCVhLlxDs0Yo1GH
/6BVfr534XIFJd9+jtI8qNkD8F040mbydwJmH9Xat4bL1A3PcaGOY27ymWVwAab/tUX0dhIyxFfR
cnD3kAoLp1nW86de0zFtCQukR0aw2rwsn+qu3oB5AgOnRLjRPe2hnJs7RKQs8nTv4FTzdT0k0xpt
9qNVud+LuriqICRR66kj1N5rpw3vZQ+1bADl2if+Z11yxHT+JTNNmm08Aysjt10USMVTPKRHkUfP
Y9w2q8nXPkfpgfpp/S3V7ouT+x9l7qJTRPC1ivPWIyiQpwX8NdtIJdVFFDEyTzj1X8y8uPam+Fui
u2iRMxTsaY5FQYPESrASGJm5aR5F3zyzFF4VtllsElhq3EiRYm5cfSssHzq5nrLh84RcI/a9L3jp
09TsLVDaHJ35zABfpFqxQpd7XTZQeXSu7g0Zmd/tsn3qVfKeydzehpbxXoZJzHxFtcec8z7U8GNI
dAVbMVrhiu0JUknerrtOhyqkh3YGINeAxVfa1kHrfH8nvSxeWV7BB6HwPidIw3bSvFnlgJ4XvfDG
iJtk3YnmEySs4KclFYDPfgluO0m30QwpXYU+SjIf0lDEZwQpEprYQs0IRasVAgwrGKZ+J3tikJj7
nq0+3JtOfk10zlkk3kEjq6YzD7Qt4XDp828Cvbwrq6FlmuISoSgeXT87J3lFCp8VT+swxvUGtQTG
4UeTt09whnRa8haOT1z6m8ZlVVL4jB/amFlJUl6aZrdrtOyhkd0hqeRFS67R3jBBcphUDWm/t7sB
UsvAkLgex3OWmuzU9fRZNdGVI2iVhD64h7hyL0w/u6Lr2qWEESAHm8xVkSTz0sFHa6kMzIDSiA5d
HF2YXXRhZOVzamAf8lg+B8IIH2zXeezq5mxmiU1aU+Gvx9gQADZhD9d5SxqGxJZNbudOokxggzUT
XTRlt4MIH+eQnw9aYQPkGbRly+NIqIIRwG6rjJNDONcfFVrLDaEzJTFiXI2MLdhr4873eVpXfQt1
PbRu2oGgKyvqpg25bTbYnVrsk0r/hPRwsqPoIsIfEIwpc6E0r9Z6Fj3PwroPQ1530JQu+spUY0Vm
3Dqe/4xdk9wBK78xtXGgg/Q+hd/tEDxMQYWiFQxIf1Orbhfm5n2vmksdPmDglt4RLw+gLDe7SStw
VG6kHdWQPkROm6/1Fk715G16mU4oecmojCuiVEU+JJvUHgsCEdTlnA/MlgjAXGt1+inn8L4qKekm
g3AdLCflblTxe12SFlQYdETeMK/huJKeikPtNEht3rdeuXUHRkFzNd+g4R02Wt+ydPPl3WhFm87U
9j41HaDRntqnPrKOJbnUUGjJ4aHuLJLVVqkonG2YTU9ZrW9bqb+yrIx2owljzRv6K9FlD6bTX7AF
4aEm8Ofe3taxBMvlnaKy3sdNCPSTN9FqmNmIOra+m1zj+2yUl47kzB5R8ohYgTiuP0gEQoZbvYLu
2rgQ9oJmogS2jOfCI5Ug8UBzoaZggrV3W05TClV7qY90ziOLm8KFz7cmvC9FCuvel110OYPUT1oO
ysgSxYaZLIp0YmVb8KmoH+pgbPxz7c/sn+yBaKe6ISUVfZU71AqnA2ggv76poUyB6p6LHQXrK3dn
vSkiBUSaocCGCl6cPU/zdhpqtV3d1E9RYtw5eZeuitl/MNz2OQbbxwaJfVDDfpWyG65MOBrb2fTe
LGAvu9qvST8r3uq4YujmFe8NgzUSKZil5cpC0rOoZEPEZdx5ZATyNWSlp9bHoNOyUrPQNG38rHsP
RULMilu9Wyo/x7GPWFMLyTvrw0sDzCaQ8gliSIFMSY6IqcK4Y6zfcoKFngMtQedTRoMYQOGBJC33
LHDVxuWc1KCgD1p+NxXkLURa/JK45XfWqytLZRArwmRHHcFrEPZ3hlMaq6onNG7W3EPZKq7i3GaF
QGm0YnY+rYRmNGcf0qOcsk9gMQWqJwbyMDHJSZUXuhUB0WzLT0/LmfLb/vNQoHLSKiBszGhfEwX/
tYS6i60rvKm9/JLTHEX3pU0EoYoQc7BZVB5VeOJXV0UKLlQQ86BLWh2EenRZhl+pX630/6o8dMrK
v6+jsVq0/21cwIN+jAsoo3XGgjgkl/SBRYv586gR6xkDQ/5DtrFA7H4vow2OYqxev+cY/BgX+L8s
1kzmgw5oHgP2wj/ZghGZ8JdRI7W9WPZfQLhtauo/jgv6cmzwvCjr3Iy2vppBcQ6TDWqaeppSrtqy
BKEgbadH12QU10j7O+XhRetPydpZZO0xwLFdW/NpHAo9yPUcUYheB95cduux6eHYotWw/ZqEzqJ7
m/z8WUVyg9fiNrHjXT61R9Myb6sSRmJcTaQOMFqk9jMv8gzXiNTchybxYZD6GYfoED6QoPDo4KYJ
sCWMKzFmZ0daZ2MQG78qjm5aHRJntg4zKLMVFFRv1atxh/N2Y3rlJ+PO226QzhEw5o6E3jcvQjPY
zN9GBqRBYmYsfHCuEDmekUJDZLY+MvBwS/VtMLoXeF72SiVqb3aEppSEArD8Qx7Z9qS6RqV1lWTV
MU0QfQ11/Vn1yghGrWhXc+qdo6wuV4OszrHTl8cxa1GJR6Fcuxkg6ETVqE50GV41otCBPnYzWcP2
/EnWNzwa2/0+Rzy5ZZipGxMNeqCa+kMxUryMi/Tg+MSZhGY57VTeeOcmGrON6w68at3CUCBSegXp
YsCXkgPRoxbZEZ4gAwHRdW+PrrzRpWXs5jKWQUXMcpDlS+0wsJCIMosTaErjvWWN5C9HkQnScvGS
EuhqiRHngl4UGCBCY83ShImB3URbGwXI1h7I2qmz1ty1BQS73IovGIue5jamyjMO7STndZR5n+GM
/DZ2M5vNZGSBwZ3iDZjpaQexP93osYILbBsTc9jK37UxAQAxmM2dT83BeKfGHIrz5papgkc+l6M2
lgE/j/VKuO4p64PGsrSb1PDtIJv5TatRCKK7dLH1JKK4eBq8YCpkudHw8yDQT6Kj0zTokE11P5nN
ddfp+UZp3kSvU74VC/M3UgIPWeXbx9Jn2sLOEg/0vDxFkZm/DI0TP+SYl4JmabOmpeEyR0n3sDRh
DsTyQC2NGagunuOaEExvYPahBnvAYkUvlyxNnb60d73MYIJCwu6cdBOGuU8bgnMxW9pCuuss8OyY
OxgIIchg2kexNJIzLV1MZymGLNk0X91maqZX2B/bPQ6Zzzaf31qjV9u2JLEw9dP6MsLtsLJGwR62
EgcxDQhCNLffeWFu35p0vJFftEAjv/pg9dUTw9/9TlQbG2C4laGKubjIgttBl7oHl0+wopJihTro
mC8N97C03j49OPMkMiwxzKJbkptoadQ1GzUXnXvfxO2KvcN9VsVHN86vyeJeaZrLAvoldM1TV4j+
aUrSj0Ega7Y1LcgZN629oRsuOqxue99vyUeumezJRL8w+W6KCqHv7c8KZ9jKmKF/Ah4Jet/9NpO3
GUTxDNeuyd4bF7cvZsBDEU83ABRg5nMBF0s4SJ55qEwiA/dTr0gOmYox6MnYwKyfHfKGqafbICKe
Jl5Co8rOnSbv0jF80YvuubQ5Hmih2AYm9SkajNcxEWLTJGCs+4bYOqMjBokqn91jvVTpxMHMBm1/
018iEXvshMMORLOvCWr1mFy4+QGpPH+z1eOgS1KikNri1MX6HhNJvurtkIi3ojpHPi1GjFEQeqe/
bsf6o6EqCpw+WuPjFM+sGzJnU+TjZW623wvbhQvuPOEdcQ5onIO4nt9wvOLrLMY9v3S6VSZeVNjq
61S4VyrmlPFhGJqAuxOfXJW+MPZaJfYTTPTYjJC2RgusO7uAGm2tWG2/tZ6/d3PrCg7uTkNpIPFz
8pquxtTg/51X5UXRqom6zyZyrzGIt1TO06Fd1Gfdoiy0kxs8eBp3wYLXnU6qTW8yhGtGpO5ThGxK
MM9YlG0dErcUzjcGqJp4ucYNMmRwIDgvonTl6TgJGmRyjPQ/wg41GveYNu0ImW6862hJhZUiv9Uj
GJpfJcG/tdGimPn72giZ0P+sow/5X6Ivlwf+qI8M8YvuQZEiZgMjPhK13+sjUjHhD3qwBx0fXtBP
9ZFF5jt/Hdmsq/ukTVIE/baKXXgiNiYWdrVIaJfAzH8wZkSL+6f6aBHmmpa3hIlAbUZ49Mf6KIpj
hd4R1z1VVKbIPKrwhq74dCbHLMLTx9nSzy46Qq49cyTAaZrvOgwcwLzlhUVMJQV7jgkb+JNevcRu
ahjXg9GUXGT9VIId6XP/nBXtfJRWl0aHqp3Me2o1zTkYjV7jVPVJ6M1CKzwmk2BuRH0SG3eR66cE
qss5bb77uRTDZW2VtXPDTbDrRZ5+kBpJdl8e0YaRg9HFOz32jK1fkYd821ZTe7D5gMIixTM/b0J9
6l5m2yWpya2UfjI7PzzVVYWGMs8HtVGjD6W4Ioen06fo5LRgG8KQEg/qeOi/dg2JhIFdhcO8c20W
TEmuumuFfRZ6woubyO+YPShKbJ+wa+F8lG32IfzCaIM+q+z3oWVnrecrs5IYSmfd2baJ1r0MQoqg
N3VOh4GNETyUIQ7aqPUeDY3YJB+96/cxEv2+sXLzoOjRLjRKuH1i1C4kio5s3rKsdrZDOnxNIBHJ
z7BnHa9UuEPJEffpCnlxy7XAPMssMSS4NDt5HdWmE9ZIbBxnPiQ2KY4RSkdElWrnLquxWi7jh8mL
MZHD/3fzZF16/odnKw0Tz7yn3DhbcSR2U0gultagt0eEy2LdHp9sZYfrhBCnwBXOrsCOS4tBNgIq
2KuEVdZKR7m/8lNWYDUg9E2sleZZl0lypw2OdZsLkX/Eul0fsyrCA97b4ESi6j1Hi/QrR+zfU0un
A/r7U+s/2et7Uf+XDTCP+nFk4ddjzWubZOKSDEQu7+9H1tLt0UcJlrB/Eo94v3BU6RYJvl/S/J8J
SN4vpuEy9gES5LPI8N1/cmJxXf3pxHI4RTEFopKkt8Q+8KeOrigdIlCnsDnrqXWfFM2d2TgnWF83
yUiTNfS2OkqdYtKw9/E0xessScJt2As8TGMXBnrFqeRO1KMY6291m3JNla4RDHYriKwxblq9Ap/j
82/ljLw2aVwaB1/WJt609K52mdTPeeEFRjFeahUozSxH4sxbHtfO6OBsI1dnky6zpbodqis9z+5d
hCWXuOTyi3gx7hTCRHcdMtQ2U3dnNwg/vL4YVkJRPs91fq9yD1UIkMhAr5tDBQs/9FpJbYX73rWz
Dxgt3+BbkAFpOvvC0u60OWHiVDWX82Jlnx35Br+KzFinI6auGOB6H2LjwpDWe69ea2tFsPy+KGjP
hr6DVzN3TMSoPtd5OmI5nJtyU07x6zCzAGcm/d61w9FoSbz1dX4hklwO5KtfTxqWugnJ5XzRtcZx
tL0XJxaHQgdn6E9Ud0hgL2pZU3yMY2D3HhuV0TgngiQQqXcbw4PlDMYZnryUzcGtbR11d3ZrysG+
8TX1fTTzmyb3MK2nFop8Qxlbc0lradzeYJzGkh8rIWy/BEp7mAwGYU3ehRmpw9RFduDUah17+e2Y
NCxj587YVBaYHSbehNP68E8Eg7SNrNr+TrY6pZzhP0qtiAMy63aVHh+bxL23/fnV0GS+y6YkaLmd
4l7568JU4OvhXgQlErdB701U6NURSTCD7bra+RbbiCQ0cv26tNv8zgsrvjGzxzIpzrNdf4/IZDiY
vXbNG/zVL6ICBSKRRioxnkhFvazpkNca/c86GqyPceg+eneatk07MhRvvHAPSuMt4yPKkMBUqwSt
0TYaujsH7P8p8/RjH8fP5YwFsDLYERaKDC3topom3BlYYRnyhkZQJOEQkGF41cYzH5/+XsnwrVKu
t88tju1Yy+5IMOYuMbvHynLZOrQ4txzC1Cd2IwXJfFuvyQ9COg+10tWRIYFgpD7f8W8OF1Xv9LAM
igJ1v6hXX9yKvgZAYvjLizda00oXoVgbof3YFHG96ueuC5omz4+N2YFQ12hD1BQhJm5SRgxIMp+k
Hsp9rlR9HQuHdpHEsDGfDMJRsm+eicZftuwkmQAEjVlEvEBlvgnTuANbkFArTK15IGpXsWIRCil0
d9BnTz9UnjogPYavx88SVAKJMsciqxHs7nRtiIErVJ0tJgpNoJnlno1jyOVlqrE8dWxccro5Eomh
3LUvm3VrM6oHZrGm9L+OiaUsmv7BGOOTU3fHwgJiatd3vdt3bNiyHbc6OQ4ZxpY8Ma76sXuICicP
0kldZ3Z3k2Dg8ZLxkrivpybEppCAVQuyIv4Geuhoj/p+apr71hN6UHVghZlWWPh4xosEcaur18U2
m7yGZma8DGvrJsmndEMk2cY1y6PZcblPTYfpI3yJpHGG73QFjuqaCEvUK33zFhLbRis2P6WKSQDJ
st4G9sZLk7nMYyZGxq1Z3hfKPo1auczeedfAH5uSb5SFzj6yRW7t8F2ZG1VAznGiYv1v46Gj00dB
8P9d4bv0I8//yw3Og367wQ2sBASz/irW/KO2wUSphSYU35tD0MzSD/zQcPm/4LfDO4ObATDIl+zh
96Gs5ZkIP/kDY8Jixv8nTccXo/UP1gSSgL7cCcgbiNX5s4YLMofLSt/zWSLWdPOOMZckty5uKkvL
lQn3H/LDi78Yrkh+xXuVLTasGT+WiP2LOveTVZklbwkT0YmVam+SHjDZhFTzoU/HxXk2H/KRAK2u
928Sb/hc2BErt+aw7UwWOeZKNmw7nWqn07R7NO9jqe01mnmnZlrkxsWFjIebZOn3RVuvJetFV2cR
FSOztxgNMDMCysOwgCn3lTnr62iZIhBDl27pIPbTMmHINeMtZuSAa9g51J77xMjkMNfDdxSll3jh
UlJ9+N2efa6vdplhlE7xUZMAnizTjXiZc+AAqs6zpm1H9JcQyYx9xVCkX6YjwzInSSytxjzI7ERH
07DpSNddN8X8mDFkgcnHZn+Zu9TLBMZkFKNs5ptWJ7f1MqUxauluYgY3HgOchODndbXMdBCzPmcM
eQjKvVN5cWbTRpxcFjrbbJkIMQE/DMuM6AtdYGiZs9YHmyTyZZZE6Jy17mBIrRj9X5QMnDInOTSS
tBEcS+9T1nusMZlOQfn6xiIO64GcXnFTchMZxmdrakeD0dbQTheEQjJ7W6Ze/df8a5mEFctMbFqm
YyNjMnIGPzItH554PU+t8zJnwE+Q4uHdZswSH7lf7oZl7ob+Im5gmC1rIc3Mu3lDsDfrIpgpy+6I
UEQWSaMkPyhtPFtDsMYSzPOwtGDU9C/pVdXRTYp+x7VfsBmPS31j61QJ6NL8u5CJE4h+tC6stotZ
7Htnsnf0qna6TrtR7oypUCltVG1eYMnoHr1CeHsqNv3p3+Pw1+MQCerfdzRAXV/7j/q1+S9HIg/8
7UikqUG0SgMCKpM/6Hd+k3vpv/gkkxosj8Svh9tvR6LHHIYH6cIHvvSrkevHkej+4i0rJWY6SHcW
vfw/ORIhwv65q/FwNTPqEcx1TNxhyx7rJzNyLj0G+r1HmJyeyj2u4J2SqCrx0J46t5/QbZvNBean
YmfpM/fq2F2TlcKqIs/eavQ560Zr9tQNzsa3iNaTg7CC2FbViiUJ9GVtMNeq9Vh4V0sS5DBm15X0
H5UDNoB8ZyjM+nyC3nXB+3Zx/7D60NSumsrH0JMFEhzvcq4nBJFF0u9JQjrKLCaj0naOsxehnrDd
S24VFGrMTNrIu/EHN1nndUQ3Vb8iwsOM6shvfeaQJARME3zcl3dovhS5+ziGUMbIQ3/y0+JRkCrj
J2Ai3PRec7LLFj8xH2H1kNcwHDQDMGBIMhMqtTyPt4bUnk3CqThitjRuRM7U5UXpFk9o6q7YXoNS
ccZdP1JU8aZA3EU5lI/MPDS33RCKqQLMBCmWtpFYs7CaNp6Xd5u+X2R1MVQJjM6ACq19oUAoUIlf
DSmlm5wHY+ck7TYWFQ0GKY1OYuQrzZyvrVB8N9vyPummLVSkjBMuvx5tsZ1UdoiAjCEYaa5F5z6o
KiRWx56eRIQMNxqcck3HyyY9Zz1vRXh0ctNl9Tjf1GPubg2VHkcj/VAzQjWvNR+EqmFmpGaI4M4/
x71rEqvr7kdP3lVXtjoIujqAlCcxkcluUvZHLpYfuwIg1c7QP6y239Wd96QEW6euys0gxW6GhjoP
kqz4nriiWMctSlazMkjlAw+ls9hsp33ENAYxcfxW19YHoogPNqNyLyv7akFrjT2n/aT3iAyxk32z
nASK4OTRuYbRqsirI5CYQ+oY8OrUtvYkLQEow800jmS9SDHtvC/Nbe507WbotZuoHN79ORnqFZFy
8Uqnv5orMkFdOi5bq8xVRQ/mi6WuNwlXJTbNW9u2tzeXtq2ox1cge/ekjK/7JtvoiwuEty7vI/+x
sNCqqaUBZAVXbSJfjpvE7XCZAJJipULLiAGdIHUnvfUB9wiUR4su55D7AmhJYzBx4+4mLpfPhUta
uMeoYGstLSqOUX2rLW2rDq3rNNHJhnS0/8veefTIbqRZ+680Zs8BTdAtZpOGaaoqy2eZDVHu0nsT
JH/9PHHVku5VS9PQ4lt8QC8aEFoql5mMeM05z7FUa9vT43qq2Z1AJx5qzPmruJfQyBY6FUFvFenL
dVXxpKSqcSbw+yakk44LXd/Uqrl26LJz3Gw9XXdX3SZCgLahIfe8IjxMTnWawhwKAE27b1afolNS
Ktr5QhQ1+VoI4bRJY6anun5pq1lHQ+xevGg7mrJ0eTXVmKC9TFNSzuQ2qZoZ+yEfg7EI32Y1XzDn
5ipUE4eS0cNUiz2CIo2dYXzWouwrG3hkkBfy2VYhfn5zKNQkg2KOhPY8fwDB+s1X445o4nNnqQlI
hRBEQJ7FLkp7hZey5J6e7CuD2YmG1PI0jZjIPDVYcf0lJPmPYcsQhkgLWwYwsRyvxjbzGAwwnMn9
5D5u+TTbIjIObY7ySIS844AOwQXPy20V1lz6CwbvrhgJC2AKZDXtwKaVBytemhCjJcMizCphMM59
uqmaXuxJuGc9HjOk5nsNVnNLYvVFzvRJD3USm2luDHM8orMxt9ayTMmqq9o2va4no33OvjOTnO/8
pA6S0vALU+k7XylRqKVGQZe87/yl/9QE32sCFZD01zXBTf728fUnU071VT8WBEi88UezaeTu/XnK
iW0OwwJXgq22Nj/2SERSYdKDeoMJRlez0V8LAiaguJ/pnMjsZcrp+H+rIPhDBCTrH5VLZXh4XTC8
YL77Q0Ewzkwye+FKAr/HbC367Kka5zsXWuE296PrwmjSjyoZy1UyWw8WNOP1iI7r3nPlNy3WA9Ox
BaI5DLNAfbc6cvJV4SI5IH3svY0yg/Ukxf44lHfCz6Od7lfhTrIx8Ao2jQxE3wcruXfG5Skuergh
eT+szFqspwoqMuqwo1V3Bd8Ruo/ll8GSm/f8rI3sWbu3EtezObAVT1nMrMPFuaLEfhQOJJAyiz7T
zrsSbXiri+k6jrp95Spa0zjfmrGuB4IsISqX8WYy4S5QgzkrmkW5KkhnDiOTjQ6C3GZID9RR8Fdq
Y2/E6HT8vuq2GdsTPM+1tbWycOdk33MxCx8UkXiAJAsSyt8MWHLIlGVi0toJQm7AL0YqsNAhxeDk
Pdv+Z8F+qzUZu3TF0R3750HHdViD6lgJi0D5YUbK5oxkmNrT/DWC9xwNN3AtjaZIj8+RgdPI95Cp
eXmzEi3VUbLsU9O9pm86uQKfUNWeK81+H4b5goJqp2VkqVuoUjvjAEz21pwt8tpt587jFQoxw6+0
qgXjm59a4d85if6eTQvnke4b4D3wq/uufCxM8ZJ6dKO1y1h1RFhdDwb4ycm9MFLvgcuoXDuLfoYc
grywTOGDhY/11J7qQbuI2oz4rjz/Elr8Oo3aQ20Nl1M83YFsCnRHex609CP3U3tlE3W5buvIXS15
BUMAOAyzyXusTQlKFv+Kt+lSEuraqKGs+GbUdLkmf44cloC6DEW7SO6rON07qQfSKnJ3S4rtsi2r
V4tm2Co6gFbz9Iaemc+X0TQ0YWXGbVbBJss/YYU9+a0FsotK2Mid4+DM+8rpP0cNWacZWyqfEMd+
wuovbG4MnRWVkY3TBsVZvCIOK91oMUlLs8U4Wvezc9rzIi2lhlkRKgAwNfOud+qtj7x61osWLXZf
1scwktEJWRRCqhckWFRn1gtxhYxBoefEUGCRWYpHrsr4dpatfwgz5O6V2007oWwL+iAFbBKD3Jkh
BsWj1d/sVPY+XDJIr7dhHKbzFsB0szyOdkXja4+TR9hsFGbivgwt/PtaZJ0TkYKNM4Z7HZ4AIzix
mkpU1xBGAbKkKQxjfwfomNkjI6FNL9v8mDB02BZjaGxrab1Uo51uF5S5qzzmI11KVh7xxI4NLd6a
m3YDA36692qK4SqOr6d4+TS/AwQib8MeLtDZmgwE0ROgTtZoiWFpo/jeueueJoFWtcZppntPiV0G
sYevvveAyfcEM+LLb7HD5VN1kydDABCNma7WQa3tiLoe+6NgnXzKs4mwCueeV9fYIUE6dWl7MzXD
o5/5+5YM23UUyvfOEWfmnM+FDrTCDEl4y1ELNc2yBI5MzjaYhlW1sMv2LCi+4eivyMpAzRHnlzoL
XP5ftBkJg5ymt19qDc2R2Wjb1sq+ETLwWKfuuW6Sq7wV71D4QFQU7rXTA0wckKiJJqYEbNg1zH2k
rfXQeAdzfueZ5SVvXoOkd5G4kt3HYhwxJuZQ7mzpoX32KB8XTQCCAHGaAnuAt4bOikePTubUxYym
I1TISdzfpQOngGkcSRy5wFhzmdl5u2ar1gNWhDsTjgVUggQ3z+B6KYZ9g/121n9p8dIHld+QGTv4
TL+BlpehT5QhHJ69WcLFjcI3hPiXLMQftdky6XzmD21s0vu5niZaLLmnGC0RlfgqHLn5oKxn8tNi
k6iK8jHxnIu4rj9wS/TryNSLh6ls91ppPrrg/aDG8m5gqAnmgYLfCz2ODXlwizrchM6wr1Nuh7r/
8E1iq7si57PWFYO0V7keae2x1Q1823S+5VY4fhcgKe/8V7Po+v9HRNf/D3ltlCJ/XRFtvvJ/nKr2
T9W8fOFvRRHCE3hoOgTnX9gBP0xJBMJcShv0Iv+08f46JVHpNzoKF90BHUBlpGbK/yyKBCY7j10t
bn8wNC6Lk79TFCGj+SmHQ2D5ZaAK2gBmgBBq0/3jjISE4rTLl9K8KRFv6Vly6UbZ2hrnXwRNf5mh
anqIcn74QfwlJk5attWMhAg2+Ze4eiIPMrSMmbyxAQYe8ER4Ymsvg1LEcOabEf4W6aLQ6qtrcrYu
m6zmIWgBgrOiW0uCA7ZZa2QXY2v7G3z7pH/MXBaajSomlO2z7Op6XXgxjnklwo27/L7mB67NOr/h
mYPzBFB05TUmKc+AstcW+lEEnt5FUyCeQH68LmFSc5Y4CFezMgidMaDS7TcDJuBNl02oEInR9dwr
Xwz+ij/zORZ5tWYMck8bdqcV00nT7FOf6Dx0Ug25Pf8AQpvjsoi2hW88AgrJuZ3HcWMqMtYw9reQ
uAMphiffa7/MyH2NivmlVcOIDMrqhmSLG7sNLxwo0wGl7d7xw3bXERC/ttr2ERTRPvGoffI4vkDv
9I7sJgvGQkeeMmIazqup3miDUpLSDgZGv7waBWTJRaTXwmsDb8ZqptXWpnGy18E1HtsuuqqmYiB8
mKq4GXY2biHmDxpyZeIRJJUa+0B4N8h07rW5ztdFD5rH9V/9njmANW0w7SFPGkS24gOxQaBFVniX
7pgAfPMAya7ghl5p42AfWOHTokHPM9z5ZEJxhZ8iGPYbSZAZ+Q1I9DTAerNbCnEVRXgTe0Ps/JHX
NpYZkybHHjd147+WCJJZj91hr8MPuHTnxGE9G4HHhuGT33dyOBg2Y/jW0j+IO8RYIedzniQ24RXL
tTmxX+3idITk3X4auflpyhwq3mTsq9w/IMAwQOTJHbLy24Ksk8mtnEvXWqj68vJjSevn2CUwvnCq
B+B0XByNm+3lYO3QUq9NWDbM5QF18xFj5wvNZmtMcfNWplXUBoun9fPadibWAzqQzxHsZ0vlLiTG
J92VgeFJJRFtp2Oe2ywcZ6xtId23sD6l7h8S2wjGhWEMcUr1eM5sSwlZpYGvx6b22AywnjZZah4s
pgkGmvBejZq85g3E4p2RaV+ez9vUgE2r+DQiXR4fSI3uWTDLTSUz48AaAhG2HC+9FmKhho7ZTjJU
o92YKCiHfHFSt9tOUX0VJXq47sD3sJRnIdKxpcDh3nd7Kftngl8YFPi0UqlOgEB1lTk8slaZ3aC0
uMg17bDkMWG4URxTAs24A0aAp5I4l1RCTp0G446oit1U9V8Z8MX1BLS5dOpn2W5RgRxiwaKl1/az
476x0Xld7Dlbuzmc+jl/zcX9KDsk1cOxrjARacD/ynZtBox9Yl/0jCasrbTEfjStAPMo8vWlHncW
AZ+BbiDqj0bxWrJS6adKbkKtbXHQ17vBKK/nSr6AdkXcPYtz3+veVa0RjfJAoM868mjF9vCOjPzf
HaM/C3XUKcp1IVAvsuCjDTFovn88rruus0Q4O/ONnNfuSuzC43RfXR1SRGNv5VO9zQ6oLlbhBYDA
YZPu/l2mMtfYHw5xfrzvcu/gsLBp8n/+8W042KPmDMvN6L7V4cEnitafXrWqWP1wkd78srb8B4re
myop++5//uvPfo6pG1hdTB3jnf6HGCy/585KSCi4MZJL0sFWdFF+dICz8m9+zs+33y8vJ68ndyBz
B9xUaoPww4agYc5pD0as3zj2ReuAT2DyJZ7+779F/Nl79uMf84cfMtCBdyZghZsx6M5IS7bjXv/0
NjRL1ZUS+q3u2i22kMDcP568Tb46jVdJcO624fY2PcrVHsbcZb/hP9xUAf/bnv/v38/8mRz0y4ug
kEGuhfeepc0ffr+clCVIm7pxg3fmxAhhq18ZT9GRYCImgpt5dXwxdtP61ARyb9vr4gL26C2mggAY
xvr7r/IfAaHKcfvrQlLJno/VWzMkf6JBUF/6WynJVg2JHrs2E62BUv39vnAz/luFurtA6SmzOCB+
n68Bi2G+hy6BBwo+qrJz/Tpfg0HlgXv5/s0cyMF/p5IEefXT6cB4zWMdqBALutoHUuz9/DQhT2C4
TkLL9cy0l4bYHAzIR2XppSxOcFciX7lKYtDrjt3uGGHZUNCZkSyRfmeF4i5rh69KR0k4ASpPx/Ei
Blw+MjTJ8OdqAM1zwOYegPPFVHBaMb0zlbrkVofXBwydNIIgjNzLDkg6MsRb/LGP7lw+2UhkuZgQ
27L6A64OJPuQAVuPNXylDvh1ytJzCzwOY8ktir3TMIOTAtfOOo3jDYC74y07uzXWMokebYCMGn/R
Nm/luw/6PcS037fWqxWhogYNX4ZO0IOKH0VzCkHH+9UU4NxcR3ENAJ7RXtVctaDmXWHvY8M4+Wjn
NDRsKSgUZdocB3/TUImSgPiCHuCGGMcripY11uAdjp+tBeK+NTnp/W9d65tbsBLDOuaGW4Di48vH
qySe0nQ8aJ2/GYHnx9Gy05hkFDWO9Lq9nzsux3BKrtnOM3YEh5c6j6St7Je5uyNR8h00xEnzylMM
tn8E3/+9Sm/n/dCwIQLvDxfxBGVji/Mc7o24c2NEix6BAOBuypXI5RXVK4C6ublowuzNqsSdT5hA
DC9Lpb1heYFJbxabBTxNSy3VEUOQ+hNRUOFZFFAslbm5TIxVQ3BBmDF6iFWWgVs0V4lKN3BkM93m
8xBuKqIPYH6RgdBMO4+jnAVI/WSayLULAhNK+zsArFUxCt3sS5r6TsUrpH4ZQ/xTuwSkquwV0u+6
KrR0SeAbknd/6g62Vum7ihhEwOv1XYaZ61jif1t3DZMpUBiQ2e1l3IwzotAcGugKST1wP2tJ70zD
3GWmTsGEvC+lr1AhSgi9sPISEIY4FiKtuwIr2Wx7T0/XgyvFnigx4i+d+T4Rc6Ny+qZVSIxXQEYX
w4KanZKMukcPhC/oQhZqaW7eJt5ck3X3TcLyXWHpe9DM8KNC6OrN4nox7UC02anpMol+fFTI5a9k
EVde2j9pkq+7aod+BI9N7FIDWhF7HharoroFEnmWA+yCeuzYrdqOsV5ikW3SWryDGMU2T4TWqiZP
b9MJ/5S0I979Kf30tQGzk2ByMY5xs8FJ+RXV1Oiz+UjT98Xvj76tIg5nni32wzXleFxY9cYuU1RG
GUO9kdFznbcby0sgJhZHXM5nMc3fBlc/pr53RI6UBJM2bJMoPieLiYM7b06I5pugGNlAm4PmXFV5
eF/WykTtZ4QHfNfPCIvFnFE+y3ThVW6KT61So9IJPohLDmWQZtMh1PJdqvvJ2l/Gl6Wik8n76TrR
3fd4nN4ngf6oncBREGK6t5zR5ivzfQRbeWU2ZuDVmBwby9yFlfncN1jyOKYYP+ORiqhbBid5niOL
b66JjyRsiGfzU/IG+ndtaDed6czrKdQ3bPKerKgZIZEwQjUHfS0gLlmDZrKuaBE4tvVDLJnV6uiw
t5PD+z6F4bOVI5UK69Dl82UFTaYxNvMlj2iSzZhoeSxb6XX8eta3AmnlbgxRUQ42yI8sIS0bgleS
LA6/23iswUhNBVyXGQiWV1gHGeunuB/JENOPvfQWymgflipj39WgI4uM9XsZ9Rd2GT8QQaZjF3VQ
KdBTeRg6SYPVLpPBY7E5Z4haBZPaonY3+PnBBMYxnXYrFTxQq1CKjoooqKEHPog+CWJFGyzBv+x0
RSAk24BcAkUlRLKBknjGuNKhC1XkwqQak//UIr9gnlQx/de1yDb/x6ZqMTRQdZQ4Y+bD5//81+9f
+GslAtFOwZqoNgRdPNTJnyoRAi910HSmQ7GiXAu/qyFVWfCbGPJHULNSBZkCOA8SdVaErA7/hhoS
X8W/lCJ8H7okKhHqer7vz6VIE4UTWOARQ4OozlIpmkekzRpjuJWbdu0NeaTonmncn21RE5tis1bq
XbZNXoFFvNPGktku1nLil1vabvHEjt/dtKDj17VhgqFgeRgUKjmQAU277sVQbZvQH3ngUWqnSLZJ
XHRW1uTFENfdRx9ZNx1uGTjknKxcJN/U5REDePfQJ9NTqKbQY1rft1WMlF5L/L2hRx8lEvLJ0i+w
Gp/If0E5rFTmepsaUHIpsGok6LlMdrPSpEPOuEAe8hL25pF1S0eiI1sNYClB1JCWOUgUzc5kvztt
Bm1T6d5b0iMD6pMvp3K+iNlONziQOdORy/uT9VyaVXmsB9KYyOB+M8f4NlYae35N7GOQdzg+2Cuq
PBanYosDkX5LGwSDB06cDRQOyWUQVRgvQ6QMi41/Kze2kwLIVXm9Yyv2CVEXhk0W7Tl12aWONkwi
uSybNNGc7aBN1y5n3SoBU5eAqxsVt06YRoWDmsO7rKHapeDt8lEeLKd/Ja+QwDYLAt7AGbYoJp6n
z2giU+ndTB0sz7qfFuyytOf+ZczCaFGboxDpzbZLBwI+4c2sIIVMuyJBgNUkqX+o1f7JysxHrKNs
ANRuyvRiatbMell0d1UXnLTDw+Dk0YlYhPq4fN9wxVq2R3u6lal+ZyA8YeDhIaRBgYQANTkrZRIu
aJZmloYawooIqa2detrYFeG6mlbdRGkYrhz2bqajP5BUy/WV4hoZGNKyoRNDyUs8g0ZKp6faTj5d
q7gMtRThu1rvybaHtawNb0Kt/lJhvWhm/sqoD2gi28HZF9WqZl9o6uia1AJxYpOoqZVis3jBjDtt
Yt1YsnZ0QpeEY/aQJCXdF0v5TVcbSkJlnZWjtpZ1FsHzYpFpsNC0qThmFpw5oUMzC0/kbq89rTsD
Sx8xvXbRsBrVWZFOrEpnybqlCc1zVLBFjdvwIWSt2qe8QrUZicBSO9eM5WvJEjZkGYvOkLsnylOM
DIz3SFJ9p/q4k216iuo2MEPl+XHHa2mIO0tte4swuW1Z/0L1XQN9O0a4bQZHXtSsiaO5P6vRaVTa
wBLs65h1ssVaudaxR2Td/GwPnrdLI61YZQkOYI45AJGNBmxixtEdTtw3Y9I+t6yzLX+8yizshGy6
B7XyHolf5K6VBxSrKvOZJVet5XfACt5ri9W5q5boi+PtVNzgFvuxtw3Vqp2U4IJ1EzEcag2f1kVK
hme9njr8GGpdr05cTilyrjJ2+dXANNTkxgwG9vyRjhPFIJdC5yXgTLq1ZucqHfwPqjc+W67zaDri
yhINTC8lI8BIGm8qdcS1ELnGSL830RzkSnxgKhlChw7cN+x8XyDoMpRUIVKiBYfP27BE94Yu3l0l
a4hM7woYMET3CE01u4Q7g9g0qBDIIWbTfTeJdt0aSiohWAHPSjxRJKZAxjAHGQbutl/C+7RZ4L+1
xkOpxBcDSSwfdaydHCXMAGILMTN5kvEIdSjeg8D/tjCO2/ZoFiEj6JAqGvg5SWdr/ooZfvFUgACJ
rhYzAhPljGq9a1/YXvvgK4NFq6wWBHC/EirloxUcLZaLyzM7TUKucWg4vdasl6G9EUl+ivFwWHg5
JjwdhjJ3WGV7zKk7s0hAgu/tW7wcV4NPwq6jrCEpHhEPr4hOvhUsDewjtgx1porDg4WzhEy2I0Gu
51RZTjIacn6b5dlXbpRmPhe2vK1lesPngRdhGh4L/CuLjUqqV4yNUS93yFYHhqn9fYnrxXC6I5vS
C6FPj6VJihfuGAeXTO2zcfT4h0kZaNzcYUSsTDVk15kI7DHalDpmHM7YDXFQ+xIvTqtMOS7unCh1
YI8qw46trDv4dzDx1OlhUbYeLcNr+93ooyw/cFjMA4ryBMA8hqDKwhqU6S36EWUXiiZWFspA9J8J
0XfxlUpI/OuqLAC5UP5ZScZX/VaSMedxmMGwG2Q0o4sfh0NqbuThP9Udnf/C/mE4hF/es5kZGd9X
id+rtV+HQzbscmTYru2aLO9Qb/2dksx1f14AMh3y0Uf52FxdA4s+c6ifS7KswOQ89aF7IhrnGPXN
WF710pyddVqMdU3gcjKgJJBdR3x2EU3nylfY7cqnleNaiF8mq7snMXrexF0JF60fdo2MNuwEaMf1
0oTXnyOx8NN33EAJD6qdbGetIyaWMFe4SWADc+2lksUdlKAnOVRGdtuD6bmH4LL35YQzNQQWwZMc
6Yl2goDpyRVQLog0WvQyQ+W6CcM4cW7iHPygXXosfgTxSdbKQbtdbeyw0MsHh9jyIOScktsOPUd/
3WhdnJwHLmI0Zpl8ykw/homUVXtS3FJUBHp7Rb71UQ72nR0JMIZuedaX/GEQuEuquP4wlRjciYd3
wpSTddunnGfWe6xyfltNwJIz0XdP5yFO7LVFQaiN2kYrOAIipYEWdW0wDkBd0ZWu2IKxVLA/j51V
hirVvsfJA/WsJnlKSz5N330oBvGlizTZdoxQVrbX37oWhLQIDfIezQfNblRnrzNN6iqTyV5f2Bc1
au1X5N5DkxtmUJVZiY61x1KSmvsYXnI5ju2mkMnBiunD7SJ2YbGQEtLpGSF+UPw4OGbkb+ZtqHQP
WCRRiAtzX2UsvUwvk2t/nszDPBosLAf9U4eQ6A1dsdZCO0Rf3O2K0n+L4uqCbNOLzoL0mHhYWqzF
v4eRNq59YpWnUPtEKRLk+nQAynzCgIRELmw3dYvDpCjBundh/a2v2BI5CeRHTDcfMvYnZjzlMx/p
nvSi0d07qvTn43UrEBohx6lOvZ1q1I3EPfisdAkYWQF9vAtrjfk5NypjhhZWoT12CgtF2mX1PKQm
WMqoP/a8g303BFDj4APa2Aocvam2SykOxThfT439ZHT9ye+Th7Qn8TTRu3MRxXcxOFKUy8POiBzt
wKFtrca4vZvd8AFmze3SDDwiRlJvwNejnEuSeUNux80QLvs5D7WDNWkfbaPFG13U2W62uaQWw8+x
RDDgiOxu54G12BC3vRyr2r1OSUwPKs+W63oorTWzlh5lmrxEov8Jav9Ihw+Fu0uunLRmqKC7F8Dp
DRSQRCjPUQMymihGYaRvKF9kMPv9td+K5xFR5ZpHHW3iXDAgHJhOzFAWsrq6G5aahFSXRDJGyK47
LSvirKEAZeOjKZdyrwk+naEq6bo8+cpnc+FydJ9tad+b7FMPY5WxAW/NA22ixTzJu4xHmFcOlkvk
R0IEskmvk8gBSZ7dFfl4In5WYwHt4lpPQe0W/o0ZlU3g5PQTEqEX6rtJwSudBwRmI5p5/Vtoilfd
yj/wHx4aaXHPRz39hGZ+iU47d6nrr4uiOBeyN7emTyrC3BtEbBYv1SwumC/ONkMSEr/F0RWTc2ul
HpORBNjieo6bd0uSZWDaQKyVKXywmytHm/rtktFdjct7a5kvDSCUva8T/FX77s0yjCU8ihitfguz
CtMOqNB4/sBX2h10t8d61gO1qfUcGV41o3XKUs5a67V2xH1fQLSQhEAHxhDKDUHvKfO+usRmrJ9G
7ANbNsxf44Lak7HqVZqazD7Bfu6zrPQBuAvYi0MDc1inY5NCooLiSTY6COZ6KO1TMtmM97pmQn5B
DKplNneypICZPUwjBuEsWVJOau6Hk9qaN4kN0XVO4/qqcOVhLsLXopzI+yPkcwviJVpNFp/Wuk0/
HLekCwvTZWuXYRAJa947ZdscqloEGQ6TTew6eeB5NH6ch8uuTJvX1rODstXACoW7ipL9NtYScKtV
4uPelfoKOYPPmLEkcw4qwi05myBBG+PQRNZlSqhp0Bept6NPxu3P1mMdjvN8ZAb/CS8V5m7dW0eT
kOC1jSGAlLGo3MdluTwusuC9kbMW2BiAWCPwvjII50TsxwMJ9CgBDI+QN5sQ9Nw/hv5yoSVLwfSY
/ibMlluSw4HEuPee5jqXS0enFw/Ybaj/b+ohfmC2PHMhGnmAkZ5Eo1hr16nVfzhNAfnMEd5u8hDT
zAY0GszdxEvl8U2foP0JsVtmKJ93db1cENZ4CR5gg/ruZiRZeWuljU5uIe124rYn304/PBxSeRcy
kHB92lRHs2Er2HixvXkbOhEr8AUPqa7LszFkb1WmkYST3GewANY6G98tKVkAJkX9lZOFFxW6YGUi
SHJMBN8SKNpG5vpLndB9jUNyCv0B946hjxvZtOG6CrOL0iMZMp3S6NzEOZb+8MWhmVqZPLpuXnyD
IvdiW4Bg4/5Uf1dm9MVHaJv+1vCRSTA1Pg+Vh+4oQXdhatrtotf6RsshnNZoLKsqu8jx3K8Fdyo8
cA4ww/hCPgo0Krz0QN7u9GQ+YqNlV5NpuG3Lp2JuT1Np4omaC4AvyJ95Q4/Ijy/snHFz7X2TDK5X
DhOUstH2YZd+IUQKuqHqd51bb7uafwu286yn+uUSXRTMxNsBHGiX4bBN3wm+V6G3uFhb9wAHUH1q
vGjdOe1x6SSdW8bbU9Cpp4x+poXPM0lCtMWm+LIIY1ghybpP0oj/mAN8LABctfC8BZx8bGJesqNy
e6UCOyQTsS9UOuhnnONiV8V6qJNrp/Fwjsonw+Kbk729kmF6kTG12llF/yGwvUUkGOEgBmbhFphr
yrNhceGxFNnZsVFsZg9DcJY8thJCLVLxZK3BZq0T/5L0FxRdmL4GjVxHF+cyCqViB0yMvtRMt46B
apnuAi8KaQsBBERmPwtiIzx598XY8Kd5JWGe1J2AaJOtVqLDLEV7cK34KOf0W0wmVhBJ75pVza5a
dh1aTNPbtSReG9Olp2UPTJqRnwlRrJHk7VieAeFwKWSs5d3y1MIpevec5FKYA1mMoR7zZjVvcCKA
vJkSzGytj+0Fj89DNDNWo387GzWsZKcCBg3KfM9ucG+CXRz7bBN6Vn3LJqmA1lCSt7xNhG1oT/FY
VfoaPEfXHtEfSTDLiRy9MajyUZtvZ96dUrcTbSNClCzR4rKm8vzsWIHKWE2ZxtOmtbvFj2joKy3Q
WNJtykyTQSKqjSiyYROO1TNgM5y63tjQ/0fGNjfTR6st76VwpgBlybcmbZ9Egna8oPDSwqQPENce
Yle81eV0MyU+SZCuSj5L+mJN3QXDPRMNTe5orDQGI1wnM3WhzsUGusjh/VPvHbX54BPl6ceXTUsS
Rl6LzdS7p7FPrv3BvQSThaC4S98MfwZLKy5B3lLdVPU7dwuwTSDPWek9dkkijv2gf8HMLZG469gL
R28vxuEGAyb5QzGZmbQSK+oauXHC8rOVBZuaGPsx+Z5B0zmXosnvzGzclj1eSbuo5J5z99KXSLZm
m8sOlON+GHmiU5MfaEM0hubUrTqowiiXnRXIy11tUu36RvaaNclaxNdZnXECzCs5sUtuwTr43njS
urJhRAmGy04/wYYi3zBwnM7JqYr0k01uRl6OJ2Gigy5W2tJs2laLjhgfnjIZHfo4eend/rH2KyRL
i7712t3kuPcotNbUvae5MV8TdmV+p3EyFtFhmd3lAJr4lV/wMVatvUstuI2Rj19wKryKohqfioVF
XdWkFxOma+D/abWei+VKjgDLG8d4rkcdDVV2K2X5ltUeLlbWf0iXX3K7ukys+KmQzED/09B/b+gV
Y+mvG/qrtzapqz9Le1Zf91tL7yPdcFFueI74p6jjB4O1RVYGvTsTb6Xc+G3J4qrIMYO2/XfU1K8d
vfvfBlJ8wjQ8pL4u+uG/09Gj4f+XJYuAX2GRhWn5gl/jD3qPtIWd5i5mfF3oiwivYhNiwGTogKTt
tiyjmwoA2XEZGufViYVs975WEqXLNYh0bnG7sx+L6t73E3uhTBkkn+TS7Z86i5TmQXVOWycmakEk
2nky6RunCBlFbprZ2pwcnJmMwxjPDaPzABD+TUbLGwNUKJ3TndN5BXWIvjNVdLs5U2cZmbOdxhCS
QnuMnZQWD3A2XkfuKEanb1nDar+RXEADwB+ed4AK8+LlDM089aQSEVbC1LQH/yAiZICjDPd14dyJ
0b4r0JxuMsv9nMPptHhttPFH460pm/vaMl9jDxVjFbYywFvNFJX9/85LoNpVY0Wuh7DvUse9JKj6
Gfp/kMHhuyxaKJ1xNqjxOAVjx8UmgD6haai9db1kd2NTP8L6ra+sFvsxzSKcJhX/y6XSUXxjk2gJ
blv31hSvpzLKL4lz3C5u/cw1i4LBQCE86O3X0rUzOhIwvV437HOEurpPAkLWb2rXTYNZ89dC4FXB
TEemNEzgOOU1aEIDo+nogaMp+ScBYWdV+tW5JHzC9bNbT8Ro2/IPI4sfnEqFpfUp6D87PCS1sh4r
uIjtkgyKJYywEucyYpxFNrq4wzX9gLcL6JDtfjpVebHM1l09eyRv6/SXZQkiox4VTiqaLlBTrHtd
AlGsyl2eaNPKFAMNIuRVjNfn1OnyjYN5JTCmZOvUjExtHKiaJITkf9k7r+W4jbVr38p/A1ChkRo4
/CcHcjjMpE5QpEQi59AArv57IFsyJYddPvc+cNW2TM2QHHS/Ya1nhbq7Qarbn7q5DJdj47YUo/s2
cbIHd46SqpPueup7Z2Gb4SmfkEZUGl1kPHb3xBC9+r1Cix2yjse6uAGB8ojE6kn6wdKoxQtR5Nja
57eh9zfa6FJNTVdpwkAlMjaef+bDWpy4tC5SLzlPo/M5Ap21yanbN/XA9sHyknavl+OR2TUluh1f
FKAI3KzmjWvuoybZprU2AaYCjvZSq1FMq+Rkl9kVc4+j5TnnvnHZZvZ1vwiktdHM6jN8D+YOxn0G
RZekZnkoe+dqjGjVcqc7ah6NU18VK1KX7txYvtJoXtZO92b42R12kT2ZgxdxjyZYp5mCxAsk3y74
PWDn/0raFI/YhHnNHdJuVebOFd88ewoVPmEHjBnOZVeGL86VbW0qL3nVNAKpEfAvZJhAjjazc0st
fpGb4VFmbf4YOmx3EHUZCw2L5VFLu5IkDMoKn8XxUmbZi4Kev27H9Fo0/hNpKOPSBGuzQNG789zp
Is3by05g+u+sZ+VkL62JUcfmRZVxHZfRKkW3RI921ZCbaiH+NcsU1pdPSDv8HypHN9+MSY4bDpg4
By3D8/CAUMM8RqKGnjYkZFMNvWCqPuX0VYaJbcCrWhJ23McuIz02KDJ2LqwPGwIU9XbLEg44XV4U
q3KwjPMwWgcNBvUp5MFa8ju3r3KZIdvua345rRwepyoPbmoh0mNsxfa25UewVqmW7oQkQIOJnoQi
TWIPYgunDXetZuK1M0Jeeix1sdFiCFj/XdPfrun50vr7a3rXZSC6v7Z/FkPMX/f9mjbMT/NkHR4/
kgg0tNyTP65p6xPbJUGEn27+rtj8XQyBjWdmPto6lH/s0N9SQ787fOCq6IKorD/m9f9CDPGrFMJy
DdP1PFeQZ2qg1Phl7t52YJZlYatzpx+CGID5TdFsP/xQ/kKu/ZtN6A/6FN8Fgg8mgh7URWNOEZyl
oR+E1KRHm3GcNOXZVJhpmoVlN8jnQ9PIzXOoA+CbzR5Dcj0h2XNPIVEyT3UgDW4L3R6XIcJR42A4
5bIZin0VDhc8jmuHtJUpEgyqJhPJWHr2bW2VFtp+bDz40cVtq+MkGEOsk5W8GaJmRyBnhqRs2ORR
K1a2VR20kmQ7N3lNx+RFg/DeleUe0vUTO3/azCi8Ctpm7RrpXoZNhXuvfqfnJhcqUqsUdNM2qhDH
aQj55yN3V/X0Pp2M7yH6VWaz5Nt7Chx9r3t4HExRHsgRfEsbXLE+qkX2829+CUzBzUoIlfrA3dnU
G4RPF36L7tLN5yWhggxbSv11aPKDaWkZQ9f8rhfBwTeM+3oAc2RE7WPCzU5mj/qCU/MwWnW+qeLy
Mg8HtfIqaa7syLeXflHf1hGsd2nBcAxG8xKfL+KUxrxOlRcA++qetNjcTIqoZ9uQ8OCN9h00HVPB
yOAmJO04L6yjVLXFZhSla5pUuIp10P/MtILlEHf5OioNyqmeXBmrnB5FVjDVZ6BfdNqNTeAJB2J6
pzKSZQjgftaq2loYqtx7oo1PaavEEmnEoYHGu9BFRfa2G1wE7RczLjZex8wiUyjdhorJQZo/+hPp
CX5Fjk0RiEPtopRre9zN0v5SRizE1VgfO2l9cRtirt04encz2rrAcqdV1Xp36F7erUgt50SoqGJ4
LZp4FxpALMXgLosgO/dG8yriWF/WFusKfF/7NEqYVPftBm8mohkTO4fVtGpNDrO3JKHmzLL3vkfR
t9TSdh+aYT3vVG6DocV/KoNuibWYNCKI4D0oMFSEzEXd+NYw51jvkFbd6x8TnU4yGp134mY+2yKZ
cRvI9kxuFpJow+Qyz7CnBnFULjlX7oOxusWTXMKyNK8CjMGrsAgJVRqGz/jO+fSoCk4KkenMyafn
xPExIwEy6+P8zSLkYtPX+n0SpPTPEDwGbQ7LDVrmqtp7q7nPJBWw503CpTQF27LBR4AApd8pjHVr
jsm+/GZjUVZdUfHy0/Dww1V3dqBwSzuEp5demtwn0CD29jTEZ8dUd1VlAOMq35Dn7aOkxMNalF9F
W7EuYXjK2pwpb6LaY1dH8SMVJph4P2WS9ZB762E7hmN8kYFJjTTtpu5ib0aupZCpferiVQ99R5OE
PdVeWSyblGAbRo3LwCTZqTAvrcYmhozRrkYYQMmzObNeTk0hnzBPv0X6UC041iiyqLaytCTpYzzC
9XvRhu4IUxqQTvccdNjeOXNu6lyswc/cFAIVpNBugPavHC14MBLnuXFtNo760VPBGV/JeczInmpa
5LogFbzxK0OElFlJvEqaNlnDol8mSHhlU8O6ZPpcl/1JwmKoK2og4CYrtndqUXiMj2JXY4egXY1t
/ZBFXoLXv3lrwHAa1fCoNW92xyexd+TGtAjBWPq5whdPIhs0v7gbNW2t96N8kEE/bKuqNpZxAAUI
hHVbgovG4l1YEGYmWJZ9HujLNObcWiSFVY6LjBSUbTsW9dJNUUK5ZvaQVM2mbtWTUukDgdHPiJvM
a72zpzMXXrWp0+qlMsQ+rM2vg+9eVRMwTlAacwwC0jhq2hX5QeSfxWm0yabMu7Myd7wMsvA2CoJX
tmDaDOpOjzUDDKh7Le6lnP2H1YbPucFvUYV3UVTERAtqh65vnjpRTIy/zWzjz460kvdHvAJ3z9JL
OAM6LSXYqCunK611tTsnZpUwovxeBzUMUJ7y5tH3GiLZW4muPe/cVZW2K8vp+10vWrVlYloszawY
tyrXSbNKSVEMWjZJjIbtnUo9sQPqdwZTddNY4Tw02cb9TOrTfAC09KiTI+7QfT3VYrgN7NrZe1b3
VHiKNpYsstM/X7ts9H9xY+mY9MDfOK7BCGD2fHy8dB3KQny4VXcuXMWY9AokhcO7ttECx//LxfRz
FTFf8GgDHGEKzMoSUQB+5I+v1TQk6RmqUWfC2/zkoRo3ofY/jEj/6yXmP/9QQ6iUNDfVpepc8mBC
Ql6E/WervP3nn9lfvojnYS2jYhOG8cuLNGGSDHGu1Nms76riYtDgs+7/+SX+/GvhR/XhJWZz24fv
Y+5mAmEN6my5t1m1mbIWUAQl/ks8/o9XmlWsP1ddP7/S/E4+vFIa9nbmwLk6VySJiZwVqnHoMgZ6
6z47TLQU//yN/dmVJ1y86Ix7dMISUJr8/HJtEA9T3QoFCvJJMBeQTF7C45g9fXuZ/1xgApX03/ca
+6x8q6OX9C96Db7ue68haChm6yfaOyo0xnh/9BrEYmANE5LD4Bs+ka/6LrymQSGNgtAMeIj4xuAo
/bCAGZ8cVNculAG6BHaA/0rlg2rop48kYCemgbYByZ5TaW47fjknZFjV+aBV4+Vg0qduBJMbeVlK
PPnv+jTlNqUWzG9udxOVwARmJklUTrkcc4I5VnLjG8zuXaR9u1r0csSTYnwJdBYNhee/AAC4Tfwk
O48JJvBqcoyNaQvMJ5beXBaO8x6W4DuSzMh4GoiVYiVrrmUDCq91lIS2JuyLifn5XsvTlnKf3TW2
CwclTxwHUHt0gYyClRR6iuSIXC5fNaUaN7VNNdtWCdJhzPVLvPyMD1EzMcUZD4kdXbhF6x+ziDFC
onlM+j0U89TWDuMNsPqbwZNsvFuu4YoabylgPa2qgRuxcju83pb2nHJ6l86QH2TY3QmH4FI/Y2/D
fqhcBt6onerY+aJyLvoKstO2sOP3KY4/swRCqmn1ItsrX/oXpRWP9+w+fcQK4WXQmKBVw/itDSbj
mbIXXQhKpU3vpNVKNikaUzCqTCa8HLuaBs/GUbp2sMpBv7Dx7W4jfP6LoGZEV0t57QLlu6UTwhAy
3mkl9MfCyq2t7hbX0mFoB5sAIqVuOZSndHFTMo8tdQWsd0y0CxF2SJLHOrSf+zJAgKObybH1R0Gm
aaaNlMlTXTv1VcjvrievJLocBTX7guRUHwFJzN/kLd0516R0vQoVEghZe1/OySeaMYegEHs2Heo5
GSX6FpJSTC6LMvDhpn/lsTNjZ4VlrhdecmEgHxJBNt1i6RHD6r/T67dJCWONfzi98vEv9InzKOTH
yWV/ciwGJNgx3F/0iQLOm6frBlyT3/MJf5xcOFQdyzOkI03uHAhyf5xc9ifpMm/4fc0xE6//xZQE
LO0vJxeeWc+c3wPcTnYas+/242Vqhmkpgl62pyxxwk1RpNFqKDJ6yWvYCBMr4cgLMa2urbDXQ6Su
faLWtmgNgfTVGHMm4WNkpkfScqrxCssBWSxEbSu7RnQ/OBWBWHYamls4JCghF5aVRg26Ez/ujZXm
e0X+eWLkap1l13l1vpLEgEGBt23VDEuhVXHzIifApROSZminrIqHuscjRjBbvY2b0rsMKz3cB2Qn
LiqlrPuqILPWRTdcdcU8yExiRguV6o9kDYwbRIX5SaZJdyOcRL3quW2XODvC4LW36mGTNnp2QQRC
QStb+KdYY3aLyj9E/CawrLvKHK+FNAit6ArsnrlUJ4GoeVUjoCtwms0RB0b9QkpXs0xb9ubLEPXF
PrTj9s5QFXv2MLe/uFPqbfswVUwAoLggyCZB2TJv3EmHqT8rDFMcZhb6FzBxdtsiW3P08VRjgNkk
cGuI3xWse0HKCcX4xXzl19TuKl9HdixKsC3wyYzP5lRO53CaYhisRme8JvSIR7yswX6EYf1k2o0J
Z9JABVPSuExu1l11XfKFH2m+rzxH3Iom0tNlDK7n0lJIhGwiTE5jlgSksdpEQUdNs/WIxVvHWHBP
U0WnkFU5HcmY1csQGvcX1uvpBUrw5qHLim7TeDGuVy0yLk1TpEj+wiZBFMdmglRo55qBgLbh7GvO
ZoQ7ko13cUQ00x+bJjmgPZnAeGisFexxeFcWHkS3zILDUEQW7y2W2mXE6guuTgOephhR4LUtR3g1
sjArA1R5FhabxWDXVHCT4fmHtNacB8Yaj1iMjAsDu+sVb9/faAnwlaYwEOfUtX41TiEoElfF+yBC
b1FgXKHdLsebsHbVqm9UtR6jblgH/eRvGnxQwX8n62/GOsG09O9P1uNb/RdYgPlrfpyskhrOAd3g
SEQu35LNfsyf9U9Y8gUlmU495kjO4+81Icfnt6Gw0F06OznPhb/viS1OVgTjurRtR4D6+Fc1oZxn
v390KbPwm/4UTjgFD0APxsQ/H6xSlIEuIKmdZEOYS4JtBqNOaKQrCdxwK3v3hVWG2lRzFqcYp9jS
DlnjdigNZWTEz5GBIvEq9Iuu2sOiLzPGHLHS19h4OkkYTF2rc67KU2km0R0SIpwQ5D9LvBhTQ9ES
xp/N1OYQz8dgW+o+53VAP44XPZ+PeMOawk377dNa2UPd7S1fy3DliFamzXPGqpiRzIDlAzWS2TlN
1GyMfIjEIcvI8rkNJoobpsR+zLgMrA85NQHJBRLZ09C3zoqkoBgW5VitFXvTbZ84Yq2GatrqZPY8
TH3YiV3ijc60NptuDFaj4U3DOu1Y1FI1+xpqHavUkG+WED+7sQnZIRkFOD/HqecwpRJ9FNEPW1GG
SXubmCl0Rccq06vBcEJjW0n+/xgQ9DIpC79xiS+H3fcQFnKPVtvU1/8VP78VP9Qd//CIRnnQ/EXf
xhf9eEa9T+xzbJ5FeBt/ekZNAemNwYozY33+eEQd8Bz8T1LnwPb4CIEz5+KHp1Ya9IGSpu9fFT+S
Z/2XR5T2EOcIyhGgcphmf35EhW+2UKQkgeaTZtb3eBTSDDXUmIlVGGrACty4MSJCRhPzqWSRQ8iH
Sq91zSSC2EwzhJsDgXyt1H00Wa7TAKgu6mk1yh7LYWc3PFBN4x8I+EX9V6TFlFwXuDBK3BjY0z4P
ymiZP5un0cmrlTVbNyY5IKOvwtdChs7CmA0edLchFHRtOeD9YOOSLDMjGVcKX0go/Cfua5wiRGUh
gk2/OUgSWNLLbLaV9HaNqBwgtxycZdGNbX5paSMJpJggIyvycQ+mCpI5iDg/78tXA2Z3gJF92TqZ
vxRlvmkGFglFFu+qWNvB7WwXQ52/6mYdU7P45grJ4n0UaF+MyzIfLwtoCcMsa/DSiXlw6t+Jyr3O
Cn3tjf02nq5F69yrvnl0XDDdyJW9y/8exG8PosXj8fcP4m3UJNSv3Z+fxfnrvj+LBqtXy2GSCTEH
6/hMffpxX5oQpz1Uns6sa2Ik8uNh/EZkBFyoY05HjyjmtIs/9rWsVkF4oIL6Nl/5V2l8LOt/fRot
w/XIwKAZgcs4NzY/dSKon5ouqZ3iPNS63OS9pVi1MWXG0bwLJbIT5ObopDF6XPFN6Ec9zQjIcnBa
7lNXL54idByXAB8JrzXN6jbuHGtnD11zUolffi2B5W9l2kPWShEJzrpESMyehhgkE9pwbhggXFVx
bD1rutNuhE+o4ZK47nQ15X5+SoLS++pq4c04pPZVIIR2MPBObCfXye5bd7Sf017Wt8qwu8u2CQk5
6/KiWshOw1pgj8WD2emA18zGeCvsLn2y9TTf4TjBV1D6zUsPVnyNQCdac3WprYwVK76wL69VnHMv
okgNoqBkDSSs/irUcMh/KeBHWEeBiH0cNphkMMVMbae9oUqOwxOUxq5CtNTkNXbycg4Sg8J3G8Ye
+HvVsfWdWsoFdWK4UDjwGS1gt6hulSsJDeux2K9sI0ijo6PliC8IRx1f6dkqfAjKIxzVH54dlZov
DKxtNP2Dk2+C0LEPIxTlWwLupxfTtm2M2UakH4MZXkgwmLf1yz54hfAUoQKephe/Cac3Jxqeaq3a
5EF00GZbdiYcUonsutyxxw6QN4uOlHOq/2MgyPNJCgCPdot/dDFkBfumSAXRpmGLgga2z+ADJNWj
JaN0z+Li3kyqcFcymkP/hGzKBiWzc+LGuXXDMtu3Wuvdl3rlnMht1VcZMxJ9gaCvuPPpBd8aoshe
Nam0g5m2qLCGjG2D0FZ1y5qp17RmQKDCgo/9YQQhSCua/Vj6Oae7C0qHfefnYBJyNXksz4kmiS8k
ypbLhr72mej2gqxHOV40yVQ8T92gHfnwzojOHG9aUPtPmDfUfR7XWG6LIbrVoqE8hz070twzJcIw
y+rR7DUW9KTYC1usd3ZDwNSo5GzwdnZGb7x5DlKx1DzIQZnIqUnJWOiFI96QGSMNxle18Mpmli25
9uK/s/i3ougfz+KLl+Ttz+ew+HgOG59MpCTMDFyLtmDG8X84h+ljKG6gxSLrmg/b732Lh2MVLCCy
WP5Q/1Yvfe9b3E8OAyGaDEmgAIf4v4sL+HN+0FyPcQ+ANQPGy4n88znMFJcKucrtq6RPg6MWZJV/
OwxJXu0cI0q2irQDfAJQBCqWwVi0071VozKwO83eJcgb99losI1RMNHBNZEWM3RAcyyJKM7EgOHC
PWK1DWonIahSgwR/KQGs023oGyeDq8DmEXSY+2bHfLwJLwhWvm9NBIGFwTEf1DHO043m9nPYcNzd
tH3DEHRwPqeDly+aOPTWCsNDqhe7ie24MoKbCvDUSnfGadUYrPLzrN61EwiyxnvD/Hodme4VqUR7
lo23+Ce3PMVPWuCWx9wvjlUIzja0or3w1FOKGJQ74DYz7PsgcklUcanNrMQsmZYEz0wr9sDg17Hu
P+PTeulCkkHGnhiQpO3VFkcs79mSC0Z+gO9rvBKy8I6ViT4iqQ2C09JThTcBM0hwWWXWSx22Vy3w
iZYfNOYsspMKpYiUKQ+ZTOSSKOwdceBE4oDtF4ZceBPpJwnmBlmaYmXK8TD52pNbzyR5CzhwG++7
IOeQlM1ERUZJOqtnS+FjRlbFjgnVc0K3yByGXGeznjbBCNwpKMMvxJvUy7EU9ioX4xZQyyFl2r8l
OPSUl5axUm0arsiDfyj90Fqb9Tu3gL5zEsdbM8ZmNWA7K3r4d21An4tg66qab6cpYnnfy+rOrV0M
vF66A65ynUKD9WYVp0UaddyWcmnP2P5BD8bPYz4d3MD6KpleEaBK6DaL8WerLg+YiD8P+nRdsf9m
vP2sSnxldRu+AzzGw6kSoAdNfMrkuEuawUP4Kho6avU2uB73l7CZlJfBJja6L2OIHppJ6Ub2yZeR
AqjAfDSjNiKneYWQZ1wwn2Ryn82RbC2qsHSl5qA2vn8MteOc3kaKC0luPZGEctG6EmttxmmwIhAZ
rUfl88XJ/BOfSI9bRD6US5hEGw91JFlRCQJtSvpwN/b61cTDcE2AttwmmgsngSEe2VHGwTRjc8lN
D0Ger5mQGHNlBCY8Mr1YE8eEFNquzGSRiJGEOTMa9ghfiFyoiujgugPh472t1vjAWpRkWGX1vt8o
zGJcQFf4+9jbG+LSRFG8IO3gmpDFYNWk8alygFEZ4pHbYrythZY85wKdN2UBUzt2CsKvy7Xb8oGs
HTPBchMsegu0y5CXwO4Z2i5chIHbzPA0IgZg9grV9Sd8qQB1CxhF2niZGJgiPSQ7HcucRZeiZTGi
5rXutK3AKr3oSTpCvUuKqO0eNNe0DyJI3VVRxmJ2RNWfDeYrC4zqat0FCHKtuWnJQ+7LCC3xRitT
nNbtpH+phPEUZ5m/8Rr+WzTw7jafwBInSUreeAaqotFindlFVSyEMf9+fSejGPWPFfnmqVInEPsx
V3gHo62+DhXfta7Z5IgVRzGaW8rRdl142GjiqWbk6bnLIUSSb7rQDNsJGyfjTxz+4ybLs+vQjixA
S3hn8Rsf3aALFqrUt5GdPOOy2nZaczslYP3TFFxLCAU4F8ll09WkVXYEFOBQpLYqd07XvAemH65s
Lo8V+BUeWKQ2xqU7ZHdZE6cXXtifKcoa1liAQLICnFEA3YcR9SNt6EZZ5bHz3behMAQCpuzQJorh
phi2ErvsfxXCtwrBYIny993a6a1/+fry5xph/qofvdqshUVSS/KMgcDW+NiriU+samaimIVES+Jm
+VgjGA78FIdN9FxY0EF9rxE8/j4gY8w+WfTMqtt/sTRiSPJrqyahBjPhZMZJmcK7+LlE8LuohA8T
jVdRfjZHsKSGPyoCvr37YTLUQh+JJfeM/IJVxw1CO4ilqbaU2oTLPEypHnB7L2TrgbPzrlBdFLCN
nFcPCWDaeQ/E8tzjAn/viBet5lCNyJPPaUlh7zYOTCKSN3QjuyjAMiz7OZQjmcyT0qtwyWEx5y4n
D07gTBuz4HkVpHoYjDmw49lPSSofgnF61Xw3X/okgSAhvCfp51yTEBK5TCp1D/EK2SFFMQAFJk2k
ULMrknwR4cbg2vN+k5E8YlJLxCSRsMnedySTID3wZzvsJg+1R4yjS1DOC9vwTimZJpMFtAATBwqi
vEG1S/JJTAJK5XJssR5f0HN/LbzoilB2B3pFNd5O6GGjHpqSKBsCEwccGTEMRY0RJ4J6LV57mv2c
TYnB6tqX64FFzUFi414RJ0Jky+BvQbbHK3dOc7EIYPTQOrrKmziCu1tnxNU+1fYD8uQqWQZRbd16
sgvaGY04J8YMTtNM90Ip6ET4XSoOE3BLc3x922P2HYHl4DoIUmvF7orVPC2163BoN+NWT4fdpHoo
Zk0QLLiRtoNu9ctv9Z1vi3tLlv0yk9ZbSdWX6uTS9OD5J4v20Gn44IR+d9/m+ecofat9+1ARNYDZ
hKaq645DLWNATPmuMHRtHSYlC0YJsk3Hq5uM5jEM9cfRIuC3RK2c2eNLJezqHgLJTZBZNwJniioV
cSjDdohjfxfZRPBpkb/LmS4vg8o8EjciwImWcj9qDBqmzH3Q+tpdOJW2UZ6B97nHjAvy1PXVfvJo
bvWi5IIJcpxPpNBgT9pGgH4XKDw4Yv2N2ZFax76LSL3uYUrTx9Q23nHXZjhIqicUBBe5n9yPMnwO
svqMOzFixufuknx6auo8468Pd0hE5DLF/p8P7SHryNNmSPfUt8zxRfXSjgwMbOPoxdEK7MUzAI8W
GKvCOapjxEzrGahS3xNH1C/KjnhAXSbHBJxCOSf3tPK5wsGxQOpwSTV6A+10C6fsUYzasNXHcZl1
3Wc8+zdGWmwk9HcTZNhQ6lDNnMm4iF2oTJWTE5/bnwwz2CT51wS1SNcDa2lmxkCkgAqQzbsq7PEc
OfbKJeJu4SmcRa1sntCkDEvfMV4y0ovR7yXtUocKIdKAa74f75yJS3goUirmWt5hrTu6lf48ueEl
AeHXJkJJAUll4VXeVyg0u8yDUOfIag+CgQ+gf5fGLBVYUdBJWCUPlLjjY/wkW8pwYH1kVjjXjWcS
CTmyxNTUufDBn2SNQHwdGMiN/ZxQGSf0yAusicdKhhQFjneTYJgiUL6s9n4f6msqPkxujvc6+O1L
klZnX5DfQc6ivwKq4C+zsfLWdWwfQYxa58l0t1iGQ6KaevJyylwAqsC5HRClMxXFhTkFr4KInW7O
2snm1J02MQCRBvGiKcG5jCk+HaxSb/BJpnWHmQjbFlpjIik81Oq0I0gRENvOST++VV8wfjiyrAdV
glw1bG/qORtIV+bemawToQJHAnmAkxIjBOoHbtecLDQGwSoOs26JfOq/Zebvy0yu4b+/8i9emubt
r9aZfNX3Kx+2KJnC7EPIGKC6nmWGP8YCZN/M/5rrG3XZx3UmdhqmCDMAC/Mr2uOPlHPvE1h0h7+R
2QALFWqIf3HnC/tnGST7TFvwxvgnRYluEeD+853fd96gsQRRVyOrB7kOez9GLy7xrgdjxO1g+Md2
SgJzPQIxTx5EJ4gQZwsbtftyiubMS2dKLn4DUseD0U5AL8t5Rqpy07G/DEjVUJqVtT+t26Cmq0HU
sRscEXjvnp6JFoJ3g4+kjaRFEBTxod4qLQs130XavDGsHEym0D0TBQ1iKpCiMn0NBrHOjKCe1pYU
mVjMGAKkBYnYdnoC6hCGs2XfpwKY5waAH7G6gh4jd6yWmWE/7gZz7ABNm+6wCWIEGusgiBG2AlQl
rA3EyYFSIn2NCF9feaSQkF1ajv1aS5Gj9BkwZGoaQEgZPjV2MfZrb6MRmaYMvbk+aqT+VYG1tcfw
3VEauTy5+85wg/SzLMjWsuTPSNcAvN53+OBloY5hAOXCnfuoIMpI2W0JyEXHwEZGyoTGrE0ATiEJ
W9S6pnOdIxJkzK3vCIll9OBjcBfurLyYiuBQ1lp6tkbw0enAZNYt87dETvbWTE0CV8Pe2jZFG611
skaZ1BCYajG3Pic6HhAC1ZB19sYiqyq1djVAn4FrvoXY8nesnPhY9FR5WWCBESuwSOqO9groOtg5
U9otaajdbVjX7xJHI1gBjmOZMetZqRp0YdoSVVwUWXPwbD1eGVoYX/KeiT4snOIwA72jLobLQkoN
khQ1Xnueb2+Vh9W3mbmmoM5At9RQ71XnQzyYat6maz6lecIpW8UBt7GlE54ETaeQKazEEi5Eh4p9
DgGsrrGdoN0LVHstIXwvplFUWKZGLCFoQtLNpHvDuiF0diY9lOtByA5AB/xDf8iTnUhBJ7AVz3b/
dUq/zVL/sVO6KJr/9//z4C19+6s184d2SSAFYZZKR2SwXtQ/QgAR2bGfcm1Lfuuj5p7o+0jV+oRH
EBcB6m6GnfPc9Ee7ZHxTiXCsUqRL6Mz/ChnArPenNbNEUzL7BM05vQyC2PznH/TqsSuZMORefKIu
mWwJAXdrVY8f7pPzb7qSj9ExOBz+4lWQH2PEtFmkwTX8+VUqn0msPdnxqS3iKF0Vrp5Dx69Htlim
kaxjs6nRRRmCqDO6nw4Q7jKd/GPPxPFGL8PrNILMaofRhdJ1xqVCs5fCJQcgFZG+1INwr4xs3/Xh
ZdR7u7ITF/qkrpvRuKymguLcvELgctDjBENNPxf/euVt5Hy8kJ7DAsnwvrKAUniuyDSNW5Y3adq9
R4hPQPQ5DkeW34Gp9vn6QYI0HeEIOgelTdnWV4NctVoD/d8z0Nh1E7dG0uaIqg3rwScZhMWebRLy
B8ZQo5/cRnoSOuuwq8p0TbBm8lgUAkuMC29vF3hgs/bChIXCMMk9OWMzMt2A/EXn44YY983SdB8m
o3IwQxrpttYmx96KQmEfAoPNpVstOztrRx/Ena1duZWhXfL3l6u5OUhmT1Wh5VuXAcvK6RhDIscD
EyfdaGemVnLoULu5Z16vMT/bYyCbozFCReAaNW8KWdvDORQxU9pg9I5e7cgDvrvgGQm89dhD7Yf2
M6LhbfPO2rtoHAl2Mmw17VxuZGepq8aje6U3dZDQrMEGWiujBIiQdvAEqyAY971h9yev6+S65WdO
DzI1Lw2z9WGEkzIOrkFFHe01DHBrZFfIESBN32CiPMT6mK69Qng3KABJh4rpa93RQzVaZigzE2vV
FwJ5U/QITqC/4FfXr5wqmtZ1i46hQSfFkH+IDg4A6rVkSrht21SwzfLn3MreAHZfNVvH7HfKyqm/
B6O5DpjrccNkl1GeEs3d5Jusjq6twt67YUcurJPuCFtKVoGpnxtP3bb0hPeYwNx3nKesA5KVowbn
vYi6lZ01q8SvxJ2udZuAHa9mFAmtdLZJXIZ0pN0vGqf82jTtWx7Vb2M8PqB6IEOtP3hDtuEAQXE/
ba1BvxzdfmV6eN9t42LCWAlQ41Vn81tl2iZVgvsHfl03fsnB+gXFF1/vxEo5qcktDqA2sftn24le
08mx1k6TNAcGtiTzqunCyEguC4xLp+xWtEnPJb++piU2gjD6td87G8DDO0KEnwe/WQcZZPBKrxYm
REAYwLm+j20Rr8T/sXdmy20c2Rb9onLUPLyiMIMgQFKc9FLBseYpa66vvyvp226RlqXwe7+4HS1T
RQCJzJPn7L32xJXdcc68xmsLfO9yjOeQ9nwA2atX42Nk2rCMAv2qzYrmONTtIdRHFjOYvqwewU4E
nI1uPh08vkRq6Sx0TyxHWIIuwTPmWN4rc+unlnMDNOSqqKsLJLp+r3sXeddfRR7DAYJa9ACYZhjC
p5i4VifRUPmdKD9y1i9TJf1eptr3Ks33SBsOZebuySq9mgdtmYFBK7PsaJmJX2f1dJgdh1qMIsEF
6lenzraTHQ1BIzoi036ah71bztOunotiD5byNZ8CZ6FABeAeA6nZGo2UBNhqEzR4GeeJQfOvd96f
mD/I1sYfhFuMkRnqii/7ezRpoA7sDMZRTUuGkfGEy3BKlznAyIs2N4al04OaIO+aqml+06q6uarr
VP3mglpZlON43YnkQh2DZeo59+rYburIfi/SJFxWFZZaoOgw7Cd1Xc6s6SyIYcFZjT9QkC7MGiG1
47ZbQFrPwEU7H/7CnY4hZYW1jw6Sis82K/yh9huyZqqUgURQbLREbHRo2hnZx00OwyXLb3B478mM
PsxNtq87/cKpygu30b1NO0xwk6Z4q4+R5ROE59sBAKbITDYhY8llozbX5tRpfhXZezXy+F4jB8Tt
rXERFeNtEpNo4dlMfPRJP5kx4Te1LZM/4vTYV/Nl1CS7dLA2FlbUZUwoclCkNKNcYH45/TMUtysr
rC6yEJ6fU+inOBsOWZdvOdcwfVfwMcupWZeJOKVJdo2Pj6lD0cNBKZTYNyqKPSHOsdH0y3xmRkgA
zq05mThAxvjJA9oZ9yymkQXqMvNK01ryDJEW5pKD8Zjk0zI3QICD2RjYh4ympFvnXKi1CmjEU14D
zZ4XFQ1Peu/jgrRmMgQruZe1F7FjP+hqtlZVgjwgrj1Oua75STOlyOnDkzFb2rIA1ojOJXG3IBG7
u5L4xwNCK3HMqGR3v16qCPG+FiI2rlyQyBAyXVMGaX0qRGYxIJ/PQQt28dJI9kLv/hz6/2Pg6WdF
HX+lQdQ8o2NEuVLDJ+W6Pz7BsPE6uV5IALOdEFd5irt4G1fXYkhYCZkf2/XaS1a/flVcQD+9rr8/
Vb7uHwqsrkrbyjQU5ahOxQ02LTrM/Aun4gO3O4QfqOb81rXu7cCgOQRGuR+hJmbFILmMcekXYn4o
Fecibk3Vx1S/zrxBe3Yj01nmanJrk8ezDFMS1jPz0SaaiRaVYXespqJcdbNTrFwEJkutwvLrFNO0
60bHeC4L4hSZWxurOI5fMtbqqlbtaMkOPC1b11Z9rtQ3nZnNzPbSW4ZV+i4P4UZM7StzoC2H0rdG
iLXdDMRgWsnWUCOF2TIVSjYUxYagGtWv4VsuxWBxhQIABQsF81QM0skI6Rl7mLyb/r1uBp3mUbwT
JoGRg/ltnPGfq+neasGsiZRiLQ4MpP4tebF2Z+3SOTkwDF4WU6AvydjBTR6k7LLqfa8SXhQn+dGN
xk0hhlUfzKxgspnaMEf0Xy3LJHcX1Zy4S5EFxwrsLFSjrVbas++G4w3CYgq4SvnWtdCVDYPgG0Kg
N0oF7Fnryic7JCZMza9q9M4o9dtFo+17CzJdbxlbh3nistK022KKtmMAGLUX3WVF0x9mq7XjXvdG
g5DeG6kaYHc2YWVeOPRCf7PcfrfGZSH+w2obAJ70+sxqSy6Kc3iprAn8ukMJtoOOdOFy9PgvtLKZ
Sx6L78Ph1w+Xg58fvsL/WeqIQtHT6mj25C/3w8MRPLtF6prKEQnUorjQ/WpN+pR2UO6dNRGGtyfF
v7jvVyR09k/8I7ucLtTFPl4Hl6ij8t/8Np8vNn/+MgbZnBbOS65R1heJ+6QOjLU1qTZTz5WBEEu9
F/2fV99/3FE+71l/fwaSmB9f8CzyTomiLOJwfQuBqU1Xv35Hf/oaHGQujuyj0eL6/PfnI2HqpF9w
eCvnGgSTsKg5/9yh/mftlQFD/9z1PD69vomfDDrlT/3Q9WQB4Z5lJknCquw6/tX1VP/AVMvdnRsb
RqQfB53OHw53aZdPzHBRcP/Y9bT/IKcVbwc/YID9+3diKOSxn75vdD3JR3QYoZD7ykjVlb/Ej8tP
IU2+0VstPAXQyhzJuG0bPKAZ2Fujze4rMLgVc8/lDBjXkYTcIg85urutCjrXlAzdwbPYGQesvE52
GPHzLmYvgWHT0x0FwSv3a+Lh4Ea4eXZHIlC6CGLPW5lx9aJ1VcJR0V22Xej3Wv9oA/nVgP1akvpL
GNx328uWCpeHO45ydcs46RDmQ+A7AUHR/NrlugMkXMYQhUNNfwQuSPy0pA1DPaXfxkBxTTbBO2nB
b7hF4HxKSrFbJrh9AReXaXQFxflpBmisTADsPDvs/dLiRpeCPbYk/7iDMwoMhfimximfXSDJSHUv
c/TECzHwEjtJUm4q7ayAVk4ykrZBLSeSuZwIsrKBw52tJDmrhTEu4jhr/UGymjOqiw3Tzn6BweoF
aDB+Oq2LF2nk0oKLLKTuavKNGdEZmTvMXhVbc2NkzgUEnpsGXHSea1dNMYh1wuxsqYCUjkBLR+14
qEro684QAWsCPx1qFdy9ElkGkvRyUXYWENm4cZekMMy35BUUWw+9LvAWho8hNKA9dp+EAcz4Snt4
2od9RD51oSKPkWxsY3CVVQUu267BZptuhTojCK4mydSOYPOsp5DT1Mty+BqSvV1ICndpK5tSslti
hyK2/j7hetk0oSG74RGX09CBCgvW25F8bxPoNqTvAF54DbDGgQJOXfzC4AfsuCSEYyXMV5mkho/g
wzMw4nYoqiNAGiCzIWAQPJDrJIY6roIfjwOtXfWSSK7r9TUXv2jpoKZbJpJb7nZYI5jIGVuhT7kf
dvNLJ1QDjnFHeS7Z54mkoHeShx5LMvo8uUf0Vt7SHe03UZFBIzztshjawjdaljJ3unEZ9jGk7pC+
lKbYNwUg9l4S2WPuUIvGdbJt24xgccKBrHUI7gG3Pkcy3YcclwWSQWRUkvheg34PJAOeIbG5JbX7
0Uv0Z247G0fy4vWxOSq5wrxcceHeAJWfgcsTAUWA9ODUxDw1nn2FdK5l4DjTU6NAt7ixjmLKF8YA
Wj+6H0O+83rqljRPOhXN47iejNY4O0P+OBRVA9SYuM6gaRmDWtPdyH2bmxHanDGWImt4y2VJ2Hma
lvdu2Q0b9NLQEEvkYQL1oxaF9kHO4FERED8Eh/fbXAYnYVcX3eg1y64s3uO2vtGNaFfo7qF3MbK3
yWGeo43OxTlSoqOaIOcrJ5rayL3pyQvzGnVvT+hB3a/rUTu4Bl0fLoM7IE2oBVJ+cS/cNoN5YEDw
DnVvTaKg3JrMVRnk075UpiddFnm1hoKhHtsBYlNv7+O5XbtjOEIoTZy2vS8IaySRMKrMGbKVKG8M
NOV3XGUHOhM6ZGBbbXqxNWLX+h6mpbVvmyoLz+RYhe6urRXzexDaenBMCFff5Mwzl53H4JnOxMoa
dZZGEGargPWyNUu4xeRXEtLAultZFZd+VuFjZ3bbGeYBo1x7G9lzgM0eHdMQh0yEy+DKnefTWHSt
DxBk9lGxnjM7pMyGJbHKq5jtKc30VRcm76FwroSNXlQZCPLCarcFm5b5DhNxejz0E/q72gKkzLd4
4wbY17wOCoM6nz0zPnTpZPlVpT7B2wSII6XbuHu0Qcv8tg2abZ0piD+a4DSlqu5PLXg4BaDIomBa
lO4KCdNujOLJKftoZeiAth2I23GaPOsQuMuEAE6I3EVNytUMozswgXXTj0uRyqXf1PGioG+Yp1sX
DWIxb7htbZTexZ4A+ruHAW7DAgfEwoWaEbMDJVyjYAM+hpE1kwhxJx+INwMqHkm8uJCg8UIix4ls
IIhejzH3YQCc4JIbvar5+cDcQ4dZHicW0zfhXARVfS4l1rwesDh5iC/rSL80I9DnVgjwXwiQZlDR
U2wdJZR0BT61X6r2PeKBl0SC1IcxOwwSrc6d7BCAVrNgrsNvPk0Swq5DY68klr1LqnXsqXDhXcIn
ALdDdw99Wym1RYeouMAz7JPMRjxTtsSMeQOS1UC2Z77ZBOWuBwmGN9z2kEhUPOpZm/9wXENe2JsS
J9/FEUJMCPOQ/tifke2mPYEcSnyTBflT3Tk7nalQivmgB1WfGnzUqstwCzws2w2aIC18Szxva4G5
LxX+NAB83/YgsAHh53q0+Sij/ldPSjfur+pJMH5/183JH/pPOalLbT2GQ5ocjIPQ5v5QThp/fGAO
bAtIkfQi/ncQRIQUQfDMjbACyjkNReB/dHPOH5IgaTIhoqNhMlz5N0N0hPJfy0k8jUz5TQbp/Bb8
hZ/LSZdZE7ER6nwy8uiuxlTiZ7QqIKbX9A/mfO3W9kZjEVmTQpPCu4PJFS7UDvBb7tnfEpcsu7Ld
5Umygi8WNEvHIQJoFdNdvc1KDyaDrl6FSiF2LRsh3qIsUZ5R77BNFprRg5oN+nwE6KcSX5E5ybZp
OfPyLumuVCS6AOvtmyGVd3VSeEgHZRJaGMsqmkEBj+W3aVLuAIrdGpREC1VnT1YF9YUyESTo7nF8
LYl1eRGzgVimGBZhol5XiX5mW7jT+6ZYRjBpF0Eru34ComRQvE8CaEFEsmhgIjHWBd0SSx9P6G2e
6oxiweqNbolc5rUe8nnZqrSwvdFdhWpLLEQZaesUhAYEAcWcdsNYKj5i5oNG2rZB4GanRYe5c3xs
2A5i7Igeud4fRF/dR6r3qJgOUq7MuErLZtVaQN9iAAEimW9bqNV9p1WXWjBwVpTvuqrRaoivvU5W
pGROVmG+0/LpLm3ACJf9uyooSVVlcnzdMIgrjhHZKEraLows3daNAtEwsn10P0Rl63QoLK7xALqr
ickyGry+JcKTlFG/9URCC4WhS44+YOWmKdHZIzF/WMxfoincFwb6+zZI1AU5W37h6uxYxrbrxCnI
4NAY9JYgYoi6QsNgd/mmtSA7Loji2Bmt8JvGOrYjEi2jBMEbIWY01eA5BeCWZiNZTh2FXzE+hXZJ
DBRnUZl5NOMlcTJCSR0ZypMqYKmKntwlLaW5jIMCJpF7RHFKorZKopPeRTbhrAbQxELcRA2jHb3N
UUTroYzLJmx1Ft2WZOkZ8mFmcgw5QJ5zbUOvtl1nrP/LjkGko5g7pW7uGNBu1U6/G/pWI0u+UZdt
o2v0MvTkAvEI5R2oilVkAf0KeuKoipEEEniiwWbSNPWyGg3iwnVZn6b9xjMr+l/hPk+bYDHW+hNt
DQvt/RSfHEMnbQvcx+Tm665tiIef4sy3huJ5asq13scPZaigRIVqGJKh6iegmk/YLeGu53/u7v/Y
8fjSkbBU9DWY4+hFYHSGVfDlylkZY58SNq2dsvw2NV8ta/nbRvBPHuFx28aGxB4JxPZL02OqwrFJ
Yts8pc1zl56n6lvhXfzvjPpT3M3p8Isz6q14LV/in6UW6vzgD+cUcAjyt3TWCN14/uivtofJOSWB
xRaOXBP5wV/nlClF4RCHAfZ82OI/B0mDBPoLqfwvhF6W/aXFyPqzDN2h7YH53gN6+KWH7+ByctFM
KSdNyfyuBTivmvNbMDB6Ti3CBjtDXTNmXIspzDNUsZW49kgLvNKdXjH4jpeFcx1ydXJxJU3Gsms0
cc9NyZleLAXkvE3c60KXhoqkliYL3Z03YTPwb5zDG3KlADVIMwbW+nHVV4q3Fjg1iipVX8Ia80at
j9W6lIaOocNa0kuTR1vy3xrS+NGluvhefZhBpC1khhW4HwpnnyRQhwcUXlbEYdjgJul0sgVHHZi4
NJqw06GnkrsYHpRJmlFyx1rBVu8vXWlUyUUSrnBQGxsxTfjxpaFFoKTFQxUujAleqYv8bKFLA8zM
xE9vx+acEDpEodlmj+iopxtNu49NwgkbJb2M6zBaUipcJXNLvipum0kl9cGFKk866UsTk7/jcvab
LZlzrjTrONK208I+2xcfVh5p6uHupq6aD6cPedwDLHrsP33FCJ+PRTnBMibRFJcQIXqG35IjU0sD
UdqX49XsYioqGjO9GvEZldJw5EnrUfDhQkrnOV5Dz8cC5xskIpMMg19JSOfS/GFiGkfTXXJdx9qU
RAAGFmAIghsiKKtNT7CiumJhF7tC9D0ceExHga24x9gE67RoveCYwit1i6NWd8GV1kWPWQTRNirs
p1AwdhugtK0oyx5TrQ0JCa7eVS/P/VYJL7Iggt+cTKeMqz5o6Pw9mq0l8472NOVc7hGXO74p3JQM
ppSZem/vRF87e93iFO2TCQc0Ph09zzdmxD88wV1ztDpyeieJUIk74AzWotW7IF6IftDNY29Vyn4y
HKxmSOPO1gfiW3BHxjs7WoavNyCRqiRrL+AZ0PBioZ3Qh9lrUVv1wTbh3ytlSYeHKQwT224Dcuu7
PPZalSMcqXWzH0Zyj7I+1NaWGbiEcOZrJfdedaW5sJP8quy620Axjk3lMLDTleqS1Mppp0sWSljO
W8WifMg56r+pxGevXPetVcZDnDHZNJ2LKSq9lZNEm3qcVjb3WF7zyZ2KCyvPv8+9crC0+CKPuAXF
nRUcC5fGRm5XxrqLwptoGkPI5NlOJP02rfmQ3IgYhSFmupc4wYLuyFNIxvqitePT2JeQngua6Erb
52DrCBCzsx1eiJUrxFOOln5g7I/D6d3GAd61+ZpAlDV2bV/tOWVDnXqRozciedcBA+YNoz/g+F5E
LQMuLoq3bqaeyLu4hfTsTovUK236sp69D9z5vaq1a2vudg54WyPPV3Y7Gj7p8UQOpj6S1KfINja2
6FdYE8ANW+65SYtrt9RfvZTvcJ4Zb603XZt42ZdEKx+nmnDw1PQrPmMms/gWGWczgvZ7UtOYwucv
qAK/DXI9ammyE110nsvxlEMIx8C5C8Zy6+Slz0ZKJoOlXpHkR4DR5OuIFYqgWyouytVZ2YBO3jpM
A/MK5ngzrhVLDvn1+MV2ZTArJnishGnkrPBtnIpKdVeFWm4gsDFS7cKz3uJs68PtqLpL3PAXNEUR
icdcWvXFlI5+zVcEvbEfCG3JNccPWrwV2VsZdNeEUbEiVWIRKWMGwj5pizUzWDCTZ1AumgE5TdBc
m9Zem73FjX68NkdP6up10o9xthHDtclN4XuBxwoMSJ5z1LXr5e8TAxV2uDVdY78hmtF28VyGTbSj
ft2CU31QtZZ0CvfGtqsHN8KjQZh3l78WU/VWq9B80aQuHCNeg4JcNwH5fqEJH2GCeB1dGVAey964
JqfjXVPIJxUqknbs+aq6Vbx+6zbKWo2ym4T8phbXCakwCwcA8sK2qlWgQBRTuzVfxcvGc9ea0eyN
YOKB9SqseMPGolmWdVDAqtNfCMx94K+iTQ7sZGrMyuebBEYyGnzYd09N0VCEKwf4krtZcdCakXva
ixRKMIdEVGE+ojVOMW07G73t7/Ou+N7iB54wmTDhQGaLL7dsxbZwrZ0KzWAxWx7ijP5hEOp9KZLr
UtHo+owEdXS8d94qLNqt01qsTge8S38FzelQIajole4mi52tOwanwJh3hZnv+0A7RiXD0KIDQ51N
Z/CTNFAG0OnuVSK8C0MbHysboYzgTqJ77m0gsESI5lQ01jXuVhX0QnPTUYH2FW1LMRN5Y2UXmRVC
RKvVxUA/X8iNai4fprQ96MIiShF+PLezBHdWM8iip6CtU9yKatprenlQdLLDSJMLnpGNZzfgC0Z/
1tu9oDE+Dzi6cH8rSvJKd/Q2aXM6L6hCFngaHk00ZzqEmaTE5Rxrr3ZOvd/WD6mIdnCcT+y3yJVF
ygW6OViznCgTD+jPqvYYWU219oz0Wy5a0IBjukkN7ZykboLXlLsSXjLYgM42SG1/0JV8Fc8lMWB0
48KBoMBJX6YZIpSoONPk3STBuB+L6bVSENiR39bCOpQYHr4BDT3x3ll1XbgSYDp8WtG0jTo/zzgk
MKhve8V97Xt8QbG6CXtnDZt9xT2G/aehKxiO83rMi8PUhgfRWt+YtSCMbCu/aIi2iVOfiDdlX+jw
51X6XOTmCq3cZUp7nEmXakT1gmoGvVDjQd8Zj73JJS5XOf5+KGl/Ijb9+/XBYgCtY0GEW+mhw/7c
xWgHIUQXF8pJzWn8p4syvVZooP36IVKM8l9+GsNkylCm3FzTsBW5hv7lGsTMSrUZGyqn0X0WNM+7
x7HE27rMUb//+kk/K3h/fJL8TX6YqZdBOWlzwJN0MjpMkmYcXHrzrrTvku57XNq/ERD89N3j24RM
l+k486LPj9OZBbhBVobnXvnedoc6fCmyl3//iqiWKZZ5DDSdL48IbHzg3lRFZ4IkkmHTTdMqI8Mu
Dzcx/Ra9/Q2R/SevyNRkygo3Vi6U9pcbg5wf6ZPaxmeAYYvYQE4Pcy79zWv6IgSQ6+HTQ76IfJpA
aS074CGJEItWXIA8Wf76Xfvdy5B//sM6wIqIwREn/pl5mY0cLIUCw+zt1w+hzfh1WX96GV8+miqd
0qrPm/g8KsYCOZ0Xn8H7scE9WujqmpPeNb954s9eFnNb4AJgPSz8RZ9fVhq7eVwkWnx26qsawExF
7Evw/utX9bNn4EKyTdtgHUDW/vyMgNRZ2+1FcsZNucqJYSyA22S3v37Iz946cN60YaCaOrr35SEl
MdVOHJO2IarHwr6IuCkmbAZeAOvpYDJIG4KrXz9RrqkvexBb3H+f+OXDQjiG0FSbmE/THoNbBpnl
N5uBBMH88AjpzLI0B++WjksBvs9XTV5TmliERi0/Jxd0bXccnkfoGyvrKrq2fGJn1sRIrH/9qj4/
8mNn/fSqvux3KA/yEddLcu5tlGXEtukwEvVy++un/Py9M3lLODkt2/ryadmzZjst8rlzUHu+zijS
bX/z3sl3/+ung26E1ebRzaJF93nRVbD5UGcoydnh6ju5OtXm99gkJjZJfvNafvaO/fikLxscXdVS
kAaXnDXrLXKvrOCmnn+zvf38EVDPNA+nCsa9zy8m1tLeNecwPRfFyULSNcb6Qu/s3xx1P/sKsdj+
esqXjz4VfdRi70zPcfqSEcdsKCthrq2089P2rKSbzPrNZ/S3l4Vb0HHoaDJwYZJifikVAO06Ve6U
2bntN7X4Ptirer7+lwvtyyPopf24bRckDhl2VGfnYS4WmgJNNPl/ltU/tmT/tpY/HiG1RlCWPPps
nx+RjGOuZNy0zk32osw78hV/87n8bSnzAIjedH0tGm8I6j4/gK3TGbRizs/UeXmHYCjZxXhACu/t
47363+RQ58v/q66seHl7/fvoUP7UXy1Zuqvwgi0LBb9kjPJHf7VkQW6YQBPhXYDYAk/3V0vWwHhG
JYwEzdPo1n0MHP8zOkSJRiPfgaRlkBAH1+tfjQ4/ysL/7nYfSjTAHmCCmAnouN2+rEFD0emF1Gl6
0lSzFXuvjSvVj/vcVFCXpA6Tqo907a5OaiDl6bLDroV6cjvudmqQbAopQZItKGK66epAySO4WzNM
cVDHrIweAqlKsFtISxOFq59/SBZSNDv4XbeVbiHeRthQptNpVLKeekV/CljIPn7PQ4UYorBHRMjI
I0ZkEmQBzevOHe+Qjr3alXNdGSV/gTFX23C0GK655dZsvCts7e99KfRVnuT0kKQ2oxra9DZArgES
nVxTdcJqMmonF0nHkAMzt6XKA7wHExzhbnsbu26eDlswAo+m1IYM5dTBw2M2WZZ1v6KYSLaVkWNc
Eo5LfmeA/KOOHroUal9hVekmJFqDgGsCJA0ZJdl9pEoOMmCS6RVX4Pojd1KHTYR7iTBKOBPVKpUB
lY2MqoSUFl47LfGVtgyyLGWkJdRU6xQjUfRDLdYuJ5IvaxmBGckwzELGYto1qmdywJp19JGa2csA
TZ0kzcAjUrOQ4ZpgqDAR9ARuMrIjezPRiOEMOgI53Upw88u9qQn5HYo63puOYms7L6WzvNaBGBCF
lWrPWm2Yy65TFg5cy2MErQGyD4JCBoAR3CaZzbRWrfzKhF80+CNB5gtDpG+oF+/rJr0oVWRtuTNs
MlQrPtDso/AU4IVE5kV5vLSq7HqMin2li0ddSS+SAfdbreffDLiYqzZyX0zEIXroXBb5iA4nap0U
rd8U6yvD6A1YXFaUzEdc7cVCJVQgrQDPGmYf0NWOdl0e4McL6DqMtu6u8jl8mUe23UAtSy7bdEhL
cE5o3IuIdq/1QudZLCxU7YTJt83SiMZVp7VLJ59uCakbl7BvLfpkfUKkIq17iHKXhKPkECkshD9h
HiPoCBFu8V8m/L0RrRaHCxQcDan2tLzUd2ezJ6Ut7pfqqF46FizuVKCSmyoMXKraHuBY9j5dWH0V
Z42yUHP9uz1qyDmn8maQXF9vIswDBoyzqHGFe2ijFkyAPJSTzlsehK9ZSfIy3y6/TSacMxQ2ncUY
fepphqvMsbtmylelJgnYJRBOl6WvaiapY6pogeRZLaWcQkMYzVbilOm+aNry2//Oj4+pnkXV8M/n
xzeEJ3E7/f0AkT/21wGiS74u77icqgJ/5wz/6wAx/rAROZPKQ+lFifT/DmToDdyYKV01E10ABDDq
jv+cHtAgqJsQMjMIxD4MhfFfDPUcVRZBn04PumOQelXd43+k3vpzgaHwHbTrusnPhVaZ5Bt8DDim
LlaZdhgfo49x7OHbZE71AkT1+1wiM2Qrv2GWjsDWeZ76IVpVXcgQKAdaj1UER0227EznUm21mqw7
vMIlSb8kWng9veKJ6L7K7uiC4pFQAlQO1J5+EpSnBoeLYuP/sLzhFc57uYogVnce4ePooA+jORMO
iEZaYf8QakniIGR7GCgIG9uAPyNP51UpmR2KTjz3yAbmPIU9pLvPyqito6GldTyGW4dQk2JOsQqn
UQBqYXhEnXubtRNWl1S7Maz2ISRlboM8xYUtZ9inkDp/xe29XXRWKlbaFD6RLYlDzkLP4QJ5i2P9
VJoooaNZv1E1p15EXXzFEHGfq9ab2aKTE3SF0QWa2B59oUDtdvWD8Fr+a2+bq+KhM+JdOXb2kvHU
Q9nYD17ybAzlUjWNl8bzXoTenMQc31vl+JKabr7UDXVeIhs6K/yy2BOGbR6hL01aQkdnBUbWlMY3
TWxcdpVyORt1QGYHd4dJB8GAli7fJRpFpaURST6o5lkOiw41J9vCUpDFAMg4JJEdbhKls9d1mCEf
6VSS0cdbu4FxPNT4l50W90+fLJjCnarJ9PwphZcpqkLfTMQHun1CMGXcRX4FnmaTOpFYJmrer+w+
IHG1Y8aqZfypM+lbEQ53geuss7g722p3UpFM+ori1RthFuzdugsKJ93pVgiIqsUVS2zHhJpU7HIF
q7PQkXbwRQv8oewPKPYJ1Z2J92zFc6KIa7u3zkOo7sLEGX1bTzZmUpL+bW49SWVMZ/u2TWp25vAO
tsUbLRPyKWfOM6sjAruH67d2u/mhSOpqGerVnrvLvdLRkMma4Vbx6MPyo9lqzpR6ZfTpzaToE6pN
EGWaVr7njZL7cVkdzck7pSbD23Ya9YVbDgh6+2E1umN5Qjsc8l0RLm3smKmMhJC1XbdIDTE+tQEi
abWpgqUhOEGMNLnv0iW6zVujJYvX9WI82xqoeHLUfbelhGCLLxbWACp51PTAN0r1MFXD0SyUeZkn
MYB2LAak/karqahntN35ZVzoBUQziPCxYQh/DGc5q3pKR/jHrLUb09gr03uqkimshOK6dJqVMY0J
RHxn5ZrlHbyZd257pCo45ruY1Uev8S7g4l9W03Sjw+xfWI0Srewpwp2b19dR1zxl+OAQEu9w6u7N
zst8oeEzZu0lMN1MX7jTu96I76HSHYayvcoq5Yh6knjyol3O6Xg0vH7EyorulQORGrZLoZtAMsQj
1r5XCq6MDCrmMhudJ6yT3x226EVTKiBRyhGy7ODaewKhQSihQPCzxHxg16UImwQ2qcx+aWHsLDBc
xUs25EOjiBFFQteto7nftwGwVl2E13Y0PiWxRSawmZINUzcZSn9USY0JGJeWVx3F1KvReNNaNaQ4
ye2Gd7CsUwqeorAEX7qSr4RrHzMKv1U5BpdlZhS+2QUjbLzwhpqEObx3gx1+a4zo4+3CQ+s8ZdeQ
HS/DUKvXYetmD2IAohoMGOxVR/e7TH6xreQeuQ/iin5I12yrph/q0fNYgPbuTLTAQ7FnQ7+ezLLf
1rR/cON3V5UJwiWW0x1uRJtIjTGZNAZYFZvGp1vso8A2yW/NLjDnX8WWWVChwi7DSYvIQ2irIsz4
2b6/sWzsq3PRPTdl0gGUFgyGCz2C1lYrfjgr7+RDcF5EIt6AG78iU+vZNvhu1xkluZm7CtM3XIiQ
CIpLFbjMQpT1g+aSQQBZncHiBAEPgRZ1JwZsYGL6xqoKFReDimSsLZ87L74vKxbSEBBiDz1oofGR
LzjuhD8YYFBb6LFrrm+8p30MpNcYtl5o5rBPzZQvjUXZb/a3TOquBs5E6i+35I1pEuaZgGEzZWK5
ufJOlfD/uRIiXynzsOQWcJwUo5Q0mcEPVei8SmrfWu20EcyHrNI6J2H1Nmr8dY2ZPNg2o6wB1jk2
y+IC/VdNHTkfOf9hFTmF9AztWhBIvjnp3SqVUHtUkNmukUREnS9+Vhj3ymSe2rh9Heps7QXJLYe9
egBNi+zd9XZNHJ6cuP7mzenWUJj1OWjtCJQqu8UER59GLRbqicmtxOsPQtqEHOclRjq5JGcYprPk
gk+le60Feb2Cc2suoKIWq6qiRO6zLtipYnqyFRZDC7IBu7T7bSyAD7mBso/D8AmGKV5Z2EZjUm3K
uuTnneqMiF9bwFYPV6B2X6oE1jzKokdThZGU1PZZ7ey70rRhmEqCYGi8J+rgsMdq6B2I8Fu5YxGt
bSfrEBo0Erw3sfwSBvJaPIGjm7VHuwFqYaZEaFR8sEJh144mA5CZMw3oxJMnsjSOaTxE6GD+j70z
aW7bWrfof3lzpA56YPAmBNiJpKi+m6BkW0Lf9/j1bx05cWzHN7fyxhncSt04Ek0SOPiavdcOQAsM
Fb5vIGn00lhpiTvvdTPxoELtkhAHUuygihQdKeW1JiXrksJuuQ5rSQXLiRM2mwFKNtEYw+CX7KXL
lOHTrFiPONbVVRiSS57Xyl3UjPeNC0G4iCG7jtkRNRSwpJ5ZKPE0NTk80W0Hs24dZB1wZthKuXDv
DQK3w4xmQW/J4M4rpccwz/2kE9A9hUBdNSK7FSonbkhSvEet/YQi9WrSeJ7LnG9B4HdtiRF2ZPw2
glxUKuvdEsqdopMRbuekhadu+m7L/HAt0z4PBIq7PMmxuJif28HewrVs/ILwcYwD0A0X1kiTlT6G
eQ78aSJd2elhRkPOCINP9E1HCgMIk4YCKbdPLiqzgQXQJ8kl5up9UDf8GaHooWKyIh2TO7VxilXV
Kzc2oma0OOXecMfHiZoLcdgCl5Bl87qWyeuzCQc3l2nstcxld0YS2kui2h0i2x1nhrYiU9y5794t
DXoY1wys2lTfiKF/qgbJdG5UgNKkwXMtnHQr7taFSRJQn1a3lsyON20V1bPMkyfA8zTJhPmGqHnV
6T5j/G89lRD6WqbR5724X7L4YpqzO03m1Y8E15e2+DQMiKPB++gQukm3L4m5r8CUFTL3Xsxtx3Eo
Sq7a5M2lNkZHG2EYLN6WvLkARoCAp1n2mlY8xQmdOTEB1QC+sqXKs1OOvqjmyozcESRWFvOX7O2t
mJp3otNqzuDpWc+p+YZE9eIseepRXAVB4Edp8Ro46aek65Go1mSidaof5tMmGKBKZnq9Qz1A766u
JxMYT1CXt1ML08dw966p+DUz+27RvZnp+mrWo3UUZGtYWMeGfMuedHbULIN20SbqDFDG1tLrrFis
p7mMLeeyVsyBf2GyX4C3Y3m9iXrq3x70owc1aMr+cw96G78hkvprCyp/6lsLKhWipFVjjZUkqB9k
pSrjTUeTznHmdwBpv3WhOqBAG2owZtmv8S8/dKH8Eg1ihMl6hdXuP4oWQNv6ly7URlnK72ISo2k4
Ln7sQhc9yiOtjMUZHheznHwhx0t9KcMvMEUXgMJgw4tjLLmiMcTV4yhZo41mny3go31dIYkMb/Di
vQCo9RDIT9s2jZ4KVCc1M0a9cE4V4zPmKc+kL6DRwge4ADztTLtFfITFTwv7e+6+u0TSUXuXfMO6
ZkqEavEZXI2P6vZgzsk6B626RNDJQa1ys9ce+7KLyCzW7gSNNV3iXdtTHieAWtXQ3o2S3GqwQJlA
uSZ5cb+AdnWT+gnpb45mVntXxuKxBgKbqohPDbCwTNI2C5hYgu5tSOfVtnLBC4/I7eElUuxw+zJM
HffdB1Fqpikic9YGRNu0NOkzaNp61GD3d7O9R0AGVzkwDokg+jAZlR37CepZgD+7Xpm3pTHttQ/8
rXUzVv0N3q7mPgOQm1UcNVbtXISgcxkEHCg4cq8S0ymUdN0xtJW1CXC3IwPTm0DwGqB4LZcBXA2c
d1a/tKB6Q5C9s2Py7JAU38UZX1IB1zer9VMG6FeXxF+kzvdMbFnQCmjAioF7VfKBZ0kKFtO8S0AH
O0DYKwqrvuUzCyVdePxKGk4TtvKXsCDUaB3YSYmnAWrYAckv4HujEt2+dBjddZJEqeKLTggLFo29
1mK8suu21Tv3FbPbuE86bNO+laKzWk36OBsEaZWNP2cGAKeohu1luKe8r2uYR/rnIoLhpASEG2An
iKhC8G7oo/DHpf1sBb3huWn9Lt08BDIk/lww9rVVDGihmd7YSwUsRLcvlYiSs9Mqfgcau1KJnrLJ
eC6cCZ3TNNxWfRp5EIdj36jNL0nVvmvz9LZ0zbwa7OwhZN2+Ym50EsOE2rFlkIBLYp2Mnb42zIHn
PfWN7qY7I2qendTsNjqm3LUZOM+zrFwqAwiLZY9fWgcgRZGNsiHDq15gcPZE4mJUD5XLkOQinvV4
S6bkizG1vplzvRShZ6bLwQI0kpTVNfNangOAsSt86SurDLcZMxXStaHH4+YLKpTgJv/GUcfHcKmv
4yDzZgP96tg+E7LaMgRV0H4xTZHgGTpDQMS+Ir3jFnHRihJh8G6mYYWUlKV+VN/0cxnu0wgDj1Vc
LgQ8TEX1DoOnAYY8NGJTz2nzdQP7725MY139n58rJ3hFfFJvCFu6ef/lf/9H/Wpz4If+eKx8oGkd
JEty7cQ8kj/6NtlUf+M815BjQM8Ak8CJ/+dwk608kCETIpbkAn2bbTL2hMwAh0knec/RpN/uH8w2
jb+ONuVSjGwyVeN3fQUjfifbqcsaD2eURFd1j6p3V38AYE37rEIWZZQfftBhycGTl1ZfAfCEOiAZ
sjNnSrNxPtiy4wdnlgjfHTRVPXiFTJaI9Uj2uHLgTRPipyIcJ0OTeUp4ZaRFnOMBNiION7XXJvb1
i0l56GWtG0ieaWFTvQ4zDR9iSAa/86qZe3sBghQTR2WPMoArS0xmPJPdmLs6bNzEK3KaOKses+Yc
fsR39Uxm7XXIsYzz3bFw7MuALxMX0vbfkurrVcxV93eXftG9QfL7xdXPz/1x9WviN6w6qDJQmchs
Oi7x765+8KCoAizL+p2+/Adc1PqNSTsGLltHa/Pntf81wdJFU2TYGrgTtgH/4Non++nnigozss61
7+g8QljX/iToyCuSqmfVsS5zfRk2BL0atKP2s80TsbT7R43AxXS5DuZhi4N5rRHH2HfhfSDzGfE0
6DzzUr8mutE6JsQ46mN6n8tcR1UmPM5EPVodHhtMc/uKEEgRMqyt+hL7T0OekEyKxBr5osjsSFWm
SOoyTzKRyZILEZNjTCBOEDYXxYj4MNGjxxxFdjG7zwuq7axymM7E9eucpNdupL82lvo0DbPmWd0k
x3+lN0cpwa91cuh7pqlmXg6Ps3BeYuzhh4LcorU6EiwkquQ+7bMXMdvL3siR3sMhplRcdkutvQxt
funSAM6Wfes22xSGc+2W7AqT8b6P4mcnVnajKB/bRgkvbB7VLnOkvBhI9ga4l80EHsSXRr8gpG8k
miX6UlbdOewoIGtrvHRjAgSZ5O6NcoOfCS48kn/tVmKscDZ06XOtRUycq2RLzSpX3DKSAT16Z0IK
ThMNzbURrEqzbdllu6RSjDr6YuVo5eW4Kzs69SDu12OZ4IywjlAKlo3BY9MbsmxXl9mXBkWw32kt
K8tGbBtriTxz6K9mx92JhJpD0PNtowJvQ4z9Jyt4vQxJvhmSGWU3n8Qyx/D7ENMxGCjRMk9WAO++
h6TSxeesci/zyvCtBNgymInjGFIVQ0VjagUIx8ApkQnK6iJipR3ifvCskTlPlgLXy+y29cgXYiRu
U2bOsYutJgea0Nmv9IR7+CfdhmLPC/DNSj/Y9WhbrWerqCBrndylpPaMOrkp1JzZM9+cUun3JvyB
OidzHP2Uc6wVdZ855Ylx0gu25oeoZQ5SO3g3xznwF8sC6EJosjc34AgoI/fD3JU+oRePfcyDYUFp
4cVRfh20hu6lw7SDMl5umhDYyDJb4yot97oWJxAvMKzgYS2r6mw00Sa1xNZUMywbeD+AvrFsyfTb
ZCleYOUeOnU8lYsGOrorLoCDHAUDDi2HBJqJau8MzqeEEHY3CgHcaBncmfaOgS61oHKP1ngvivKi
h2RWWtY+JY1JEcVL0Wb3VlrzoS7j0dCbg96Xp35IO6IOp+ssH7bkDx4NuVRaxl3llntVqrpmgwdL
dBEa+FUaEjIquIljK64E4ZCbfmn8IOyeRgaEDCeXTdx056rPGIou9kXjajdmXB3SeNgZ6czwMMv7
fTKAbxTNKaxsnCgDLjXyrfC93bZl+xgW9YG0ilMfGX4UzjeFyECJctOnGaO7MX4MU3trhuUut2Jn
D+5ky7BaJhd1J71wY8IGdJQI4Z6m6TpXhoDCsvaivtkTufUkJjhujsgy39X6mzEyjz3o9hVs0Ij5
ZP7EQ3Zn9wMLqM4ns1rxeqc46Zn1sjjudlTQI7gjO6fhucB93JrifWlDmkxG80sbPMUCfebKXtiS
3mhUSR5575m2cUqTs2/SWYgYxM83VnZww/5ouOl+6vqO1DCX1JHobAzZIQgJwMGZcKIRwz7gFnIx
CQyuyS4V4W7r0r1sIHp6zjht8lqo69hUH2K1P05gffVUwWue3DKGtHzdMT9VZGmR78luaTyoofI4
ieGsq+qlSEF1WDZcnXl81RSM+nEV0nuyr6ppBXEDmJuiD2MGePlLRecwu3mHcaDZpWWyTYtq9FtL
fcBudFG3wyqK0Pe0yjUzcdXTjDs77IEVLp+SzL5dkBMcC7Ou9iIMbqq8OCmSGhDU2dpYzBe1sra2
FqwMfTR3SQfIdmwmbZcy49K08C2dAVQhAmYdRcKlqgIxUdXK3IhYp401SdnKosrTJjxQVih2bd4/
tWN8WxfLce7Du6Bpd6ywQrm6eSjGeMt7viON7rGro2E/GVdpig9EsJhJLAju+bQ1jfI8duFdLJbW
d6xhp8BV7Ba2lK11vWQqi0eXj0Y9Kwz6GMPN10Ov3RKV7KwFEhrfaaRsRiViTbdObcbzfo2IQyN6
c6zjB5MRGoe/ZR+0gilFzgpgE9UW/Hucj8wruDuXY43FdWU1vCUkJrtmmrd2WLhXsJAd3HlDsV6U
GATqwCAzHBjKD33+aWCdaFhFsuEJgwHSIbev0qQIhPaLeL8ggh4zZdjty8EdLpKM1rVmO1c0LUZW
AEzpDM1ST4gnQX3irE1CZoYy1HxB1CcuJbJC1Ki1lVWeWAAV8/CIhqw6Fww9nhLVZnNkLo2CUms0
r9uRcL3MWVDHjJkBjwxpmYocayEBV1WOeGcv4KReaU66MaZkbWvLA8mQN2FNUm2t4ftll6VlhJsR
TPMUsJGS5pl1o7bs2NJp2xsBXP6u+zQw6FBT59kI9NMwYuSk/QUcvOkCckj09g4X1+w7dvTKyfpA
0vQO5/FZmNNbkOgHWD6IZiJ8PjGpUa1CLvdiHuw4P4E/1z3LzoGMYSCqcD/1PKKpujGfNcE5Eaaf
peVNR5LyCo3WvgqtoznFO7UB0ZxW+9yF2ViK1CdPGLBMol+7Y37bQd4YyhkEbFHc0UEXXq6kBxGP
eyGUE2stj1Joq031vgtcEu+jfWjXB0Bhj5ahHzKCXBqdJ63uwJiuPgfJsk7S8HoKqBRmzGhLEK0b
tnlm3b3lkXtUisJruegmGOKsST9DugNK7Rb7UsQ3jca0TCNbykjmlZ5DPZrEbZuyTeoKhAYA05nf
h0Q7jQx6Q5/dkFyStmTMqbu8157QF7P7VKeNSb6jjp6N0qJewdWuOd3Tp0zvkaux3xzR47kpLU0f
ZqBskwcSFrYsDq6Y+ka4mdS7eUQsl1SPpWoJvJYAbJUh/hI05cDec+wRfxHIZYrLINQJZeysNVrW
tRHY28SN924s3A0LksOQLm/VbF52lco7HjHQWhoXS1iOJhQ4mzQoEifXwWw551ItLwqjXwOKtqCI
iOvMUI5ZB0RCCfVNy8aWyMVIXTUtjqRotp7NEauvy0mDcWs6TpOD33IsHydzua4U61nTkmBTxYQw
4aEjnqLfpET94rLiXRMDtnPl0cOWZzWUbrQLmyzxkAqeKqQvaagsZ0VrDpUasr+x2onVQf6OTo/V
yFwXvsH/mwloV4f6Noynakt4xX60sWvOXQ8tXD61TeNpUrnREpYnfjNhnqxn41JN48t0TD0jMaK9
HS3tkRBLSZjQH4liDi/GJrh22+yZcaWxk7c7qHR0ZAVPc4Td+rMTdbfEcV6r4xQfXRY3jlrtw0rc
aTCxltIUTFX7bSgQm+TpsQ7FtrcNBjhm/o4gM+Ms19ah7tylXXkRQxpLB4s6k/i/VuueZrW+cScC
IYvKvkzUkCjNZMOEbyaTNXmoM/fZmPQbTE/lwdRZfvdQRDZaZzwvOWuFVlWkLKXYFoRDHZRa3ZSs
VvyqMIZdkmU48jH4Q9gzcqHfIgvQaCOaRjHWwO4NLfFS3VLWmhoHZJJ91/FdfZVAfR+cQCv2nTAK
vij+YJftkMozHq6C+KmB0mIhUJ0U8Tmp0FsXp3aZVq5x+/cv8pO8+/cXgdAP1IPpvC27uO9GFGlA
PoLStvFZzHulOAkGiopx1413f/8yP47Xf38vNkMaA6+UpFX++DKBEC5dgKBw197H8l7R/4vv7xe/
nzkPwBAUbnxcP39WrTtbJaF62bkYudB2TsC64lv3/Yvv4le/HxU8nxAflMRZ/Pj3D20UALpZ52eH
vsO8Mn9nkvxHGb9U0f8pgvvr5/PTdw32Xo0UjtIzQDO0Oqm6aWzfgP39liX+37+VX7wUsR+ghx3D
ZHvi/vRVkPtHPMZSpmeR7DBhdmJVMdY2PB7DQAn//rXkX/unt/XD1yIv8e+uLqHG+WBbWXaudA9w
IGh4bi3O1HnY/P0L/epNff/9//SmCjtx8S5+fSEdrB1L/mjDc0Q+iqv/cq394r6EPYL5U6LK4b9K
J8t3b0o3C63kwVucW30TZK8DQrLg89+/nV9dbt+9xM+X28JGqAyRH58L5zUJng3l/3E5S8gXQ1Bc
ShgLfnwLSc0a1FC04pxwAuqAOuf/x+EFWklYLAG4bSBC//gKhVJQ31tqeV7s19G+7PEgi+6/nF2/
+tK5iBnjGhLTK3eK338RgEWrYiaK/oytHcAGNE3VvB4atJ4+oK+//0Z+8VoO2eY4CG3ioJk//fha
UeAIhJ9mcY5kT70GzR6RpVCvSmqsm4+X+nfab/ChfTt0/dfu9ffR/uVr/va//3MbvbYd1/HP4375
U98GnsiSmV1iTQZ6DCaK2/zbwBOIHqtiMuqlc9GRePI/x/0yzx6lGHmwH1P9P+f9DFCxISOPsXVh
8OP/aOZpftyXf553OGG4pfgtGO5MQEWO+9NVzwZA6FWG4UuAsEP037dkqI4PnIHkcdfKuYpwhrZL
fILwOdECsBOYYXo7C+GoJMO8lX18ck33jjE+NZ9aO/6sQwFomYkRnLNzsn5jdcE6n9TdOPJPSv4V
0Q8+j/bn1oTxioqIwX20bqf6NbLRgHX9G1yI9ejqayA1VHpqdcLx8dkycPnPLoPRtsS8H+f9Lqma
HYqgQwtPiEzazUJVr0C04K4aKIDLe3scLkct6hlbGfEWdetrxr5LE+Ipolrd2AEM1qrOkZgRlMlq
ldBLw2ovzKkbNk5Qkfao7FwdsEGU3JJgW3kMMAD1V9N1gVlg1QIlHi0Zl8lf7sBeR/NY2i6+UiDR
U3L77OrZFzYn1XbWEOTEyGlWgHjvmqx8zyoIcaIY4S60ySklCsaPQ7KlmP9mxKfbpmdP5Yw+2wEQ
PbMx7wo/xAbMsFO5yKmNKTOvo4aBaOG4F+qg0DWa3Qn00l0d9VuYSdfxFCtkKjASnPNxKxYHwgcA
Ok7Ra8wm+cpw3OckUW/mFvVTDXkYAaSeM93V75Y8fk5p5ccMmk7ssFjXY6ZiDGmSWrzL8esuWSbi
kOJ+XketRTZeoDMOjx6jhL9/OBNCtWCf8CzK694CLlcVurHO2/6tTNK90kKcQlqIWxvTR6eStRTz
OmJq2QC7BexXTFRzfjM1EC1K4vRWi061HaKNqwsgNt1Mbs2Y8HMZK2lfzVNjm5f9mbCmR1MN+N5b
ZMAqelWRV8/Qro+wGY9NTMukhCrWJcSDvqEVtJOkbtGHIvdMOnJt9PKyoHesY9MGBcEKKWzjS2BS
zzjB4k2dYfdh3ulP6KstFAarUSqW1AwhqCquNK2FcDPmu1QNDk3Y7ynE73tl2JZtATykZNoMuQUH
eYtgbQBLbo2MbLJI4JwZnqS+rB00BM3TFmzVDD4QcXxhlRS6vKvZvirrEQOXO9w6abbpGDstl91w
CpR4Mwt3H07FWTWLK20IdoSXndGgu/4glxVy5iERhH0ZLb62NAxK6RO4QOMANR+b5hrpWFnwS4vc
JLkFpYU3yvFZLoZ3FtUp+GsdEUAlb9W0/TQllj8CHrKTqQfRWieejBvbqoW5j1TaxIWxXbPSZh2V
GbLbraJM4ZrsIPAswF42LknzmwbDTThFhEIHabLJB+NLzwMeTlL6pdSHp3rpPy/2iLS3ZYoa6uMV
2ZGQAmNrAPxrdWuOowFKbV/QPdLQdQfOntpPnIoZ0lTXMDpB9ZoFs5qN3leWeT98ZFRGRkNcpUG+
WDjWBUhOeyLP0vnItnQKBZp7PWi6szMcMshWjQ765JJJ5tzffs3NHN1G0Q/91JeH0Syy6KlZDG04
k5myK6WAuUp41JYGouZYypshG7+q6J1bKXwmp+3CQI64aaQo2lGsg4mTyYeaD2oN5XRdli0jAQvX
amI8pUAAWAvhFFDFYl3oUnydFkhZ+M/hZ5vlSxUYr1HSaH7nICXWl/odcvkAHbMUK0NKu4UUeTdd
M+ExmE4zLKopdpNNiiLcKJprJegPuVO+DPH4vii6N05S1f0hJq+wKLb6dBHNe1OMOeuN6jVm4oPO
b1x1JNutdSlO77rxVmjJZYBqXUlmyGPa+yLl7G1ovqdD/lCI2FeWC5QYiW+YzZoF1k06yTjmiPwy
sOrZIYvsk0gz4bsI50cE9NGHkl5q6ok7Y4eLzN6y0wVBkRuuBRJ8jSemP7I28eOpPy2CbC1zkvLm
pCLWhK66LUW3xf3G2U5WsS2V/kuDALAIlLsu9RczfNSkJ8AxEgR+CsZMJ3VHXrxBcI2JQF9cYion
kHc65FfmJ3gN8qkCG4f9oHI6fAgOA/NQtc+gnk4kAeTeVAVnl60d+ZW7sO9eLXec16SH3s7S4LBI
q0MgTQ9mAn9M2iB6ZExlVl4kSsrfEadELy0T3HUG18CCjUJgqGhwVmBkueeA3ogqO6Z5BKIp1Hc6
Xox6iCXnfvIGXBr1qF8NTnXjmuWnWNo4yNa7NHDSweENvKEwgm2wqI1n4v4Iwe1z6iIa10xoBREe
EddEFzWEhZc4Wr1tzXj0wOud07i/ohLZFFr3MOTqDrwYFkFpQpl7Y1qn0pgiVKf2XXD3WyXkT21p
YLEghDJHU7cobWGU84FCrsrOopKSbxwwfVE0rPzcCxtvTMZoez2XPASlbUYhX22rjCoDP9fy2NkT
MsqddghV7cqSxhulreSUTuDIlbacIQiY1X1YdWx9bxjxFVl2DwpE641SoI3lkOOAQwO65Bq3BKgy
rRkwAal67lv4gooyfKRPPreF/XnBNzRZYsN68KmUlqKwsvwOk1GQV0+idHa60dyOmJD0RPF06UoS
WQSpaXyV9Mbe1t7cdLkIsTEt0s/kduK2kA6nQjHZ2rCk/Lfs/qo0oEr+z2X35Wv1i6Jbery/Fd0a
lbXK6MaGbGK4spX7VnRrpJvicsVbKCRf5zvppvMbmhwOd8QJbP8/TOt/GAid3xB6ypJbl672f2gg
1IXs7X8ouqWUgebfYmCmWQBqf2zNGswUaM605VxVLWQtJnurxkXxV5nzvZrU20Aafkc8CkHVfxJ9
8BJbE+jqyTi0ZpBhg1Hu3aH2hTmfzAXelQn9T0P1vhJhfLaIhJgDh4I+RMqMomZdQ5ZLJ/c06uax
zMutE7q7PtGY4+MSdEiS9poQ9XRnjbeWWfabTlffFKsgHNkF3DMY4cmWDkOF2OGVU5vrWZN5Bgq4
Om4NYY62V2nOg13pV8zbzyZu+lXfFANMtCGDVj9vg4nCdzbd6ywJb0OmsoUJYW82gXSGWSlQDxlv
Yxkmp2Xpq9ei43Vmc9guShN6OnEtGLJ3NA5ig8uJTWuGe7Jj9N0BBKwuehGmsjYpVr1mu34a1Qi4
zY1bZ5+4E/0ORhCL5Xbb1w3Qr5KgvWkhfcIWZG2O6a4pivUUdq5Xt5HfGJm6J0H0oAv06SrBLAES
C7LsRIW9jEV+SuqiO1q3tRpb8I2bzkOwwbtwG+PsZNa+GHuxKhfqKbM1sz3d36UF3Fkvis5ru+Cl
DZ27BPPhPlb0nTEHbwwHOaOoch3Xyv0WJQU+K5I4FMPYlVHQYm/OxR0SBHxCk7lndTL5RljdYJff
gQ21vciEAhkube2VcRuA0xhwCAoCWKvExfNFzMMSxfO6DsjCxgj4uVHZiwy1Sj2iLNqNW6sOeqsU
7jNBAET0RL4CO2AzjMJNmbJoOXzRoNhbvWLuUE+N3qg46b5yTH+yDXRZhkE8qmYn2w7rT71r2rAM
bp3RUS5UK/oSKiXNIs68i6WKYo9M531Th3eoJBrpCNkZStV5jF3WbdSb68Fhzj4U5aFwmlPb5u/l
xHPCWEa4CsNT1bKVtZb4oddqEnt0V/eGoHoaWkes7XY59sV0zHMhLXAJ6R4O8TpoK7vRPBWLwy2h
PHSjKjxMkLtEY2FghcbZxvbfO7BCY3AIAFxLCoB2m9jaMbMwxQq3e1l4slM83rsTvVZuBvtQq80t
8ofcS9Q6XjdJ2W7iqCD+MD1FIS7VLIzWwnVPRebuOuZi3mgrX+IgvicRpPZCJYzIgxBf9Lh6GFLH
V0KSsxsQx69DY+LpUZ4HQ/rQOuekTzWiOJqpays1XvABHFrV/mIv7YGN1+WiGocwXgwKHvM8laV2
Kpp8mwnWypVtHfQJj2fD4krRohtqBDqieH7R7LtUWRuzc6jieOMOBJsFUdx4BUFy8WATRZtm1xCG
FQ9B73OldDcJwbseG+SryIRgizOOsohUIHx3imLtFokbhqIOd7QBldeQOZxF7sl2Xbij6Rltn9cb
fOsaIMEBK/E2zZcX18J9g3Tas5gnmJjwMyUJvW6oj/247N0q/gRjlqxJVfXJC3ThayS3XWZ+cul3
/X4i+L2o7YdQ6QpPzQNuYmwnKz3qwFFwFq7cJUPOXmhz/hXO9u+gSw6f/vMT99y8khz+10GX/Kk/
nrnEhhskvvH8JvxN/eC6/PHMJTZclVQuU7McJp/f2yV0AsUZPTHRwpz/kTD2zbSv/6YTEcb/+LUm
j2rtn4j7UO/99Mzl2c3TG9WhcDWDNLOfRq+1BYR+tEUAeAPxu75kqYvc1A0OCmbdQ2G39EqKmPsX
I4ku4mB+xnu2eJWdfNYHokXJsxntnRUhEFrXukj2oqqJrE9irlvNisqHsBmIYQVD3mK+ZNsK0ze2
tNVY6c2rQc7sW9eLoNlohUmgMKH3ZBHAL0Hks8H2ntTrLms1F+G2QdhQk8DhnW2Su11up/YjzDuN
K2Yqicz4nprmXSEBcmXK/G8zDlCfEAke0LPiwyUlXNE5+2EgM6GaQ5C/hIlnyDUqwsXR6/CUHa9V
fTlGhI9DrToaZbZXCSWfWAkyGmE+gEjB9Mp26H2tNaIj4vetqJSrZEBEVgXOoZOJ55bMPg9ZRx6L
tiQ5WxnT9WzhGWgqJfHtuj9PXXtWUsxbI7opTA2gIMtyXEchCuQVByzs/1ifm/dU727jTNxS1OUm
a9KuuFLqdDnpRorAp9pQhkdP5Jx5dkcCexvk0DgzUOFlhO+OEAWtYlevlQ4r+t53Zz2/VSxz3FQO
0gC7BrDbcC4Wtcxah7kO1GRaBYtt+ZpaROchHANyVTHb6iYL/kmhzR0RRlgwV8XcQE/ocdhp1FKx
ciLeajNYKkOrvjLuW5eIbgwrzEUzZ0PBFaPEpBfslwYKjl09m0FPYaUqFCurQgtbr53Rgn53K/5i
0feX5Q43nITCUSCwvqCw/bGYJMR0FKnbYhAUUbXRs1F7JfbU8cY5Zan0b8fx0XEYf9tx3JbZ669S
CORP/XH+aepv7LxVkFagDn6yiwEzYdKv2xAd+bLk1ucPZbPzm/xP6eV1tjHszWlH/uw5EPPb0oJm
YBuWUul/IG5WHbnj+7nn4DohkUdDKY3K+sfLBPpF0tC5z2cHT/eVnTBdjdXKfiozQ7uYx5RAZZUI
M6cbxGmcq2A1LENE/NOwPNju2N1Gosy2y4IoE9dSsLaVrlkXCPDXTi0uM/nIH3Q1OJomaA+dIMTV
QMgayCQKMTxA1bRTGFNP2kK4YBeR9l7p6eeY0LltUlBNEB43cm6000seReFFWUttLGHVvlYITkDH
qRjhzw+uhowx01/nILcverYum65UxkORgmVvShDnE0B8CjBxTpF1MqoFtuRadbqKYnPHzo+IAZfw
lpUgKYApTpIgmlFH47orcr9elpCRZvUcTWGAmmjw4rS6SCjmJYAAjMbiEipj2NpVqIZPIp0v4l5v
NkZVXJtlLdb0I8q2s8LlYgl7/SKKhL3O9Oygkr2yJw3Z9YkbNrZpVhjrQdOCnaViP2NKmF7UeTWC
ehmul4YytMogH1NuLyvFNNE4YXjXQvcy0VkhDDOfjkKK603Mk4UiTFXPLbEP/myP1b6O2oteS15w
8E1A2MFZ0Agna5UuKSLisPOCgS+M4UrjZ7KdCuirEkPBa02jNdFx5R+tl2zC2OYmp4m+TElp0ECd
ltS+NG24OJBah7eWbl/ndqiv0mnaavR5GlYqFz0nzV9DF0iHcVXSFYqwtRnSx/uKfpGT1+RANteB
bCUt2VRmsr1sW8bOdpEfWjpPU7agLb3oENHFtMzQAEfRqFLan20614IOdqCTTehoKzrbSLa4i2x2
rcC6wkC2WeiC8yWG4EBf7KJip8GhU2boS8ToPVUIKjx6aZxn/Andda41YGNot1367skmX4A+vJYN
+RRUiLVlk959VJN1akLXYXvcfzacpfGoXNAwB+V0dAkx5K7I4/SoWtgTJWuivACupfu22kzHELXZ
/t/D+OMwlkvK/1yMXhFH/9r+tRiVP/XtMBa/0WCxyP9ADP6Ij8Jk5bIRlyhVylWZT/bH1lXAnAJK
6BhYQ34vYf84jF0Odwh8rqmpqFCkCeUfHMZ4Wn4+jDkmCNXlb0F5i33rp2e2EYUFzqhZPZsZiL4d
LDUNEEKdnhK8fsbSXjvR8kihs9LqLtuOofuoxNH/sXdmu3Er6ZZ+lULf0+A8AH36IudBqdRsSzeE
ZUscgzODw9P3F3J5l+xyeZ8N1AG6gbqzYUupTJHBf1jrW+1CKPYSPW0Q5tUiwUHYUIitrbK5dmVJ
JJN+7EP0lngOLbyHc79zUu2xxI4YRhtCKc6G8ikyJgDd4UwBFyb6rIxbjapx/prbzIInBQ4gN+MR
U1e+9i2N2PWhe5xLsRveHJJYJRPlmayVexLV0XFWfkqIXCcW2QBSsFoWWj+R8aK/JJgwh9n86itX
Zqn8mY053grl2ETb/DhM2kfWJxRks9rcsO6Qc3BZuNN01OzshoJdJWDgBR0xhVIA8R/D9pWSyuY/
Eo0mDTyqOEnJVsT/rNylQvlMZwynevbJma7YS86LFrAjUJ+dqxjXodc1q+HNr+q8eVeJTKWfrfCG
IW5W7lbjzemajMAeyfTCUToW2Q5mbb0m/g1ihj1Wa+r4geVKoMR8ZOjq05RhbpANJxDW/sUUDd01
Lg62S3PeXMvSSrd9BVK58mj0TYWLahvq4bgma1QUGdDFmnnz3NAt9MD77Mb2F+yCsnXXx85iDErB
7iB0EG4P0zXXpg20J9VX6SCXcemWhwBV5CLM7OQUOnq6GoK+5bwHPTE2VP9IGlk31KyhiVO3wq2R
9a9mUPrbGjrVss7CaGe42rPs+PWRrlSvpWSsbtQUrgnmnx2lzUuglQ7W6mFYY1UAnBXY+1wHsFE6
aX7lWwzgjLbAV6dNyTowsFfbuUWwgGydrR/XL2z/g62jOpO60fIrMGDRgU8OC184FJ99toJsCxN9
F+pqqa5rqlimHbOMLmtWhsfWV2AlfK4mkOglMcewhxgBdL7WHAd2Msdo6JttEGOMItLD2ladm7NH
B7cSts5rgqaIRJqY5bdtbSnpEQzqs8AaFFQxcxffftY5thdEKTF0EUBUIoFStK5syb5qMMCDhYXL
NrbPn7nnokPD8GY3zFnRrWOSL/T1aPkjkxTmGK85IYM7H3fldan2kdCc2yOcNR2bSZUsG328yzUj
wumTkziP3RhXVP0waUG01OdQVSdDyShsxHfUPrJO+ZiX7KhDP6BpEjMRTgLDeKqD5/Cm9MEoyqu0
bpOnKUA6b8ZRjODfJ36nQhY799cQn3wARFgpiZGq90HvvsS5fKIP3QyRHy/HQHsd0q4lwzB5tLT0
gJvq0+gCyLBajdW6aNQhEpz4KPZ9FryW3Keaamg64d/pvnNVG/GhIiF0UTTlpafbX0w3+ChzbVzx
yIN70fh7v2l25dzetnNwX8duuNY7JkJ138AVnZIFU7Fpa5koUdMCu4NPXsNAm9T48U2kNxQLEYGE
qBLqo8MqdUwhjg2FuUvK+JB54dm3hpM2WrUSnfjcKXArgfOxD0pyMkdwwjynPr56N+vSXWRJ1Op2
b6FGDuyDC98dsQcrV9sRz0HrcGbpfYEOuL4qB+3Wbdthm2ZZcoiwOixGdkHrbBp8fiStI2qIHJdq
5EwKyyG6FqgwFy23y3Wvbp5ZhxzSqBftKnalKSHkW1BkyU0eNdXKN7GLcML02zZFOKE5Y7CtbGNa
z2nsc2uzKtRDb9qOULbWITQ6ZPTCXgdz6mKJcF7p6edVZs97fCFn4AtHYaUXYK7F2hp0c2sNVr62
9CrcZARkbWLP0bc5S7KVDe5zZ7qjs0or7AFxPiNaT8ytaY0c9Sk/bSy4a82BgR5wpAiADCqBqeKU
0uvQ2A4F79RppKMiByNSZA13q6VUSalAVVJHXYTrlikzx1T/n77zmzNclR//utS5SeQLloWvvxi9
qS/8Xu0Y9gclJzSJXP2mCPtj28VQjn7UpKJh7sVai6bve+dpf9AZ0jFeYwtlq8nYPzpP6wOSNLjN
jFuUC51ovL9Q7LwlCbxvPGldXUodfOsu3E7r50CL2CwkLkrLPAEiozG50ECAAQGiWmkFW387zc5B
b1oZZqwQRBWy+nljTBPygqlLHLYqen7uy1rjbB61veMU1qnnQbOC1FQcRRiI28kiKrof7eoC8Gj5
pYu64WCKIbu1jaE52mWKF7QbvZfQTFiq2H64MdKGFCyPzLynWOdJjueChPFmqBZ2kG8z0xhWc144
z5JZz6tmJfON2bpJTwAR5Odigh+o+1BWKrdejWZqsqxP8WbGQHmF6MM7k1rjpq+0PL7VUyeL2m3u
GfW8ZwcCuKNhFkpMtOEVkckL9gCWzIVkggptigOmnD6T/CSvm8bwB5ZJjWmvwtmV+qXrVvBUnKRO
77V0drAvyczzAD3ScOA0sUhbdyTc/qzv2YRLAbGFKnTlzR2t9XTwu4pgXDV/1GUTOEepRpOgWphS
CjWwBDDA7FKr1RxzSgrLIvezTfcTJrlgVc72DZo/6e1MNQ4tmYt2ac7x75KQdHKw6+792k/kzZyy
TplY2UM9irkwh5MI8qnQvk29/jOJV8kL//pEuP38hXA3BKflLxogvvL7kcA0Slf9BdRCmpm3G//7
NJ5/QsGlQBPf/oWv+n4m+B+g+yvBKbcpRwCc3PfTKBojA9qQr9i6f+1M+AW8yKMFUz8d0ldG+z8z
+q1UFi0e5+GMyoaVXJ8wuZRxuq5SSezg2G2gb7c8qR1bPg6pODIZCrau7nsL2GUQG6eoXYWFbxCO
6a7Zp4qFmApv6eqJdtS7+bMTmvNl0Hcvg1u3JPYRX1jl4a3Va+6pkBSik7RqHuCyvsRmsk6j+KGD
tD3oBTFpgX8QnXlAKvaajdPDEIuDZ2fnOscGaJi7IInTRZBSLSbCqvDIGYwRJitfjbqNsk8l2tuO
+5J69v3gak+Z1F4GqYLOUDQux2EisL4UX1GdkgGqa5cd9z/1UjEthowltgzcZ4VSXBE/YyxzTxLL
Cd5vBcTlIRbltelGa7fEPu9N4MzqvpPrqNn20SlK9m5l3dSti1k3fJmV+7i4cg18qpDIL1HTbOYx
/SiIqg/N8EtcOHfSgUesp69ThE4qyc1rn0BOHOvUtDJqWVcyJJt6VEt9HuebscuRxwVUW4073Yqo
c4CsDfaO/Wu6tPIYJ3nRe/Rf9rxkMEUocZgGawqldmV30S6LbTpYzdpCUU9v8HybnJ055exkMyJP
oCc6JcGMDZBPcGz0NplvVAc0ADdlO2KowmyyZfWHIM1IVo3VJYilUmfXh8GUPRSR5kUns53FxxQw
KdsF9gZ8fHJGskuDK8eE3sXxX1s8aGMsz3FHarYl2s47dWHXBk8NUr+vIi89bRUYLG4T2wg3Dg7f
s6cn45L6FUufORWbyh7Kk5jN5J4t90NDsiqTxeApI7yYsr0ic9ROzZVW9Sx7Jv8uKIa9Jchya8Ie
+xpr+8Yw7rWegqzXB2s9AurcwhSNboQt6oXX4nFoi4CRG5+l1crTCAbhjisAlQUp20ucEOMV1M8W
1eJQ3UW1fG5xNRy9zJRYLeOXyqB/mO2JiWRgXGrA/tGF4MWD+WssvaDrd00fNjsTC/Zt7daM6kqv
uMtM3N6VkcRs9Ku70u9WXedqjMd4eEQMT0eXNIM+BF6VqslqV05YhJm1Ircel0LNX53EHI4YKFi1
JyGM2En/zPhsWcfDgz/ZpHarSS5VdLqK7IA+eLS1PbBiGFfpAFFprsNV4nfFdqzK7EvGLmaX4xde
zDC1siEed1JNkpsumO1Vw05+gR6wuR7UzDnGaHfy5XTZ8qRaBNQXS69MuDOFbDZkOY5AHYr2pPnI
6lojw0nvjPP6P8O4b8O4329GPhd/27Ad/pK0X371SHq/IDFxLuBFwU/nIQ5Vyqs/HknWB9RYTMPU
upcB3D+cEGSCBCbkI2qPP77q+0yO2hbqEUBXgDKYY8n2/gtl6s/rYR52kIxdMmPUN2Wm8eN6xMmh
FadhM5/n7mPthwt13b97UP9iT6e+wz/qYJUUZfM9gGnYZgD7mX3OD94fLlm3GiuLef2oLXAhkCbP
HOOrlLvfv86P7+SfX0ftC9+ZvQi5rFA6OcwWFVCpuRi8r79/AQXZ/+07+cn6FzEbMvuYd2KO3kLa
9x6jAe65QKOQl2uGrstWPlb9rk+uujLkbH9JY1zKV2bJogX9F1RSwnydCGEQAnv7uk9vB+ipYyD+
5KMwqGV++5NyYb3/LKxEC7uhUZ+FtQ4ZktXVx14yDjHs8wB7ICStJJlePY3pK3/03eSbQvNfmiRV
xfRPPwC5hI5LF0FqgPnToLdARMBCzZvOcMMJ/zaCBhEvIkQmCBWkiWWABg8WiO8fGrwPTj/cGPng
MuMAHyx1bV42Ts1wrKJJ2HSRfhg4v5ttLj6ZwjoMoU6NZGqpcT9aIt1aWZD6TIu6RZGmIDaafcUk
FkjCxuimlYSkHM9n6SZrEbHVoKPq3XnbjMGVMK8wA29CwBFhjuXhDpnaySLdsyFbWrJFhhe9txws
KSQGTGm1yojTrJhvuUwJZpqPZDKWPQAOTxfroQKJ+qlFkg7OeVEPxdHo7GtCU9JRbCVOxHsBI7qy
ZmtdBned7a7IfyF8jpGCk0Q2HlJMRLrPxKPM8kc0Amx+2KcHTtiq5NqL31/Makvw7jeEAerHG9/+
6XYZElbn3djOZ31r7cL9fNF9tLagLs4YoS66Xb1s1v4KSv/GWh6aA1Epq/FR22ebbqtv3VOySU+/
/4F+MqD+0zGBl+z9JWvnee8JdcmW2b7MFsWwahABbkiI/f3r/OrKfH8c/XTg+YmY8zjmdYg+yO/G
r7XKrF4yRHfDP7kJjB8/4m8n0vubgNHF+7cU8PtorIC4h9hapldgV/oRxeliaNdpsIzONLm/f2u/
OgGRIlnK70pm59tE4t0JKFiAeF5umecBcVsxP0vt6vcv8KsD8P0L/PTZ0SR4JKWZ5rmVK7UwGbRl
O/5ZZuufvchPp2wwBu48+bxIII9zfejcO9N9+v37+NUj6f37+Ol4nHhWo4xxzDNhamzNWWq4N0F6
GSCme3uhf3e3fkq+NGVbvnb/W33nL2U1NUkUd//nx7+23/4evZTKkfnDX9Zv4MXr/qWZbl5acP3f
KwL1P/+7//h3P+cd8dj/9b8+fyXQc5W0XZN86Xi8/Oz1tLg/f9euF39bvKip06+/8o92XWe/iAOT
teDboI475I/ayECwDuGXbhm6Aqi7f7TrYPGwjZr6HzvJP7p19wOeU8WJdDF9OwTl/JXSyPJ+PJM4
IwPTMYjPcZRyji3oT5di208OJGpfg7Av0mVe7qXyARW5C8FCYb4yb9ppCvyVQgCjSQ+WUkHBBuhg
g8KE5fDCZgUOQ2WVLgEAomhQWLFaAcYSSGOM9h5KyGOVXp8mhleIs/wLOKjN2oZSFkIrQ2G9FQpf
FnX5DTO3Gs6L9QUl1lIq1Flo6deBjtNx8EHfNGnzUR+91xHD3SYdqlthpveeIdCfZQhQes2b1yKo
P9l91a9QwaxEpg0b4gVAP5XapqizHtFWsx0yjcYT79ai7cUhxpCGXSsseeaB5NFW4Wg/VbnUpmtW
cb7ckLM+CPBCKiqK6Di9GskyIVMqwOuG7i3YVAZSV6mSp0y6OxAn1lqqVKpMxVOpnKoAdYVQyVW9
nn7tiLJiIxYAyvMJFuouc3lvtqUH/xWcPVs+UDHEYXkqFwsW8lOqkrLGAOIM+Bq5JCEDiUPbHmq9
eIacl0Khz/GGrR2C0BjuC9u8rrOIRwwrAgDB2Z0ey3XmUTJwmOlqmvGpIKOEjViJdHAsLzj3pqXm
BevCC85WVO2LvLxsjXYrEEHkgXcYnfATk2ijglU2kfmcbvrC1vdGr1LSeN8wi0YgdS58FD1nPsjP
89GPuuQgEwR8FR8f0NtQU+A+cca/fpcrOJSoPPK+4EXZb+SoTkGkSGcD7dO8saWMwT/N5nStt3gx
dbdlmaxQVE2l30awqWDmYx9trHMNtUqDq8WE5NpJvT3gxm0m+12sMFcS3lXni/MYYJgcTRDBELFs
wW+ecjVOnR4aYvrRAZ3llfF2oPMXiqkVANcagWxVwLYaoFsN8C0I8TtD0biYj1ZLVxG6ZlBdxNbA
7DKgd41gvFzF8+JXnuLMTF9Sdl+y4WfTpsgh0g0OmAsQDKPC1gIQZjZsgBUxrOvz0wxCTCiW2KSo
YlCKb5N+eC60FnftXdMbxjKog+sIHFnFnqmo5gMwyAc9SAdickAnAjBLppRdIzv7pM2ehGKcaR7r
LEU9s8CfkTKFVF8R0WrQaEFolGtdMBF358sBeFqs+x9Nev2y1VYlcDX86s9WpQOPVNi1KD4PYNjq
ZrigunjIFZ9NN6dNrYhtCXC2EIQbYO/LXjHdSAV+loryhqT8IlDcNzwjxzznv+E1Js2nY7At9j6o
ONkVR/7nDNAJipyneHLZG1oO+M20dN+Ac7Gu4HOaGz2mKikGsx3mMQB1WruDvvfYAq4bArnGTrFN
Lf+pA2wneltblgw/LKNfdqDvmqj6NCkWnqkmdIPtXvhg8nyjJiRekfOaxvqUgNIbiLTPFVuv9O1r
C9geIr5rU9H3plmeHAmPbwTMFxZsQQNChWKQfTipP6ZmdhHp7b1XoHDPU/2mA/JnVoRFscrL9P5j
JuzbRtEABVhAW3Cr6c0pARc4Km5gNLEkSUEJ5mZ9rEELcpEcSsUajIEOtiHWDUUh7Hv5SZj1alZ8
QgmosARYqAXGUWM1SFWu7W2Qhjpow66p9wLU4SAd0imyixEibpfP152EruSJ+oQf8zhWXLI+8ykB
PhHV3lM2QH6pnX0HXrG10ZeBWzSs+EGCX3TAMLKuytk9hxvpwF8C1JgBbDQUuXEG4RiazQUpgodC
sR1bII9xmR1xez6NwB+DHFkZ2v2FgaxumQKItGWyKQBGQi09JgAk/0eKk+1LqbAP7Y/FyP/TtQm1
wp/VJk3xufma/ErcqhT03+sTNowkIaB8opz+Vk/8UZ+wYvSRUrE28MAkIS/9R33i8C8UIYHjkZfE
XOeHFSO7CSVHJUNdGQD+UoECAOanJo4ZPXWO69FhKy3tW2Lfu4o/GB2tCrj8LrUMb7CjVl8+I/m9
q9Zh8m0z1tVdg9t+gpu+jDK1PQuHuk3vIeam7NbVfq1Qq7airiLytFy1ghvftnH9t9VcNGJKJx4t
l7iHFvW3JZ71huLP3rZ77BEbVn3d297PxxvN2YMxBvcnalxoCHN6J0qe4QzDU3OZZ/p0GxPMlKjg
mXhTVYShlbgAduRioot0eu+hAOsALhRo/0MlAh+Li1PN09IuGCMvtbYulplV+VdWJivSS+r0kVQY
ZwdBp4PHIPOQ0bURkUPop8kJh5jfLwVTkGjpJzR5QWnui0gXS+QDPRgtT1x6biFvBHaGddNnpg1P
tJDEHpDt0ue1/2SirZiXQReUM0+r3iVoyQeUgA0q9240gpnm5dyJZJc33vxFmJoFu9Se2mI56TwE
zU0fOCmDW9vqocH60uq2DpsErcXHrclHyJqGgWaIoAE7Nfq4oDuMWXyyxESKXAFOtuY5IGsKec16
qppo67HpuW4bmT5ZQdFeB17rbdLcNZj+41q4E0N1GVhtNVyVGp/mVaFFUl9HrQpmiMKyr/exafSI
SBIzfcywX9yNQZ+jCXV7hKcD3vV8p1tF5y00vwrTfU31Nh6El9jDizv40UsA6HoLLTWEhhqX4P8C
mH6t1qIk0YBhZX7SfmJMVjXnmkE3j6i/jxT/3W3V/4cnF53o70+uiz5p/3Z+TtrqV60VX/7H0RV8
oKtyEMSb7OSBI/zQWlloJixuTN1iLPnD0cWxxSCaf/BRMqmu6/vY2f7gM5AmRlSlsLsw8v9Kb8X3
+XH6hBvAd3wYQHw/apOfRiONyZ6DozM6wyRE63xM7L9bNv7lCBLa2w+voUhtvsVKF4cI1SUuq5+6
fGGUelDl03gJNHhfxH2wGWE2NhtPjKfRQu+1Uilm25kR5drVKloUgzjSWxMyeLnyu8A9eY0XtBwW
YX3qG80nw6W33Prkupo+rm3awwhwuEFT1RLkWyLKrtj2CbEGOojom3NzSxyauR4M19g2sV2v23Jg
XOlSABXSvUpRQmxJCdBXfckuM8EQCTyxKVNtWwjAb7dFM8evgmNwY33DFvqIBNfIChTOMMj529qo
bNq72FbMw+6Nf1jVY33doYoiJmDezGSlLbQx/mRVxjEeYzwAgBkWRHftLVlvaSIvBgwFC6/TLvtY
PjiZdVcH7W0DjDYq5IPriIIBcU1MVmJf1GRnRXZ9AfQX51SUwYjGahyN7nFQ2ZK6UDCFcsviUIca
nrATnQ4Uoo9VmgJEzj1Y4mV9bhI33RG6TKSl/hy72XSMK8tb2iGJ1H5uINYr89UUBMARCB/B8Qwy
xbbEphtHZ4t+eD7WU3WUobYdRbbrtCTaitxpVmSD4wiu8H0nJzGo0bcFRDwCQzTPzT5skpvYqXOM
Fw5IIS3bNzNT+qg19kU7NusmFrdl0x1jS7GCJt39MsmsxX4RDUs0B5ux4lIdjWRt8yDjaCxWgpzp
sapPgw0AwyBxZJHhP0JhBLwkSp1bxyZdzBptaNGEN4LhCJDqhna31KfuVLuSXMMANDW7dpK59Bfb
7b/iA/O3tHfiaAWCJjzOnOS6KohwNUY7cYDeUh56hnYIstTYsoH+QkzefnZZpxvefRdrKlPFXfgT
zJHMJ4/OuJiFfy2LYhOwnU2bcN2C0RQuDnDw1Ft/6MxVbfHBO4W3a3X50Zjx/1ZOBD8keKI8OAEV
AVHUjAd2RVcz31QadA8Qo2YbpEylfTZbbPPauGf/fWGFgKO8hzF8Kv35ACPX3zhAqhrPua9ng2Z4
fJY9C9XOh9ABQNQxp6soTA2oEhmawix4zCPz0WLIgyrJuAhsMmQG+0zexSTseBnPyBidud54sXbn
j+29nUlc7IxWnTi6siUDBzTLPIckDHUGyQiKMPVJ46HS4jvfF/daVS7mYth4UfVqeuOhDrTDOOrI
pVP3UKfBNnfJB0S9urJKg963t7sbe0gPvL+jk+pPCCkQi1ussOD/E05sVWSQ22O2GzVhPpaD731q
/RJb8ThN4b3owuxmDEmOGsfcQOAcNgst6eJVrSn2dI5yMO4Ao9emRigQt8WFrJzksrcVuypvZEii
ceWqOwyxKYlJAaIHvw7955kQq1XsuA9aa7pr2bqXYYwNA3m8RKodtFzMJFbKqc+Pkw8HOjKdm07X
MfXVQ72KZOUzoUmPUIlvRZUBHR8gVcmqjTZZYH9yXUD0BCXXPQmw3khInQ8G/RRWzEnGuUoWmVs+
2xGOR7eeYm45pjK2c6dHVcbnOGXgyqKLVBjzYsrCa0iwz/0YkNoMbyY160Wo6behy2/Zqp7aPqP6
S3cy7V69ZjgDcEoJBIwRQQ/5o5mSn+p6T+XEzsZvib0yiMwKh5RNWlugGWWg0IbOapqSJbzxdVqb
X4XbjdsKGlNayEeJ7tuxOzj9CYFfcJaqhl9zNkCN8D4aRfsASOmjY5RYp8f0dsyniyIYdl3NnEgb
0o8RHKBk4BYdx5MMxTYSLO703L3puvmMRuJxjJ3LMrWXvi0/DsoXM0C99QjRkHbAYaED7bQZG7nZ
E5SrFvGMS5qwg7Y9B+Dd+ck+akHAxVaBvsFxb3FZ8gnmzLWiwruDc3PoLNJf2kR/5ElwBFWGVzcp
ruCrd7syjaBj1Ywu9GbnCGvNcYNMeYSEz7sXsXdBBMOuyaKD0TmPAVl64VwuKz87o3Xa0WwvWhyl
C2FmnzVfWzlDsuvJBljUffhZ77IDn/UqIbZzwaL6YPfTdUsI4TK120Oqa7vGcZ9CWlsJX8ju5G1I
ogOD1HmDYAnLVBJf6fb4Guo4Sif6W91O6W3B6QVOvq3D+k4UHWLeotzJSNY7PxDThUGMYmqaUPmT
Jzcsj3pDfCaZWR14Lt1YlLY9XDETjhc+8QokmzafCj2GdqP7Zx39OJVrXStOAIb6eBQbjBNfkhzk
HiYu7dNQuVwv9A/rCYnwwrKT/OuIuGRlWiIG6zWZpyFuw28t9r8sQn7aZShmr22BOqEKQT1m/KwB
NTLHEAL80mWagnd/yIJn29m+KwGZTkxRWfwJe/iHl1CV1rsWcOIqdjMEKoTe4oL2zn11HtM/2fv8
tC/5+9twmYc7AGIcNft//xqm2QPSC0iFJaKZwxGtADjsO01b/f6t0Be/Kwrf0LqKXWOyB0aoR1P9
48tEZTpZXiajc8+0q07pKUDCa/V9b18NRIK4LVR85z9BkH9XWPPp/r6VOH3uXn7VRPCF35sIE6CQ
D3HadVXl/0Yw+GM/Y36gbGfuQAQXosr3TYT3gRmH6fmMN3R0Ku8l1p4SvCAH4Dr6t2hXiFv24St4
7IlICfrxemn7gQRFdxoIgL9qIns9pd5fuyJZStOEuCyClGw0cOyfWggsIfhpvb4/k7zMwf6g6eeA
lAN7Z4RckuwA1u9+Cb+4mVGZ/3gP/NMrqnvk3e2s0iwSTqkelHgPqW2KumAxtSV5hmVUttdDU/oH
2QFBcTMnXLTuxk3xaNXhGDrrTnQ8A6PCfRqR4uxdi3noVJO9Y7SltbD8+MIpsan5ZrasGv2r1LLX
YNQ+kX1yVRqmjfoQRWIaNdOymPDpWDDMWDVoPCOiJCLCxd22U55sHLI5QRMk5TacxmIJbZOYjobC
rMDvg8YyudUGf1n1yY0vJYw6sq29RF5odchvKU0WIvTVJLZb2RN0JHe4DiEbURVYu7I0rmTMg8KH
KKSz58FxeywDY9Fb2n2DgWghiyc5W1eEZO6kN7dro2u3eIy3duUf8DqPi9gtB6IbmhaY1HQqyUu7
9ToGVMykmMjcYrB2dy4ClJTAjl1NClJ3Pb8pUnpBNO05R2jR0U5e4r9jotTykKLnq5ni+heui+nG
FhesZfZjNgDUCMllyS6n2f2IchLrFNMOchqAPJrJF1LwvubYx9aDY5/Gyj6EprWSWXXRhcO676c9
mMgrfa6XRchzdpwuEMhe9H5TrrpZ6MvIGY6t1D/WmHxtm9WbKOZ7h4hzEk+n7DLpi6si62D4DJfZ
nB30ElTpWLlo/DpMevUIAQ6yB0BEuIxt6t3XHUiHVCPC3BRVv+/7ocMdY+K4TOrpIp9KZ0PC4zEX
XwNtONuxf9P2jbEwYuhacdxsDNIwwjy56gvtdpDFJmamviiVgSYJmJZ3X72YGbfhptcmiR1BL/pF
PBok7SiZy3TdweBctAiz3MHeDo3c6ITndTyShaGvyrK8nQv7SoQEaA4j25suz+TNOMU3WCP2zdCv
/Mr/BGp3OXpOQ7oH1MY0aV4LNpQ4IbD+sOmakfDYUJCMTL7oQ3QsAHnWtkHqgheQnUTOmGUlNPoD
yNboKk7kyXbIhHbEdtSdde4Vy34Mj21bUtswnJ87FWtzyRN+ZbI14KC4ntjZsZTUW8qHcIMi+MFu
cEVzh2AnZJ1ZOPm0ywb4V02OXjaJQGtM2iFr5zumcWiv8+4yacrbVGJiTHmi9QiFl71vfg769HPq
+aeSqHZCzyGFsWWZsPENaGtD6e/ejpn/zM9sHgG/fehBsl7mn38ZgcyX/vHYMz4wNDMY0jsBSB8F
7nn32EN4gA8A4xGEvfccPUBAPqQLnnj2m/2a8uX77MxldsakjYwIrhOUJ39tdvaTsIjHEbM59snY
ERxg2bb6Id4/JDwjMvK8ccqz6QOtAeti0nlMExtCEKPmGBn7Icw2ObvoQhQM7Zm1PAr21LTFG581
F/zNS485MOGR51nDm2gLxjOpV17kaunNrfUwsQX3gwpEb6uk8Vq3lmzKv6XgdDOZYWqBXqbe9RhZ
7IObOa30NckqBIP4DtMwY9QvAbBJVmu23MZhDD7B4VAq9I68LiPA9NdUCyMi44SYwTks6ah1p9z1
7iBWROYSmQeqbJpwSLqYFFfx2I0rKfV7SdYyFI/1YHbtqgts0od17I9O43wh+y5eVoLvWwekrGBJ
hGQ2Dugdi/RLgL1hPYUluDxBe5lPjE2gg+7zipNBF+O6LCA1kNqbHx1HGy5I6UOBIEWxtJv0PqkF
rVcO6ZZH2BmDAEBTbJzDzB7R7e8YteEbzep7NdKsavb57LIv7DGpNxA6e5QcRb8qtLyiUdbrZaDs
Blndn6oKuG82lflmlhpSeedAZMGDSCVyJKXTHFAIzoOx8yzIb1OWfJWGdYqK+XI2hVz2Hgy6Pm0+
5R3agb5UoLPqoo99IHg6UKUo65faPHbLMkPl2Za0YFWXWqvcdPdp515n4QTYeGgH4MjRuraFvxm0
8kttEsZj6u2lCfPbrrVtqQsAc8mZsuRoWbS5wm6PteSaCfv2qk7cbuFnfDQ6A4e1TfvXMrVp035b
19bJc2JEg0GpLWsIqSCiixUg3m2TaijiyvY0Z8CKnIaRSe+7N7RSJ4a2KpxMjugQbG9pEjm2sMoZ
xpDdIZ3LdFIQQKq36DVH4HQbmRanyA6fplpOm1zztxGj5ZXT6Q92XT+lVu0RZEG8ct25JGNH1xGD
JWMUqzkaL+s2+Nq4A0oY2fIZtu4+qhNjMbvORde356Rsa+26LL18fpnGPNt5QsB8rR5wj9e48eHS
waE7Fb0ipnTBY5mx1naar341LRuIvNUcbajHUCQMh6AjeVs3j2UeXyZleRjT9rIo8ytZMAsCwohL
IuyHvRs6r8zzeiqxwbK3SR96EkuvnG9Ndz5FNZWNkSfDBnPCuBgsl9e1t1WOaEfVQxOF0UCB1DiP
raqXRB/cFzypAVAeG7Oh+Oqc/UCJFVXzVT+buxAKMl1Vf81ht2goykzTgeGVgHQKKdistrtgNcr0
l4EdzPsbz/CUC+l2rgByuarqi1X9ZzYg6WzhFdsgMiiAVJ1oUTCChop2taohTVVNlqqu1HquHKI3
2RCqqlNQfvqUoZ5dvJaUpULVp6C5HuYiunAMCJqjqmEdVc3qTegtYNU8+2znLiCVnIgw4pjQ9StR
IkHqvdo44wN+sUBdrvV5eOlbbV6I/8veeSy3saRp+1Y6Zl+K8mYxEzHwdKCXKG0qQKPy3tfV/0/S
nEMDaVoN/jGYiEYvuluUCmAiMz/3GrO/QPwgP9DS9gfdnkWhyzdDYJ3YcbFwKjDYCRkzXZxKh33s
fUsZiM0gJS1ye1i2Ll5HeXnmBPGRDLRnFGmMUbjr0IKeFJjRKkMr89CSjGu7cWe8M1rUjn6lyIa6
9NFNmY2FkoPyCft5IaknPcfgzMqcCxLSVR/rAXCgFmI7BkZqHiqTINMgVlr1jN+VJlGElaiDw6lf
4IBZ4zeMcno8Z+j403Pugty6qGrtImJNiAMY8HlpTPZkn0HkWsg4v3GFRfokd60SYaMumHZtuMSn
HLXwMKayqBFo5HG2HRUzw0AuzfDWPkgNZoFBe6RLCn71njKsDLW/6FOQIEmO0XkWQOKx0xVeTvSY
accc9Ph2uhKjP+3IZ3rE3NT6AS4J+RsU0b1eN+jg9wvJLy7VwF0C8Cynnm828x6+1MTxqrtIRSZT
qrRlaVhMWYvixKsAEKlqftkY/bEuVyGcm2LZIIxpRPmahmV8kCsdLqr9hTxkcxxnB3o+1lFWOCtJ
kborfxyaRdeoD5EDDaiyrHOaYiGSOSCw/p1PPZJgDJCfv86nrhpSqQfSpne23+JfvaRSwCRofDFm
RH5LuH6TZb2kUjiCUykynESdEIAn1Mq/CJnmF0gpID/RHJZ1Knx+9JJKGV+EkhjodVoSmoJI4p+M
IVX7LUbbkHlj7HVkPgNoBsaeooP3qt5mtCcXKCs16zEmBelpE2OLiUNdxPhbbhlDlTENYhdwU+ae
BCW4TUPpEGpI27Okyg4sx5Vgs9CnEsLElRQcocJ9golwN8kohGU5um9Ro59KWWtRfpHOu52Ktato
Y8umN00qnBR7meax+QPJwRunQLnE9h0dvyKESx1pXGBTJzHS8gFmlZJQYYB2gKEeydSPfMiuW5/x
WFZXCPWa5tcSPnLap99qR/qGhO8R3fNTyp6TNvKP6yz4UWV2wrzeOis14y4GUzBP+MWoTAJzSav1
sFGy78kgD0ARNJxMEBGeFnFHf7a7HtS8nHt1t9B1aiM11Lqp3gXYR0r2PY6axsyOzeOqjq/wgIym
Nng+I7IvssC5J8ieEa2gZOChglZzWM/drlvbeYucWHrn1tl3twBUnqV3UJWoiKLSmzcpupOVlZx5
OaRERIDwdf0Rq0xA8tjOZ50ZxYhMZned4iCgDo4tGSh8c1UbZwPgsUVQtOWU7P4Yt8bDQnePUw/5
qyAvFwMdArnsDj3HWYnBCLA1xFLCB+gHVxqzRIjdN4k3JjPZ4kPyJTkyihxdB7xXlUPcN/vCRHio
OvGd/meMndWMiQZJkitPmzKE6ymr33TPuNBroL52EF3pnvqzUc32YEDwcqIaTbMAC3KTSAwGMz+H
0Wcumpoxj9vU4dI04+80YqIF7Je16hs47kVWPMVu05jIiJahW72QrZzhiy0vi9pHhTli7NPkfGvc
+t1UNcxZo+MrUjB9M4EZL90qPwrcpDgckwivwNAdJkY3XlixgbiFsWgKHZ/k0bV5Eqm0XPfKxB6r
cBYz9SYUAfO3RzbxUPEdJmru4dM6XjKy5l1Tm3FNu3Dl5nK0tcOgI15bKiokVeF6My8mLjHwu6uz
/sYGLz6xzPxWVvDOTjN3WnY9OYwc0JEpASNK/kpOkdCULCp9Wc6W5iAvFRl6BmNvJIX9Ds/K1n5I
wuIYb4J2gqx+Pi+d+sD0sNdUG/xRvaS/zgr0q0Wyw25MJqZW31YNit5yqZiIKpP4JL2pHulplM56
+vbeQaziHT6Lou4bzqRly/y+8oOvLINbn6q1sCA1A0NbmG4ip1cW8PtsxlBp1IDBxpU/BcxknUmo
CSPDVjD50Ire+x40+byK2UIT3dfddY4rJTl3M7W7fiIb3sq3HO/SL2QxBDb6c6byqFUVAcRYC5W3
CRZp46y3QfUeNKi30lwKGFdMQXXEyGUPGgVfTGJq9sVSDjX1Jurw7DuJ0xz2LPhbZdab1p3sAbKd
okReoibVuZkzMhXWjQKDXtXyruTaiqvvKkaf2EFoo8pcUk5M9wczZ18/kUHfSpPY6Zv83+Hyqedu
MBj5XbjMkHBLtwVM/t1fAdMRHAYFzUxVMYQL1d8BU5W/MHxBaZMRybuAaaOEomkAXVAa4q8I6uJL
wIQuyh8QNGm4I7tPs+CFHPLckIZX8suBlmmIgPiBzgmsUcFhgDaI867priD3lEhZkpyOhn+ILuhE
b9HI6jlLYxpmwF4x8kDN7UTP8dCF+bGSG2UZ5PWp30gA58OZ06m4SOGurSmHXZVvokb/7la0B9L6
pB+VY8/RV6NvYu8sZcPUt7zvdJ3PsbuI5maSoDZumlNdmMW7MTtz5BwcJQPJcxwRJOykxl5E84+a
JrOPU43SwidQOJkjY/SNsYgT3Zq4UmiucubT781Lg2LZCW86pRVeQOapbRSo/za0UyMFrC8eTvcY
VmIR1vv1dPQtcxq0kXKAb8hxXVsHmptcaUP/MOjjSaU7t7GLFfvQZkz3vWVmNvA9uSey1jw1Musw
rsGQOL5xrTE8A/X4o/PNRdVykZbIZU46xz7TnZIuLE2YLlqHXbjIJcWdNkxnsZCPpYlSSt8c0eLI
xnwmG+GxXyJmN+YDgJGI2I8W/SSJRoW5uZMspND50RNDEaLB2t3O1nlxTotjkUQBpSIUf8NZNFp/
MShIzoX05rVS2WgKHZpYuml1FwdieWE2DZkIKP4Vd89tMDTXuSSjwTkC5FD6cD2gFoNcf3Mu924/
qyIz+VroB+ZQQcisbQQ0qcDbtSfbC7dD1SoxUBgemvbSR+aJ/43whIktVl2kXxs+hose6TQKpH6C
3sDSCGTWxlamGXY3Rcv3EIYSN5xsx7NssBFXHrSLwMaVqHPvIZai3WaaV3pmXkiqpU0RYTh2EhKc
xrBAj+R4kgSlfyGhZm9QNzMPQXC+L8IrGLl3NqY9qZtQJUT3YVp+9RwyMFM1OlyrInOVu0oH15co
ie6lN7VUdaHplGOB5UINCiIavs1shMtrjNFSxpM2UhGkSpsePxzsv1AIz2e6ia49wfsmQ9vOUXC2
gSuALFiMfzOuYbSQe4XuclVihGCjST/2IIgAduYnVEwgaKILnDHsqS6HeCcGEsVib9tMKNIGuAgT
cxryx5iCLQBL3ASmdcxc6wKfhmBqBQ6moco4LpMUckCKkt/CGVJ2pqb+yNPi0m754o3Ow51iXGO9
ce+2kjJDAvzCye2LBqnoTqP0Ulz3wCLjmxhsenBh9qIfoe1groBnuxdVk7wjCwuLsqXzNGzoDaKy
VoFAiVnRSS2Vh3UrzeTInCuDRf8vpq1EcbAMaGjNh+gCdI3iu5BCvHEjRcOmbs0rr2+vopiKs7fP
IpXmAG5J+hRZxhBzNukrAJeUktea+2O98IfWPAyCgkxQ5EuNgV9RKg0bvtfhUK8MUHoomwKW1maq
pD+ofXUSy9IJBtPpPLCHdI4g74Ze02rIa5TATToVsgUsGT8edJlKWmxq0V0mVpfhm1ErSxeFWqGL
yudp43TWNexA/vynGpMqDUbsTpAntEC1SRdFIz9UCVtCN5PgMLOs67ws1lVMWwOi20OeI/MKG6sK
exPnglifkwCrC1NBKF0ey2NXAVKY6nzbrPgRMpQptljspqZOv+vodywyiTvYC2xIaG2p0+D0Vi48
sFWmDJvCZFrncDXqEW5ugJimSPKejLV/WuF8R4onbEkC7RLJmY5KPTsrKnmJbvIVzugLkFCX+FSr
02yE3CNn1sZDWBdp8kOVX27WBaC8Dbm5hjijTNFVEpKRIOBKg00dVe731hy/l3Vx4Ve6t/JiaUWX
o5knXHAgR5rL3IYgV0Z8v5pE81grsdqwBEE+KW/DMuaqyKeZ75xy0S0xWqKTpFdXg9t9jdT6W1nY
9DOj5pvujPJKUTtlJsuqf0T22iKr4RtTNLfE7BRwRKxoB2UVXqamthzzhrQ9Ur53US8jnREiS+CE
mJFE6kTLTRI79WtrnnfV4ejedMGR7mvnKck7jPevoZRcB8ARTSWtl/CZ1mqOOG4eK9VKDs0HhYue
9rdz1gYmR1uX3JWEBiSZ7xgwZgqQ+tL1GYqHx1UeX7SOurLA1lN6IoQ3KJepYR752TDimth8s+oh
RISuPizqNfJUk9pgKOpZQN2YHs7izAmWKqr5U/qn35RhXDIVCI+xrFDAfZYnDlL6C3qy0QL+WTgZ
8ZVmBofcpeEKurp3aDg2DF4T0VU4J56Dh3uj4U3SZw/QpP2TLq3RVKSJaFjfwgwrRURfREuqGIe1
4svB1K/4ni3mnzik1CSVGN1xfx269eicKlqJg98ojSsX4NUB5Jx1XPq2vWn0YViOPTMLP7eF6iY9
NcreRWIoJ2puHHAbHZoU3BEuz5MSs5aZVOra18DKuSHawpvolbTyC32t65W3Sn35QRvkB3qSt4Qc
uuRIpgyyNEtssD1oPWs1nxF95WwW9fFdH0QpdjD+kkpOxb4DHn/qmTfghdrloNThvEMoumBeTudp
XADRJOXGUsRjsfNbrAcV3b3A8mslSZ3KLI/iOseCLWgSZYqX2zXLTxRX4ge6fYet6lkL0LjnZWUu
Q7vCVVmz0gXlPqUUzjooD4GlU4ruJq2xLOnjS4HgMmPjGo4mlQRcNWq9A5hYizKgT8w5oYnfL5Q6
h4yn33G5ntXoL0+RIIJiZhYXcDcXXHBIFuooMTsKDWafXr41KqvUrFUh3nRqMXyYRK7fIJMTDfOy
r9kPHbWxb47IgprQ6Xp0onIT1aIgUzcjwjz027ulFQD4w656TZJ7U5b5cW/F1jRLpLmCTpDR2d8J
LfjnqBdl0R5xclcWHlAM+v3rnJ4pA9v4pFMItZFyHLj1kRtn34xcuWFUJZQ4rW+V2p9kVD9TtAkQ
H0XPA/ED7yvtCNxOpPhgDA5LvTzpPW+Rd2o0awL73DdyYrRkXjd5ezL2qDqlwW2sG4D8ACRX2nDc
9nazGsqhnqe9eZIoeDeYCReh5C9lI2BEbOirKFOPO3k8akpNY/LOhMNkph92SXKmufII99aWAARi
OYi4Kt1JUU12oJgmgKOHaV5ZOrSbclXpajYr5fDW6shh7L45s3I6mk6JSDF+EdVxUoCtKLTuiFkb
Ureeiyo6KGYn6UJyTrfmcBmxPepXZi0dmqhfLnHYOHDItiDG5FoImwaZrOD/D0n9/x6bwgBc8+ty
7Ctty2bbJFj8s7+qMZvqCeNwpKwVcNWCQ/CmfSkAcQbssCds1IuenP4Fsq+Kw7HuUMY91kgv1Zj2
hWCuUsJpAgclfvSu+vpdNfa2FhP8dIuuqigTLcVwoES/bV72MsyeskxpXoo+HUeenjmutcnTBvll
0QdE603R9/hGBmqaONJg8qDK78VClBiLIjPUczJDw7nGagyZ3ARV53GFnKZRTrU6bfQD8KTjJcMD
SFgmVNjQpnbLsxCNF/yLjxQrwZDMKo3+zCdp14aMKskcPJSC2yistB8tfTX7rHOLtl2ESqbPWviP
ExMuOoIWMVirIM8zdZ51cdNOQTVDMcP5K70JogEVLg6gPKvSOyPWu7VF9XmKwiSWvEoexcMic3sN
VbSGGS4cDPBIXaadyq1iRMdtHJ6WNSBoPMr7qe+caYr8YFT5fUpQciv5ygKgmnba0pDMjLjBb4Gu
99wBAuIkc6NPDtxhKGZalASzqlRm8VD89NHxBVa0VtT8Z6O1l0jlEXEZJH+3IgZCDpPZE8nKS+aP
hnkYByj6Owk8uFFFuEOStJ96WKUr3fUh59VFPodpAM0qlgxUam0Uapx1lTK2HVW7JeUb1WWdWteD
It3EKoJ7WegzOqlrT7VATsHN8gD6zumNo1yui0cwG1Iis7wu9RpBTtNO/YvKa/FMRrJ/7vRyf6PH
wcAqAr6dVFFTznSpxJjXGC8KswZpJSnKk8PUL/eY+hb49rjFkF6UYQXR+BfDgrd7uRjwR/NAv60J
QJuOSuMS5NYEf+ZpvUpXLtyBmTdPltYc+42JcagvtDnTy+n/qD7CiX7d39A56mg0MpEwxOyBePb2
c+Az1DVe5WdrUvtDpLv7aeQVLnUN2YhtRc68aF2B8DLpL0LVP/Gs0j1U+I7MqMBD2hrWjovgm62O
P+o+cxaVChShrvOFa48/LAOVhtBFidsd+29FnCNfXRbItlWM5fvOxb7UR0DI8Pv5oDnLTsGYFG+i
Au1WvByc1aih8ayqSx3NpQnETsG9QxU+SVcw6WeZplMWyvm867xj1UWhOEqZ1KHNh5RQCFoC1ceu
d7Rl4YXgATTv2uuyFYagJ5RW2KXZ+VKO2GiWU+BILIeXr67XLeDGt5eIgPcCpUEHjPuS/pH2Xp7G
GdXOyRO3XMstok1cBEBXSmI7Ev9zIwsQKy+8ze/fUqVb9vbbfPee775NqW+tskWIdl14Gq5EZFmN
l83GylrpSQPcypUnnkk3xQJ5ZsQVSAQ9HY7HEi1LW8I1MrBv5KAqEK+QftI6JZ0rTtTMPJfd8c7w
ih9JFxSzAu7s0eMH/zdCS/QTfx2Tv4M82jJP5N+8BGRUXDmX8BkVCISOLjquLwEZsLJOcDJkiNXC
45Qp5EtAtlHTA70LT9rm9uaG+bs9an/RIFHjUgRJkr+EktkfBGSAqG82HNeYZcsmvVihQqMC0uJD
vJ4n1mUXprEa9qd5zWQQ02TkT8urWkX8PRRSkyPi9fgNKjGDhSS5rIQkJe6TzaoZXXTSGFR72AzV
k0LX1hgryfijJfhYWyGQBjzAayF56RftrSNEMLMBOcxICGM6lORTqAbW1Gnc7Eqv2pNSZhRQo6jZ
QtI9TbyCyqRDblPxQGk0CGDPvRYxzkpRrhMQx6s4xmo+5HbIEf3QUPD0CqQ8eyHqaQp5z1gIfTKe
+yHJZrdyUAJBxSC4LoQsqC8EQqn6wBtFBFGFJTgNFASnaaw4Kwy+jVOvU81JndAf63J0ldE6wJUs
hRqMu/1NBj6SUjPEMrhJjptiWEaO9L0j90FxE/lp/Bamhp8fyo2OUosnz1WvPYxKCQaT/ZXVPMky
OotyTbii55pM0sj/YbT6pjedfpJ12TcPSR60mTGI9D2wxl5wWeu4DWmxZE60FEyL6aHUOhLpJTN5
0DyEuvvUPDRB8k7qkfYaFO5wUUsGhiIuwl2pMX7ni4aFaeaXmeSu9Xi4tekbacKiRM+1e3eozqQq
bY8jm65JWaMtW3T2WhsdGGnuuDYyvtI672dojZxFiXarauW3sYvuJDfnFvcR+o/7U7NDqdailwVU
DtwpVecBaHhjGqMIO8Mf5dSwbexgE31lVuZx1idgbCwNtxTF/55747mu60dhgaiH1I8S6OnIAXQK
VsPEdMU+pXAOtVvIjcZwYDEnnVu+dwT4bkzo6JXYNRhosKGS8yBV0SJobH2iSMPikfrvOqFxwoD8
EH2/cmIZuCOoiXKMNBOmlsK93RWWqp4wVx1wWbUL7FaB4lAcIqk0be0SuBCurIVKOw7i/zAPEsBj
SJYvmJkz24xGFlkYu0oDFq+eMHvthO2rzE5FguciFoawbaAf9MIiVpBor1JhG+viH6sII1ka++R5
wlxWdTt0YbGb1fCdHQZcFIQRbWQYVyXOtKqwqAXmP7XwrKVDGFNwG+YkEYa2Fs62kl3qp/RhsgnJ
ST1FKhYqaKlftsIS162NYxlHqqkj7HJlfHPLuAkOFZx0C2GpW2T0xzxMdmPtplLcU6nzFh3QJMxl
gmX9aMxLMx9YPY5Q3uDP7CK+9THxtbOco84xyXMcrdQk+ZFjcdULr6tIsuxZLPyvfOGE5QpPLHpu
3iG9QYiVtrtuCwl1Ycecq/hjTGJkn5mawuJ18/58UCrgXkCJDothxDdQ+HHRX6J+rTJ9OXgubl3C
tysv0iNPOHkNwtOrEu5eRahISz3D8Ssr8nNTcsrFiBkYkPKbXEq0MzWkDcDtFx1Ige5MfSBxEhgB
T7iKmdiLFVbo/awwHHN8jvG5hQnZGAo7stQR1mT/jp9PiBwCzm/iZ3NLhvQBj8O/eRU/CZ862AAQ
NI9I5L/jJ4pr1HeINzBJBF7zKn46/IRgCyJH5a+8UTQhtIqg6vCjR4uoP4qfSBB8iJ8WfoAov3Hc
DFNB3PZN/IzrspYBk8mndZjduE6K+0+kSUeq1NANQhgbzzly1ibVnXUfudUiA4s2rSv9sMyMFApg
T0qsO8ZxWY7NhBMhhKzMZds1l7Hd5yflKE3zVtYZTN0p8CNm+CUgYw1ubzS7A8e1F/QZ5RnY/WUj
NEFTB+1yxL6vu7Rc6bgdX1GlIIid53dIYYCIzK9LBZFnHUtwjJWLu3jAUCGr9JTGV7fq876HH5v5
6TmCC0sl1PUzSTOPXLNz5nUnu9Okk9yZBI0eejxNP7feWI135yY2HNUhRbZjyIsDO3XQcM2kC5B9
8ZlTQ8xITODJsQYwxUW0aeYGjCA8CSGw1MUAqtfhszvafRWYtMiKtV3jgpT70U2gald15uQzKVQf
cvSgkYf1rkuAEwGnvjGpTEgGVm7h3HMPp5PQ91eR05+ncnhSwdlNUu8oHJ0rJaR0MQRVvFTlK9xi
1cnIl1D72FpjupJO1drYDE2FgLhV3dj4O9F5BlhbgE0BAn1mx7oy893gPHDgQUhJZ3eHwwBfdkjz
n3JJpDfTNfH0qB0y70ALq4vGdHCANRgHjmVSTS0znoQmA1Erj3F6iFBol6Sm4AtTgTo66MlEKztD
PwwrcPvUUfNhGcN8mtBtPoD64wAvLB/UoqX5P1reudTAlRkD487BgGldDOrPGDM8k34oLoAAIp01
TVZ8XlIE6N0IdnxtMGZLwVscelF26jORncqxfQp+up5isUNZMWQ/kwiAdqUAqyrVdZ7lUEyAT0/q
gDpNaYCiK4a0DPuWEk5pfpi5/zWKwGyXDa7sqs9EXQWpjtErw21m6xO7Gr9awcAQLrtNaB42WGge
6ql0rtj5T0bi88bvlw3cn2lKdT+V61I7MOPiIDeTw7425rqnnQ5KdAr4qEc+AsaSnIXf5M69NhKU
wurIyaa+ZF2XtWfwsdVjN6cfIdmMf4siQbFNli+SoT6UCV5FFF4EAZL8Tfy9k8tbRMkzqDdKNRuq
dm2XUTMDVy3K0fTEsFlcQ5cO8QjSl6YssPmI189SzzqWC+WOWlmbVfXwLdfUZtIq+SKvxNC8xndp
6NuDyB3laZvK6y7ubn3Wem5qOdbcZlCAsstvtDQ/cciETTtbhL4GCgCd/1qG5V+Cs5PiroA3RLSO
wuaoH6JiOjhxBMfNuBcm6V2hIhJvh8eFW6rTIE/wXaTEDv3qhx0WRyTV10o0flWk6pzPR/IGmNXp
nJNS4GH5wDNvbDu086MTuwDOhInAReVoP4bayU89Hd4DKj/9IcNM6YAZCmKEbXDcRsWl3kgPfh5d
2GZqwFoAfT/RNbc6cC2eMpa+sUroK5cucIRQo/2dJOp5KNOMtzGeAQ5W4ZOZWRG6iWziwY5bwL/W
KabswB06BDSgXEST3uvPse3CUtyQ7+wRNtT/lTj7XEpvFTj9q4cqfnqW4fd1lc3fS6T+U3/ppRbc
/qA/UkxVKDrfRO7HD/ao2frb58SbOqibezRZNbyLDFXVaNJBO+NF7wojNO/5xzTd7C9QkzToR0Bn
edFD4x1frdSv1uL3v+ZHSdmPz/n1r/A6H8EFlx71H68Cv+bfi2B9oZTnClVQjH3+Jd8uAsmKYtER
p0Xw+NqHRSCXepuVCU79v7ASPOfNUjB4AB1Ncvb4Yoe9WQo6IipYMZyw9nINRIN15zVwoOo5ICww
k358iRV6fSZYA+wH6MeIocX//mn4sBH42O9bYn9+MdhfaJwL41dEecTr/cXAIpAL2AYTrD1dBMFx
/ON74c1p0GWYAcyVmK693wKoOFLroEnAGonXnq6BKIZ2WwONcaWD4plCj/3x9X4jwLlgvGFB0X86
ef/LsWHbaXgKWk+Do7/C7h+FSVq6ogXMwPL9RmCLgMvD6OQpduxFfNy2BvzZjhsBbo2iYrD8q40g
+uiEUUUR0nv7eS3S2t9xEWwBpVaZxD+lQ7K4L97EBgDVSLWyTk9dlT08DU8fbIfToCtfLDFSVUWA
EK8PSYJOBMXa2xQDk/3cCbtnzjj8wb5nqPG0BiIEvN8JhE4aWI+ONXuSOW+7GZ7i9w77QYNbB4fA
YHbyvBbvlkKECKQ5DVvZ24Rp98yZ61GIECE/8u63F5kSfUT8Hvf1NCi758zmF407EXfK5zry/Wlg
C5j8jNjwdPL2715Uds8S1C9MZ0GbMBB+fBFu3lwJivEF/Q/OCamEeO1rnFR2j5PGF816zBWeflPx
q75dCuexvmBcsLf74em07nYvoufOrWA9p84fDoXIJvByBtG2p3FS3f1etIXIs4iDz82V94eCtJEF
4siofwWPvUwZnmPXLvuBPc8vivsQQyrxYoe9ORRECnjoCmbD+5o8Cs3vHTNo4iQTQQpn/WkRPuwH
+Qs/lCH6PLVf9vaS3D2Plr/olNVCTv2XS2HyY53J6Z7eD9ru+4FOCs00Br7Ph+L9fkDuAV6ozB2y
p2vw3ADb5WLAfkwIugKzedoI76MlNF3ZpNv2qMu1n7fj7oECWQ8LQIABXODx9b7RxO0ID5mzIHqR
e7kI2mcsAt8yQAXtOY/m4L8PEaqKfqqj7+u9qO7ecnyUveMwwFV/fL0/DhQTjqlbcBSQWhGvPd0P
gj2xc7QkRVZpOD2X1h8OBQgbkO3QQvY1ZXjuBu5yPaJfIDJoy3quq97vBxUKDChwDZzRnu6E50bY
LotgfQFT7JjkRY9b/uNAhmzCBjSFzsPLodnLS1IISex4KMwvSCg/8p2e7of3KQMlBQI3CGfu7ZRS
sAp2WwSasLrzKDKFBId4fWg7YYQK/QWLqqf32r+Oi7FzpGBARy8FFfmX65EL90O41HTkxhEIF6+9
DZq759EANZjB/XU9fGjKEzTJHKjF5b0Nl5/RcSGHRHxN6NKI14dwyeieRQCvurfhcueykomtCotT
J2f4xfUIhoOqUia/2tdw+RTHdwmX7HYTiSIN8s7ja0uMkBUQHHucOD2VObssgkZDms4blpLbj4Nw
nDQYXZt7ezE+Q2x2WAQxrdQEofkF0rQlRpgAHBBu3NdAqe0cKDUqJlD2TCuf64gPdaX8hT4TmpXa
vo7o9N1TJjIiRNAQWv/V8F79oqEsijrovkYHIXa6W96oaainyhjuPA9mPk5mKDQEKwOV+j2NDtru
eYLNTgDWhAPN08X44TiI7Fr8hxmWeO1r3ijsY3bcD4j5YTjMBfiroQTzGWFPoMFjFe+1f3WEMI/a
cRFwUzBoo9CDfdoPH2IE+0GGCEslsa+LsHtZzfgaFWSDEfa7Koo0AaMx/E5flmdf12D33BmjKaoD
i4nsLzaCYITLpBPPvd49PA2758504tkHOq5pj5efEAx9W1VjZuKA9XCc/R7RCf3vHS8Gg1JJRQ5R
uBSL14fWI3g/Iimgx32Nlh/kEf4VLDjdNqKhgJW/3wj8wIJTubcBcvfUWRcnXoydfo1uM/GFFkpG
T3fGnt6OH6SE/3wjCOV9IdJL5/FXp4HJPqSh5/7m/t2Oz2OzHepJjfwYMDgYjl814pUvhA+F1sLe
llK7x0nRbaSzIJrw23cCjTZEzFBO2deE6YOU258fB2DOAFU0+VccGdFydUA2mfK+ps5CtmbHCCl0
wvEzgx73tBM+JAuPaSX0e8Gd2Mv64YMlyZ/vBOCvGvp89JW3H4fHnSBuhedLeP8uRqGOtttOEGwp
4Jxkjs9x8ENRDbyNHII4ua/ZgrH7xShm1QoQX+Ysj68PGD9YMuD7hK3fP38c/ont8hf3eOrjM/1I
TQ4eqkeS0xPZ9n/8Cy+M3Y8PeEU0faTbvvmbV0P+8PTsJzqq+P//tblPgnQWVHUZ3NXqY8/g1U9f
egiP7/T8759/xY9v/ubNXn6vlz9cBQ/lprxDiOCRi/38QdebBG7zf8f81/1mO03270/zn//x9sO+
Oga/f3oebDNeEIy73R+ebO6z8uVBB/f/+R+McjSKLQ7Ozg+fNHX98PKcV89mp+787Okm3rR8JdXL
s149n/2++/Pxu6g+fKUsDLHlEx6e1iVunllVb3sLsrmd32L2EP9jnZVb15+7Z+fnz+N/zLKSzfPy
rFfrz3W88/MX5UOVbns4Cc7OD1/GD2n68pxXH5zKeudnr5rkNovv65dH/f14QRPe+fEHSf5QBpv4
5VGvHv8ZR/YgHbYsuvIZJ/boodyy5gIzsvOiHAWpt+UiEGyjnZ99vIm23GECo/8Jj66qh21r8hkH
9Dir/vHfqfcQP2xbmc84oiebey7gl3V4tRE/44iebMpg29J8xhEVz8bWYMtHF5DSnb/Wk4f0PrsL
tt1eAqL4Cc8v7x7uXx7097oL6N/uD8/47C/PefXszzimJ9nWNfmMU8qj64fyYdjyyT/jpK43+bbd
8hnndP3Qbj7mjoYs6Go7f5un5YYr4OVBr77OzziiZ/Hm7mFL7iga1Dt/8jOcGLYldwKhsPPDLwJS
xyq437IyYu698/MvN3clJUFab4mlYqb8CW+Q/mPygOfgtjf4jKN6uRFvUKab8n7rRSboOJ/yW8yC
B2/bL/EZp1b8EgtOwF1Q3W17j884vuI9DrNN0WyLVtpnnGHxDsdNUP3j9Dao8m2/x2ccZvEuJ5v6
YdvzP+M88/x684/JprzdbMsZ9M841k/vMcXYd8tlLfrxn7Fj+S0QMRxfHvb3nap/ysH2N1trQoFJ
2v3T08PYujSfcpiDKgqGrHn5nK8W5lPOchZvtmUPouu/+8KQmCTb9synnN96g9hzvGmql0/6amk+
5eiKNsuWOCxIQTsvzdWDv9m2NAJSv/vDyfGDekvSJnrEuz/9dxbfj1080RH8F7tyV81vDVF3ffzv
DX52ffpvrAp2fvSvVZx//+htbdm/MGAfm7Uvuo7b/tnbXrT4G3fxw6b8r/8HAAD//w==</cx:binary>
              </cx:geoCache>
            </cx:geography>
          </cx:layoutPr>
          <cx:valueColors>
            <cx:minColor>
              <a:schemeClr val="accent5">
                <a:lumMod val="20000"/>
                <a:lumOff val="80000"/>
              </a:schemeClr>
            </cx:minColor>
            <cx:maxColor>
              <a:srgbClr val="841444"/>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bg1">
                <a:lumMod val="95000"/>
              </a:schemeClr>
            </a:solidFill>
          </cx:spPr>
        </cx:plotSurface>
        <cx:series layoutId="regionMap" uniqueId="{5BD4BAC7-666D-415A-B91A-B84921DBCC82}">
          <cx:tx>
            <cx:txData>
              <cx:f>_xlchart.v5.6</cx:f>
              <cx:v>Sum of Amount</cx:v>
            </cx:txData>
          </cx:tx>
          <cx:dataId val="0"/>
          <cx:layoutPr>
            <cx:geography cultureLanguage="en-US" cultureRegion="US" attribution="Powered by Bing">
              <cx:geoCache provider="{E9337A44-BEBE-4D9F-B70C-5C5E7DAFC167}">
                <cx:binary>7H1pb9vI0u5fCfL50tMb2c2DMwc4TWqzvDuxk3whFFvmzua+/fpbspNMREnz0sAI90J4NYMZ2FS1
i3zYVdVPVVf/+6n911O0XuUf2jhKin89tX9+9Moy/dcffxRP3jpeFWex/5SrQr2UZ08q/kO9vPhP
6z+e81XjJ+4fBGH2x5O3yst1+/E//4bR3LW6UE+r0lfJbbXOu7t1UUVl8TfX9l76sHqO/cT2izL3
n0r850drFfkvKk/81cftawSuqaTMVx8sVZSb/1ZJ2X38sE5Kv+w+den6z49bg5GPH/4Y/s0d/T5E
cAtl9QzCVJwhLEyTUm6+fsTHD5FK3B+XNUzIGaZM6BzDlbc/e7WKQfK9er1qtXp+ztdFATf5+v8D
o2zdEXznvyOfytPm6WxQcQGgPz9+Tvxy/fzhvlyV6+LjB79Qr48v7yy1ufXP96/P6o9tXP/z78Ev
4OkNfvMb9MNH/T9d+vD3Km7d+Oa9gDs/CPV7keZnRGeGYWITvX7wAGlsnhmYE44ZfnsVfv7tH3j/
9o4e1ukAyr/Jbt3j2y3+/UP5/wK3La3/hxm7BONRHGGqGmeUcE4Y09/wMfcACNcwwXwbutEK7Udv
W3zrSeyfnNsCJ4bufyMwf8/HMMX8TCAmiDDoG76A4tAUE4CfG2Dkf7fE79BoP8DDAUZAPBQ5OZBT
P1kfYQ6LM8OkuoF19obx0N2CEebw0XXOhiCP1egQxlvyoyDekjgxhO119OFKQWj3z4PM8BnXGVjq
TWC1+exMZHZGEKMwkQcz+V1K7cd5d4gRUO8KnRja/41Xzyr/56GG8JmCQUZEwHTdNtYIJjIhJkVv
4RZEW1s2e7RC+2Ee3NAIjAcSJwbwvbc6yvqIoTMwxQYVlL9FzTBjt3EmZ1RgJAQxthEer9F+hAfy
IxAeSJwawqvkw0XlFx+uv/tFqo4wl/UzAihik4n9CySCzgwDIYwJRN6/T+b796t2APMDA40B/4Do
ib0FV+t6dZTg2zwjBuGCIv0NfDqc5xiIEpNB3DaY5+M12o/5QH4E1AOJE0NYVuUxgjJqnumYUIYO
Rd4En+nAj8DsHrjq0Qrtx3dbfAS82wInhu7l6nn9ymZW/zCPaZyZBqE64T/m75DdAuONDCAygdza
Nt7jNdqP70B+BMADiRNDGLjsVQ0YH4MBE2cYUMbAgh0IxsBDC2TCNB8Y6XcptR/n3SFGQL0rdGpo
q6gqjkGGgT/eAAlMyQGoyRlCghrgkrfnszVaowM4b8uPAXlb4sQQXiTdMYJtA8hOohPEfxBhO2T2
Zq6bhiHEIO80Vp/96G5Jj8B26/snhuwk+mCrHIiRI6ylxBknpqGTH1S2OYQX3DEkHDEkFmFFBZ9B
zPUu1fYjvTvECLh3hU4M85uogrz3EQA3z0xqcAD8R/Jwh/NEZ7CwNnVgv7ft9XiN9uM8kB8B8kDi
xBCeQoI9OcaUNs44xYau4x8ID6f0JnUhdPgHDxAer9F+hAfyIxAeSJwYwp8qCDjio6Sn+JkpiMkY
O1AjAGabCoKxIMCP/E6BvUen/SjvjDAC5x2ZE0N6Fq2T5CjGGiIvHZsbznrIZmNTYA4L6W18R2uy
H9xt8RHIbgucGKyX6igGWkCBj86F8SPruJN2BANNiBAmR0MKZKQ++7HdupsR0G59/8SQnVfxdxU9
l//8nIVEFECLGduds+wMG5giqBx5Szdvz9z3qLQf4J0RRoC8I3NiQC/X+TEMs35G+StH/bYq2iyL
tuwzTOFNuSaGQrBtlMfqsx/hLekR6G59/8SQXcTpOvdX0T8/hSmBNS8ROqP4jdMa5piwfqZDgK1j
qCjYsyh+j2b7cd4ZYQTWOzInhve9v86PkpGAhJOBIFoWbD/aEEvDRQT++o3iHFAg4/Xaj/VAfgTS
A4kTw/liFR6h1gvSilDJhSGkom8o76kPMbGODcEHKYmx+uxHd0t6BLZb3z85ZItifQRvDCEXg0JN
YZI3aNHQXsMMNuAyE8bAG1+sxmp0CN0t+VH4bkmcGsKq+PDfxF1H62NQl+wM6YRQ8bOufqcmFxZW
jEKdH0zzzWdgqC/ep9wBxPcMMgb2PWInhv3lKvePMLkpUF2c6VAu8CNFMUQdNj7pFMPUNgcJqNEK
7Ud6W3wExtsCJ4bup7W3io+QPwbbDVG0ARP7AFsN8EKZAIaCnzfrPpjU4/Xaj/JAfgTMA4kTw/lq
lR4BZSi/JiZsiYGarTcXveOhAWVw0EgXAz5zrD770d2SHoHt1vdPDNmNeUrVUWpA+BnUa0FFl/gR
gO1hQ0yDcUEg/H79bHMi79FsP847I4zAekfm1PBeJ8/qyT8Kg22e4U05COc/pvMQcEKhKogblG64
7d/TT5fvUeoA1jtDjAF7R+jk0M6fYA+19Y/vO+dnFBmm8StbsRN+weJLYBNi7jf6ZOCfL9dj9TqE
9pb8KKi3JE4NZwWT+p+HGbbCQSoZqj6w8WahdxKOsL+Gwb50oLQHM3qsQgfw3RIfA++WwMmhm5Tr
fN398wBT48zgBucU/SjJ3YnA8JmhG7CDarhrGdKAo3U6hPFghFEwD2RODOnrfAU8yRFwppC7gHI9
YRzauAy713XY7GgM6ZHxGu1HeSA/AuOBxIkhfBOtntbH2coKpQEbjH/U/uyZyVCtC7kr8mbKB0UE
4/Xaj/NAfgTOA4kTw/nOh10Uhf98nMlsCqRT+iPLvJtmhugM9lhAI5EByO9Saj/Ou0OMgHpX6MTQ
/lRFq/wYUEPTGIo2HNeBir5NUZAJRfZYHwRg4zXaj/NAfgTIA4kTQ/h+9ZRD55ikPEZtroBd6tBY
BHYuv9nmnerrTRy++QeKS/akMN6n236894wxAvM9UieHe/JBrqEV2TFwh100Otnsaz3QEgo2tTJE
ENSNDbLPmy3r47U6hPjOGKMQ35E6ScTzZJU/H4cmg4I/2PqGBVj2188wUsPQ6g1Ib4jmttfUb6C/
R7G/A35nnNHg70ie4Atg+2v3GDMeasgwZC2hjmxYGsihDBRakYiftmAX+9E6HYZ9e4iRiG8LnSDY
U1h1P/nFk/r5zP+JzpwcCn4R4hCb/VpvbdWCQgaTQYtSXdA90/yXRmOogMNw7w4zEvJdwROE/Vyt
supYxQkwyRkBgPdaePDrxIROkKa5v3YQvPs7lDuM/3CQkegPxU4P+00v3rzqx8yudzbkhUYWHOoS
0E/GfGjnYdpDuzGwDMNGNODd36HVQcyHY4yDfCh1eoh/uIQ2wsfw6K9Zbs5hY+yBtRvUMBABiVE2
yIFtwrnRSh3EezDEOLgHQqeHNrzPcpV/Xx2lMpxtHPemsuxAbRJwMoYpoDoJ2lu8fn6GFW+dmN8m
+jvUO4j9nrsch/8ewZN8Byxg5cDSHyP7DfWkUDP+I7bbMfL4bMPJQbuxwV7qH0Z+rFp/h/z2vY3G
fVvs1FCHnZDHKEeEQjVGTQNq1Q6lSV/XdQaDgqfBZB+t0QGst+XHwLwtcWoI+0Xod6r65yf1pu0v
heUY+dm/G5ZlwwWbAb2fdehDNsD4HTodQHk4whichzKnhrSKVkepUtvss4Y06abo4fWzU6UGEToz
YVfXDuk6WqMDKG/Lj8F4W+LUEC5XiV9Eq+oYu0I47O1B0AjBOLSxCxqCos2+EA7O+/daRDhv5B1a
HUB6d4wxaO9KnRrim+agxyh+gMpTSgi0FvwRku8JyIzNrN9p/3o/WqMDSG/Lj0F5W+LEEP4Eu33g
aKMjuGdooADb5oFW+7Go2smREuhQBV1RoOfg9oR+h0r7MR4OMALkociJofwABrM6ysoKjlaAPdUU
HTrP6rXeAYqYDDQw2+9QaT/KwwFGoDwUOTGUv6roGIQZnKHCoW0kzNVhgA0ROIdtmtAOZXsGj1Vk
P7Bb0iNQ3fr+qUFafT8GH7LZ+IGh8QX0Jnr97Oyih+bcsINeQB3xANmR+hxA9nfpMcj+/v3/F8ge
Ponu1yF/9qpcTV6PB/ztMLq/v/r6cOBsw4Hoj6h2fy7zLeJdPP/5EfbqUFjrwGr318mDm4G2Y+LX
mOUndNtSazi548+PcNIg1KrAWwC1LFTHOkRbHz8061+XYJc99H5mGEOcJmB6J3B2jwfnF5pndBO0
waFZ0BYHio+hzqVQ1esl6EEKjaDhfTI4pkC3kl+HON6oqHNV8uup/Pj5Q1LFN8pPyuLPj+BFPn5I
37630VdHOtgWiBD1TVIO+mxtrE/6tLrbHPYGD+H/1CQhZaaZ3TUEGMUUaVEyKRgqQhlS4WRLgYJW
l1mta5qlO0l62TTVPYr1mS7CWhZ5X0nfQ/pFm7SZrAOSyKpg51DFgayoo8WU4NK8MlSj5m2dpbeE
5ak0WKkt487VZ0Wgvpg9DixNR09JxpDEXn8b+yqUTqMiW0vrSFKXX/ciqq1E1Ui6KQ8tXzW9xMKl
svLdxEpichtSLVrUcVPZsaNPUO7pc423rdSpUyxwWCVCmkaiW34a3jEs1k2Y3avav0jjJrdzZGiL
oNXac9eMIqsvzfQaVcY3iK3vzAxGcXB4CWVqjc1IZRdtEtlOY14iBo+Gkki2bn2Lwv4hrtLPZpAt
fa/4hjQ6C9IYlO0bYiUiuGB618qq0S/7VDz3ZhRaXRdmliD1suNKWU7UZJZWlbH0jHZqEucp9Ggh
daGmjiomXMsuE5J+Cfw4k5ymjuV7cT5p9O5775Mr7Ofwg0jvfM+NLBTQTNwUVGjdTKuSTqYe/D0H
NbWV5coWOJ/kqZoR3k6R2cwIKpcVNqc479e9EP5E5/UyafXc4jkXsig6TyZVkVosDmIrF006N11T
yYawx7SKLiuNunbG0kndEt0uurXDjQkhaWkRx111XfJScVfZPNQTu2S9mmJURpciIjdO3hmSGxma
p0F66+X9SmSFI3GpuZYXKcPKWaHLxFCLmpQPQaBuKxQjaRhpI0UUTPtsqkdxbnk0mVXYuG0b97FM
UlOWcbF08zKyay2uJ8KA11UUuiP90C1t3vVozqPEn6i4YFK5TjnxM/MhdYKbMHYzKyuMpdOI3O6y
orVL3V+hrnetslYr3tLcKlrNtwvN6edOqZjdlGE4SV3my5hUSCLcp3bLXCbd0r3nDod3SlEyJ3F8
WTqqtaokNKXT9pr0M+5Jytgy0ppbA3tfE04dmbSxmOiFcREbZA7dpEurds3rNikKO9KIbnEPL5CL
CmmkuJR643gyiNpr1WqLXJW57JrwqQqqxyCm39OuuQlY1drYjddgpK5y4sYyb8RV3ehoEgiRS6dI
6guzK25oSp8D5qeySL05jbrvTWBetSS595MosGK9/xplJZKFprtToQfBNHXzSpaO8bVQ2S1xvUgG
QbgO+jqbd8SZ9VXDLRJphixYEUnT9e+V5zYwqf1ooqXhY9KoR5x7nTRqtspR8C0xqhjgV6VMlZNK
X9HLSomHINeW2K3PhRmjCWr1ieGl547SA6tSlVVDf1cZmNrXMutmPIDzbvM4kg0vGum5/EvZk1KG
LjXndcpNu4jNeN5gePGywmTXJFRCszO9959/P1t1y9w+qbTLfdf7cWzurx//80nF8O/rYat//XJz
6u5fP83WapMCK4Zf2rjFX9/668DWjRv6dXrrwLm9Hd17wPP97cX3uUVYZf6NW3yl2ve4xc321p9u
EQ6YYptOFQIO4WXg6n5zixRaVFBwbYQC1yg4eKSfblFsCkM3vWngOFcK55rAgH+5RaC1CIzFDNgb
j2Bf1s+nsIUTxAN73CJ44S23uOldxaDQkIG/hNNzBN80hv3dLYZJGqUhCtA1OPbcm+qizy3YeVA9
5UE1qVnYShQ74VxzysQKsPnglLUnndzLbHCy38s4uudxY0qCiA1BBJJO6n+vNLQo6uwi1ALXyvU8
gMlf245Rl9OQ4m8Nb91ZQZpiGWfZIqtdi/b+NS21ReyZl0XYSZwXplU5QWbVXa8kL8Q88YNJ32g2
p6VdNgacFaz1N6FROVbkN3eEll9Nn4PrDpPbLtSwVKn2SfP83HLqoJCZ709dx1hGwZfI7741Lqpk
oAd3RR4gmWeFhWN9GaMsmgR9MuuUIpcoZdee3zOwcWzZ6+lVnVRLUTjPqdksfQI+szPCW9ZmteUm
zmXDSk+6RPva5PqkgCa8q7xTnWxCYfdF/uAT9OzywJNNSjPLiKLPLdeeK72GG4nMeRiKyy5yvQmG
e3BQeOn36QqChmJaO6E/aboytjyS6bNEdxZO62UyF/HnLnWui6r5FhulkiEnF63IZiULlTTjOJG1
wFNRuLPM0a9DklIwn/28ajCyut58CAxzuvHRTe3NUClqqxDBbRIjZtVJeyGK/qIpBJo0TvrF93Rq
1SQLZGaGD1nRcRmG5Re9b5aNkeWyLOIXJfJLgql74YXulekxz05KY9IUVWnhkswLx8xlkbmfSJQv
UOr5luCled4YVTohhvecuPzedbpZFTbtJFbxeacIlhXV1i1Ll72RTI2gfITfzROl55LVQkwU8Qvp
BeVNUgTRhdnGn4wLhUMwvjy2DZhPtkcdz+ZV8RLjbB7wfGbUmWcBteFO4YuXuMomqQIrjMK6lrVW
3OM6nwV6+JV1eGa6lStToS+LgJtWqcD7JUl8WwVeN82KcMrKHrydU086j6cS8ofCCvv8MjWjQgYx
+FnS0Rlx1TLU2TQyq16GZn7LwuY88MrA8vLuKjfh2TNnWfZ6KTXh8+6pclX+6CUltT3XjIU0VMLv
SAqciStFHmu3KDWzu6Jz42iGW39aUjQNNc+QFXFeQrddOzqEpJ6KrARl/Jwn7UNh5N/LsMrAz6hb
7pozzQtvcRothIh1C4oY7LTlVkB5bfsRysHdlVeYRgxuLp1knGuStsFclS2beA5rpBnx3grqIrZS
P7ZL1U6p0a1ag9gQQX4Tjpggs/sMQHtSBNqi87WLJPNmXqgtEgiljBBbbhDZpubMg7ibhiJxZStS
2bH+nKblI85y29M71yZxO61j4UrqBxfcz0KrDIk0Wz5rTEPGaQyAPJR5MOvaalqJxqrjauFrjivD
hNtdXNieb36JwU9DAO9d1KmJ7T7zzWkbG5Xsw2RuZuiKluZT0TCYBJ3VtTydhMy0adpdsipYNDlN
IdRB+ZI0DWCrS0er5lWRP1V5fR20wi4C9gn5EGiYXX7Rh9yQTE8mLIRZiIQns3YTbYboXq+cdWZs
QoM6XpSmK6yC13Ps8tbSMn3OaHzjoL5eeqkvA18XUvi15bHqsuHJstWSRMZhZDFXfI0oBCKGmFcJ
k3mHZiavbnyjfkQkXTisnRo14pMwiMD+tYkmU0Pd0cosIT7PrxlyZecG8wgMYOrXV47Rf8qUkhkp
bx1SnedZLY1Mr2Vrdnbfk6lh5BOq4YVSRW0XKunBCtOpqZdLlPRTkbDaMjtNZin6HjkFkSWpvlFf
RFZDdLrA3L3Bm6DcdW9xLy5M0dVW32v+1Oibc2SEFleNZ4WpG0xizTcX1NWrmem1NzTSpmHU3cDu
pxdK+mkSp3ZhlJMiF9rU97PEarTyuivTm5KLz61feRC06ZXVxro5aQMSfQmp09luWr8ERbX0WvQQ
VckiKNWFZxa1rHL/ruqJTfz8RXe7SVXh9Mpr22kW9J9DTHqp1+EDWOBJkei3ueYo6SLzq2bkj23W
LpvYg9CxirlFU2GV2FuSEOL4Vr92G3fJyhLMOOsWTmYGicRO1rG5URThQw3Rb2hjLcFTrS8bS7Ri
EiF/QfQwkGkT93arvGdW08ruatXaRY5XZt9f4zymEwgXXNsleNrmfSAdmr3wsg4tswwvS5+Dueza
xPaU/6gCcqNicsfCpJG1YrL1iidIfdslMs+51l0XRrvoCdivnONKJnryue20h7RVnyKfhLJJqJ1G
Ppaia67r0Ogt1ov7PkmpHUG0fZuXAaycIh7MWYIcaTh13FoxprW3/C2e2hOfbLojp9urdjhCCLYy
GjpUxiPg/7fDkyKDKpvOpOY1vo/lF31a32RWL2PLXH26Ky7VOaxrrHLuX+izxvbmauqd6+48uPRm
/xvgvvI+BOpVDge4m17fu+HtRuZneAt7VQSkZaBzOYFOEYTCpZ+sz6YMDpgg4AYwdPICSuj38BYo
HWgFAyXQAtLwv4e3UE4J3BE0bYQyjDdC6B3hLTU34evW+wMHWkBsjTfnrsNrxAfhbdEjv6v0yrhy
adJfZLD/PS2kEl7GbA3IjL6XvVORWmoQhES2KB2uLjsUF9Wk8oNOeqWOYPle+SguJXHhb7hWgTqN
TcANsMCcuGUCVBDtGz1qZVMGlfvYVLGW2j1ymRZDVKaZ6aJgOU7B8OtGC/EDJ5J7mnKnXM81q2qT
R4Iq36KMzsvklYSoS2CiUC1zP49l5WrF1KnQpyAhl3liRLCUD2ynQ3dJ5+cS4xbW9U66TFW8TDLn
AjftQ1eAF2m5cmSaxrMqXUSx64DhT4n0jcC3Ql66Mmp5I33hh7JyelfWbf8Yc/MGo7qSEVBOWgXs
WNomqYS9SqndxOI8T7pn0pat7Vf1l7LVqcRutIx9pNux6m7AP3TTxqgNy6jMCkLvrLQo71s7LI3I
Rh14j07PdQlnS02QXnV2UOHMakT9rLEWiAHftarcya3Ywc9tmyqr0otpgLK5r2cRGJjoIhAktYAA
eqj0LraCrLkoqhCWxX5NJsA83GsMTTNekakTOlasxTGsVZx0wSAqlS1TVwFRd1nWWA5Plz7YNa8F
+1yLTGKeTboq+s464Ftyr7YhsJJ1FNqRxzSrTt1z5sRAJQlDJk5PJSnbQOaRCqei49pUo+VlrPUY
fFYeXACFMsOu+1glSWCFyvRntKO+rRnuTctzXzLwxjgrz+uqhpga5Y+u6uBNDPVl1+H70m0nRhvV
MmjxPEyCOxc4C1+ndsj9Cgih3p84ehfJlEEElYeOZ6HWvEG64hOR0bWKcDHH0PPL0hN1peOknHk0
niY0/AzJ1Yc4yGBxlF1rXppa3ISAikVmYG0opiCKHxou7C7yZIXoV5RWQGUF+qxuovs21BeJmwF/
4XhA3AlPt7oiqOFFJ94yTXNsUxO4Jq9pHhNYZtoBKR9bp3nArPjEijCWbt7PEs+8Dgrd0gIBYVL5
veVOIoukaayKh6mdhdhWAsc2Lat7J+hDqQJcTVTnLtyCufOszO4qo/8aCvdbphe+1fpdIM3AzyZB
zbDFUPW59pEhcch8Wxneuaapc8TNVdID+YPcjFhE4XtTN6Z+zj6lBZppVN00yG9k69N7xpGwhYdi
CHm1K9djlz5PNYuG/rT1o0ef8WSW4G4Vu307Dzt3XtU5k5onTCvRwsSmcaSmZZl8DRJYF3aFr2CW
9WJpok7YJkYzF/X5hW+E07jh8JKSiE02i3xpaM00KrprjNk6j7xaqjy7Sjn/rDLHOwfnH00M3K5D
37wD1opLA2hRiaO2k0XfvTR1HMi6jhLbcQmziODCSosSzyLebOjW6t5wQnh1IO0qQ6wpeAH8zso6
pVtMeXNYNqwMr0wmpZEkk9YwLys9u8QaW4dlS23VRhBohh28UCWf9hp6yRu2dJU/h8U50HguAY4q
W3AaNlba4iWCIHIqWq22SWXcsZawhVvGruwDMCWYBJc4hPVd7826MlhCy/XbIHeWcRQsvDK7d7zs
pWzNwk6a/KJTzrWhpZ9S4QWSdl0mkecaSxPsIthGBTM3ohOuqmYWhOoxURDB88aEOQvEqu40QBO7
BsS9dfNgFmUlK6XBnE5SGNwPv7a0pDAd22lYAZMZC6ossyXxNOy8R9Ksm7yLJdch0Ek6tvSM+Gvb
wRPFZnUfNSWZOLV6yDcrQ1poD4Tpa88tddmFHMme6gtUqCfYAvStz9FLjeFlSBPjU5oDYA0Ujtt6
VBZgIpJsmsX8pg7CiUsdLDW30WQU1Ve6Ft7BrdpN5V33MWNTnWXCcmuNyD7iF5CHgwWiQItKhT4w
JaJdsEa/J6nzxeNmP8sjfx03QArCeq2VuOmTeRHWn2miesvgbS+bNq/NQv5vlPQaJW2SRYejJAta
Ib0WQ8AR9rvR0kb2Z7S0OaR4sy8AQpufibCf0dJmOyDkUKFdGpyayKHW+PdoCSOobjKhyzGkrYCn
+4sMhE2GWOiwnRQiLTi/DdjFd0RLwMkNoyVu8teubQJ6u23SddvRthnz3kxqvb6Oap94jpVnCp1H
LWbnSa+CwAoMIJ0CF+KXVrsQycbK63Etm8CwvQTmFi6DT61bLkPR3teovegcDKsazzAhGyTAwfn9
uemXD03cXfGYLnTfkDSClVUmiuu0bc+NtDJgBZct/D5qZFwUsnFcyB9ws53llL5Q4ZZWU2SJRH7Y
Af1AySQPtUz2gk2rIBAW2yxszcL72oGbkkXEuolZdrGN8vQTM6pKskojwBIC55j2QIQ1pWQuzM48
cR4joAdKYnRWDtkH3W++G1UoAyeLbTjy4SkLuG/Vhv/FyFpIR3BjQVthVRkYY02RL4bLZoKnveXA
8tgTOZAmRTwnRq3btRLzoo1ju2N1Lv26/Q527XtcttdIAZOnh+VXH5m+FbNwFobtQnhuMsXtJl1X
g60WbvrsQpRttzj5kkIiQFKvprZTlWvDIf0VEKYrP9WdZaX7HOhWAt7ZNSZaIvAdKXhuMwUhgg8k
s1RFa86aJlxiPau/CrPOIbEImdqpCmBZzrg/YRAATyGhCVlNve0nwvMgE2kCB1uRpIDIWEAsF9fA
ESk/tZ1I66wS3maZF6E30XyVTzrkO5MEFf7SRyqaCbMp74le9w9NX3u2QpEjwyJCl50Rgy9pwvCr
ymty7nNufAFKKQZKFmc3nkH8BeTuWgjZHWrXXaTOCVCNldQYCy6cJkmdiabaiyrvIzCJMXK+t8LX
hN3oWrZICLqFsAtPPK9JP6MOHvzMgcrvb1pgui9MRNUkNgmBgL2rJqEQVheTTBZBWsm6Bx63yP0l
Lshl2cF6HDeTrHEviiT7igrgpbWsusq9pJk7TtlOOaoh10mVCdE8uG3WplesJCWYdWQB41hOMmwu
HccATgqW1jKhPbWN2kzsnm2CHSx8m8cdmqqKekCF+vecJukMQ4hwqaDxyzKs3PoBiECxMOBYOelp
yJlpIumtQstfWuJo8zgN7FZ0/vn/GvNXY86gMuCwMd/anbVrzTfCP605LHBhRcmgSgFSKNBAD9aW
v6w5HC3A4QRkWMrCGhfKIv6y5voZmH4d7CzsERusfelm7QuVbVCUDG0/YNj3WHNYeW+vfMFfINh5
yCDYFiY0Xd225dTDGrzeMbvy4m99cdW2X397LDdva+jfKyoY3qmo2PRuhlQUtLIA56TzgbeonIKV
jt5WV1Wvb3LgL13KriInuNPz8qWEBUEe5L4dM5ptCK8F4eY8z4JJxVMojdAMNVMNnSU8n2sFLG4r
b8qK9FmLsC+JeVHpeWsVZdjI3ouucY318ILWZUav3bhQm2i9BkKOUEv3MiCRKSygwFsgfQFUl/MC
+d5LSmPPsDtgxmzG/Og5Ixvb0+NowgoiZI5c7UsQabFthuyp8tp4WgJdabHQy5bYbIDvw+Kap1yb
RCL/YuYunUApiwfLLgZ55rbBkhJVTnFOA9nlyfL/cncl25XiWvaLeIseNKW7je+97sPhmLAcHQIk
EAgkwdfXJjMr0+HMZ6+3qiZVk5g4bBpJR0e7Q431l9Z1T9jGM0L4ctIVuGHW9fuum9ZsLIeHMmA7
cF1nVHgvWdfui2XrIHF885O31jXa3j6RfF2L2Y+BXE73UcMTyxYHbyBfWtvad2I+TsLuU5ydb00b
H5vVdEm1jpkztUdA9S+lo3QyAZiriJXNbf0yyZInMvJx3Ir3rGqurRW/3gEtK91n2VZHMkd7PgQn
vxuCbHTVmXlrFgJtHMWwD5cBu4YPtqhep/3aspuxhGZFrvRqqu1nAdg4Xazm6Fv+w8ScNnFXrwUc
4t/X6DVTKg3N57g+LGyok6AJAJ834c4eQNz0Yftl9kmu7THFWNAEwh5VYOs7GlCQxFdPfu+lmgaX
UIJ0n9brtvbvKMeBcS75LvLVmerx0C/6UJnmiaqlSjjRe6b0ibrsPnR6nkwNe8LG9ckpo6ewnIt+
DI/xGhSWGb9AnSOScQId4snnHg/vLtzsrGX93rIoXyKajmWQea05CY3j6jxUYHmWDn80Bs7tR2VS
hdEXrIKiqZvnqiybxMipKax5xrQZfi59s4+nJvc98WUe7WfLsu9lhDNMWzaZMiS1A/Z1bcvbljtr
Qpfq1DZji0OBaBPfih7oStJBANeu6qoBC8u/EofXiSUoVB5rFJxjI7tjDRQD8iFHZUF43xD/8yxk
VVgu5EcgdrF6Gn1vO82VNYs4cQcN3nYwY2I5wZ2JIT2ZAXpcqcpuExN6MidMqMT1sYdrCdAM7VBe
AzSww7jKyFDGX0cyqZyike0TJcIZ63tUpUz5YpULeAtVX8xYh6dBhDYYHjRcHsD9dLTaNmtYTzOf
RmPCwBDn0+rLpJvK9q4HRT4lfLavRAhwiC6gEYbxakKHJHwhD90MiMvxuganx0Hugzhu8qqeTyF0
EolsRbdz1mAHlQnJV7PRhj4TeT8NvZvwml1HzIYkiFnydlV44rIU34J1+TSW3kvUDnvUt3NDHWDK
jmUB+7BOZeuil2VOkLRhYNKJ9fy+D2YLSzUq2dPcdndajTp13fDar2OQJwDSGz/zAKZnveiuoiFC
QXRw05G+7WavSgUoQtSoYzWUe+ZtcEWTinU6scba0YCebWY/taNKvdk+alKyXWfaL35TBoms0fLG
4K6dyYY+C4f/r0Kjh13XQQJJGjR/aB2uC1V7Oy/qgSOuOCnSeG3zta7H8xq3F88V+5bIWwcEVMrQ
Vhs+dwlAywwl7+A65YzjZzge2KIet/M2d3k6A3lk4B9mmqNL5gQ1Zz5qO+y/dJC1of5aPwdJ7WyZ
RwY4aPWzUYT+de+xETxaC25LNVTtOp8vUF8R+lQOuII7s4eOAwtD5h05zsvYHFlTXTogMimLvPgw
ty5N/D56CIYedLnf+ID7XTmgeS7LImiHh7BcHuIuWD+vZVenbAZJHsyVk0TaFNMSWzthq27XL0Of
MvxiMqpg/jzWLC62Lmnd9AIUuxKd9r7qMMRaFF7MIYDi/XOoxKHTAHsiMEKyv7aX6NgOy6NNm1xB
UAXghD7OzH2I54FcmcWoQ281Y9aXDMeRudGJsO1nUKpe5hl/+DxDtpQBmAX3SzHRgd+JxCq9z64h
033pBqaIZ4ukzWwv+fvb80aM/AV8x4iK2743iVaDIG0IH37GefK1rgMCrBCnpaa7TG2ToZU/BKG+
1aMs3r/MJuv8h+tA3xJEHuyTf2sCpmjlbUW7C2fsLEP3EVXpJub8C8rlmOiFYAAWtldGFCxu99Kl
J6rcJHa7K1SqU1CCLCftLS3nO2jjco/OKbjKpKvKH/0cqmTBEgD5dAntCofvP/u6f2hg/vHO8cVz
SGz8AFma22H4lSA04HNfT6TtLhrYVLU82BD80f70/kW2r838+n42dY2HAzr0Pfi++pbp9foqQKfF
wttZXURFZWKF/sHrURjscsC+oVQAIkF9tgTrbzuCOUjsg441AP1FoFB59u3a8IJa63w7U4/cd9iV
5l5dLNthWCUA9wK3AVXZV5faqo+mDPDOXaybkGuWLCRY7wKHvbQTSx1W1btVD5DAOWFOWd3m7eR9
s0a3CMw4p6hKISh44qT9AEEnHVtg+wKtDQ0Pw+r+APb5YqIgmQN7oxbYeVkjlUTRYu1tRzdnmwqe
rGaGCsaZ6oySJsqcuvpUzg5/GHSA/cOpTgEXQSFDMe1DnKtUjy3OgTJlaSLICm33GvBHl5nVVKj3
7FTaLzMO9kF0QF18ji0GRE47+6XxQYKPNO9Et4LfHhPPsnGgQuthsMyyqAJubSy+HyceJNwxx9lW
Ly0gjW8LC3Z2iCN9xOjZ7VeobuVQ1J4EROGaOx6G7EJmJ3HC1VwNkTy/Px2gbP6H+YAFGWM6xDY+
4bz9/NWsKz2r7/Cz6RI57otHJM9WaH8voTVApSTpl0oGbdJJmjqhyeKajQkq6hlvZU1K2kZ7t5Ln
yQKAt7rnoI8/e35HC8mDoQCK6R944M5JVQNuV7GCEKP3AUJgU8+0Uw8ZYAn0IyhENu87QALDfcVr
kzpU9tgNZplMYkg6MRQhX7+NffhCQPylyumBK3D3MXQX9M4QZniTk4W9HIA2WC0UluHnJg4PunS/
A1wEZ6RRBgjbh515KAmkG2pMB5AzYbBghgjw1O59oNS5bej9UAd3YJ124TJ9jtvWT9A32nk4zOgF
B5VD3qTSOJCQjjZWZpcudo7QerEwJ1JBvGfHsz47VA3ZMK1eTiO7UKtlEsv0ueOPO9tuDkC0creP
EuxGmd9OdhrH+ioaG7wSJbHNi3Rm04OnxYUARpX98uJp+9vgITQM2t5gwX3OXdaq9rqn5hR1YaEh
BaJR3aR1B80nqW9bYbWHJV7zXi55yMqMCzQ0fVjhXILFqCxyq4fpJwRqZRItdgplCViCuU1DSTMX
mBY8MadQervaGzBK0K/mfrWm0JSJpJ3pyXLKvHX0Uw+xaGXVNwGF4Jb2hdtCX45dnOpqHzvsWQlZ
DFXSkYPvZ46DXZOVupiwvXcj9BOzNTQZa61do+OrFaqYiEAAq51Kg9RE0V0hLWicGDqx+KaMnX3V
TVeVHk5dHKDrnZh1zQQE0QuLjn6lr4QLgR5YJ4yNqJ1U282eCn22JE4JLISgiOf9HHVAxG7CII/A
DkCKC0lPuBS9vy8j9SRsK4m5fQ4DSLpN6Z8aqmWiyhJglquiVELtmkZN2e20WjOBvmHfL5PMljDa
jwpdSARVUhJBg6XK0flga/tgpXrb8ffVSnUpWRoi2vkSYt9X8sw7kxoFQlFft+PZwYnl/doATeff
dopXlcF7c5x2Ke1wukBl6PsfTvRdmTtFTl31Wfv79y8UbHvOL70B9qQQ4SQuwGO4IoJtZ3z1ZFpO
amiAW11WZ6lyURuZ1qX7EMiqP9DewpwzCpRebSe9YzvneIiDJGx6C4eJFYpA/N1UOtZP345vTefF
CdQqnwD+Xfd2dM/QvuHUk07SvTcVJOXdVBV8qr90jf9kUSbuqrlVeUDptOPBfBVAgInGIl8cW6do
8XaQvkVPxCX3YmUZkJTj7E0HAL1Xa7UcAkGudVtdjdi2I6u9at0Oi8naGLjUCOeJizGvWXnQAipp
ZuJkCvjLai9BynT1PBgyPrmbBN6VXvXBW/0Vb0HD9ealbkqWVy+1Df2uHkHEXGLzha5fl/h3PA7S
538j1f1g0N5sHDCsoEeu2uVSx/eiIfBjPH4wLd6/wGbCe/0APOSt3brVcgncm9p3Erwmmy7p+xfZ
3sLfpx6+Q4CW1Ani8M3UM5HUVPp4CgImdvo2aY6e5LE20Qej4f46x2H3IQEy0GFJA/iF1tR5c6Gl
qTtdrcK9oI35hk0te2BFmVm5Sur0KemSp0OYqtPXuzqln0z+wvLlK1a03HuH9x/4NwH12yd+tax/
u9FX84KomghSoYxMhcrs1M7N/bzjt7QgOUnZWDg7vOfCSUFPJzSHFlPl/qX79v5dBBva9/YuXi/5
rfi8ugtI81jsgsO9fDYHN4+SqSA3UXINSwjNdk9BegozviMXWph9dx/sH8qs2pk96l6y7nqSyAzQ
WUYy6zTvu528pgk1SZV9Ai9wAYuyCw7k0F/p/fjIi/v3b32TEL176286aMuVNRNWjXmZ9Iko5A9R
iAcnG1KIYDKagZ8t+LHf3Xw75fMhSHFgb44QBRybS5Vi88nDNvlepp/evyv3V/Dzb8s9fLM71HWv
xijEXdEDSWi67vmufOjspE2hpgyTMhnTJQH/cRn27hcAafn719+m79/H86919KbaoNRY0Pgs5mKv
fR5pfbVa7UXNdv/BprRVlfeu86bqxHXsKbUy8HUVuBH9zTZ7HX5dvHywoVgWxftP9c9D/edTvT1M
WhzFPxia+UKjFie/O1Hd/s8u8ObMB8aOhSHHAQpSG7cBDkii7P0rfDAwbwVnFhdxFy1YaL24SN4W
wv28zvEHo/LRe3pT3KTDoLyJmulitlGBjJOY5oNC/dFzvJlgc7/KuZMgarUyaR1eeGvSld+8/7I+
mF3Rm6oUlpW1AJzDbmDC1Cdd3rLp2vPmNILYpNHuRVX1B6/uH58LH7SKtgxuG4rZXwth7MF1Jupp
vvj859jAj0IB8u3ef6x/HJ5X13izaFhFpDVQ31yCBuIg+5bzD1CFjy7wpiSuLTde0w/qYqNoA4xu
PfbBa/ptf3xv4W8byqsNg9YgfUqGeYyzQTKk1VHtoTJO1vQIC2JeXc8J/0Dr630wG8LtqV9d0gH+
B6sIxR71GcBwh6p6rnDtRL84p/WgkpsVoiZs3UHOU0iTb63kbsq3Xf3mebjxjji1wxyYL1Oy71K6
++j2/nEjx/fC/2xd3s6cetS2U2LROdfbRm4lcsf8Q+ekSbvzs6cuOdrJcvXT/orD2fi4XOlEf1C9
3K08vTcob8YdDhUIrciCXiKD8C6DZtANE3LFsjt4j0/ebs6eISpLOiC2xbgTuzi1PqjQH91C9Gbf
s8xs+Z0W08W66hOTAdlsvgeFk0VX8w+zFzk/RTtrZ/2snr3U7NrrKmt+vL+6fjt4vfMWojfzpFUe
92WHqTkWkOsnTlJvXd2hTR/UwRwO9da0XGAufgKrnvFC7KKbORmzOacHuCS/sA8q5W8Hs7/dz1/L
PXjzSmKLgBtCYMplyP1duIPS1RRrsZ6gIUi+VYeyaNP4IPYA9U4mjR7zGN0BtHa7trivs61J+KM5
+CM94Ob3a//ufn9tm3ztovx/YMd8Tb5D4oS5/ie6+7eAgvSF1T/7satf/v5bf9L1+O7C9pV4WCaB
WsXbqfhPuh6RrlBW2SGOrCG+oYWjzx9OTB9hcA6Q9Nj2ES3lOjGKFpxjvwUUbF8Yxx9EzHuMbQP5
Bf8JXe/gGq/W9nZgwbesHXxRE6IAD9Hhb/Z0wFdQ5c6zuXTaI7mC01kA+gMuCrG2VrehFSzHxqiu
zW0biiGYsdVj60ukEUjSDU+v3t4fE+g1ue9sxeyvOf3b3UCJ5kaAB2wfypjtbl/VYr9bREsoYGt3
6JxL1a5dmcwRFLWAQCYcCJT25+dIoS9PRh5P8JGDu6yScgXVnOJDZd13Mk32Nf4GnTOXMedxDazY
2S1hUP5wFssxHxWmX/fE3+8Yqis4B3Des/HN4Td3XEcUY7tMF88EVZWFZmWPCjl/XjFFELomajFO
k9VRGSdrFC41pJq2t4OWaYFQQfXTd2qkdNLaEvD1T2jvk4lTGwj3CLVYXgHHu2lncuSSUJlBf0k+
SQgFWqYDk9fSCs81VOP8g07i78OAT7ZBn+xGIeaGtzkvXg8DwHUIQgWTF/Ck5FNfweiQ+GDIRCJA
it5AxQmcpHTY5/eH/9cmCRi7g2/4Qp1C4Eze/tlu69XoB7apwLtW3aWLV+fitHS+dHJM67ikn96/
0q97/u9Xgm8EX6YDW7WJD3+9kuj8ZR1G2l9iYfsvg+5HtiunGAxwK2huDzNbUw/i6R5wYqD5R5Nm
mxSvpzmeEiIZaHSQNBKiOry5PDIiESLR8foSDW3wwps5eGnZdg/BymUejjjLLTaGfqfZoN1kaPvo
x8SIPGiy+Ccw5qOderrpW2i9Ov7ojQKaSBovyw9hKZHZ1gqHWEB6fwTNHCJD5P2396ZL214fYnVQ
NsAowuGCVKVfX58dzkEXBKUFK2vJX+pxkiBOrHaCMxBy6a46alq3X6uYiJNZB1qEvW/q1HVU9BPE
HZQgC1IDoAFv1I969AA6BoJGHwFXwd8GGdYVTKItuA056EBjfr3LcIxr5JRM3rnxB1GSOJsIXXew
kXikmNQ8p6MZ7FvFlwACN0pBNjgAGSBhQIMl3LRlA78TLOCAegHjPemG94dFTghOCAbxGEp4rMuh
K8GMNU2d1JMHHrZsJJg9YcnrwQIzUFUOaRILlDFPXUX5Pggnduc21U21dJ6BIiEaLhMkOpPLrU2h
5+JF1ouL2uDPcAnZGrkmjAbxc2nP/pHCcnRaK6MIYG/qc5i4l/pgxZtmXIMIyBzoELO1Md+EHKb7
2baAkmsO+Xwph/ngl677MFBHt7sysiB4WmlbfkXe9IhGphusLzAW8kwI6R7avhMHZyDsew29Bda9
x9v7mpQmStTgV0fYZeZ0wXvYOb5LriEHMLmvx6GAL8hROQNjW6VKVzG89JD05lx6aIUAo9LSqmyQ
BP20x1bjaviFmxDQbcQ+G27DzzgScR94U7CbSWO5IO04IktCSDylbZq1UDBhQEdj7BdXMv1TVkIE
KeInoL/tKldVhZmaHotD63yp1BwXI2SoGZs8DhmTCBBS4yOfJVRcgZqRTWOlUakjIPogqxN/YmWK
RICO78YQ2nh/Xuxb7Tl+VsvR3qI3/GEqvEkTuTNeZE5hu66svJ1Bs8Dzs9Rs6cbvtKSuuz5LbZmI
04SMKOX9N8h8mskbk3maZ2GDH59wtj2Selh3isxTeeBjDVoEFtL+3o4s79As25EUhD/0Y8tgE4Ph
giAz6yDrhJuctXoAyIRMgXRkk1Ne0wGRRj3sIRGEBothZAK3M3mYUbrsHQmvC/bCIrRoU14rLJ2w
SodYwObseK2EUYfVI0nYgM2rzI2qw9QqEUUPb0Fpd37aQ9AFoprMuiw0ixjPZYmuoAi6iq8pxE2o
mJ3b+nPK6WgxMBdLJW9kDS9U3ld1/NOaVVTbmd2706724zmG2aCsymPnRRP8Dmln5LAue4kcZFCs
oK0jnpdSIX+GjLKri4WFfNnbUnIB9nlhdRoZ2JF2Yz3UVophdZ8swVf4gbywhRG/5TaIo8a2JF55
1yGqBakkBw9CIpa3dArv1nnyvKKBitq5ooCHow7+OBf8QDkq0d1jM/aOTbW6bTEL3AGUPayCNNmB
3ieNG/i1zjxeMLXBrIoxKx0HNmaEarCsKr1qzqJOYTjrCGK3pFsbb/3BWoR9ZzFuAE6jhcO74ti1
v6/qqA1Tt20HL6v7uszWuWyDxNKjIDdNqRs/9WrYg+E8b1bryi6ZXziirALcLgxyubPQFQRK7egq
b4lPIQbB/0scUpMO06dC8IPRNbjbCeKZL7DS9TBO11hHyDRau3qtk1j5lvewMO2CdRJk6bOODNM5
mDtsSZWMWvwC4cgUKcqaOt0zxIwdPQ4LZ6aQGrkuEAlV04PfuMFLYEpeJrGDyVvMnYm8XMI5hpuf
nYZnYPtbmca6zGsQw89Ma3QWTdWoewmhyFcxUm+vIl2VedwGNnTLcYm/E7C+MUU3KucCHtfzb+UU
OA+IMML/0KElNyf0Eplcubyp96NxXX3ookq617UVkU9IJNgmZ9MMchcxSeWNWfwpTu0BnE5CdYcb
A4OKaYAdjHzyYhuzm6NKjuBEiekPkySle9OMc9veuXFH/IPxGz2fJzNtzSddzE3QWqHJe81x6b5f
VzjZXT6tOxvmOTz8dusa9Qn3JbhzgVUfTzEPAV4Vbft2TUmrsHQEq9r6thsjLPlxRldQ4Weoqe7U
0esBluQRpk9BbQy3Hs0M6x8FNFHb82AKs0mF80UN7lY0sJhSPBEKiCHO1idPHf9Uuh45xqqGdgw+
OkRjmaUKX+C6xm2YsVnuvMnY8qpCm9tcQVDWNvcxdoud7GznMpBqeIZ+OBwSxGzU7rGPKzJflbSv
VLaM0QDRX4ToCQG1X5va0bB8a1kb3JhZ2v1+sBfVPumQV3LPS4v/RBbIVkPqgYGKDuHCzmt3obIQ
ISdPUJtzWNVENSSRjzK3jJre1f0krwhvmyALXGQsoext5gJFXQJHlKWqnLkdlskKpROY6K53hh8c
BXk5xtDDVbneKnbeBBbeqFGryrHJaGhux9kN05KwSWGn9RCBFkEu/GUkijxYC9r040qgKv4+yW6R
UHU4kTrUGsFeueFIU0t9mL2qg8Cw6NRqSVisvVLT2SwRu28UhGBxJPc+NyrYrzrE4LS2I9edYG3f
n7vQ+Cdrsv0+p0PH1VW1aEE35QGnD+hE5HebdCgjKJ1SQcwlwVMTDeModoFluGfV4NSfnX71YoAP
6MCWRzF5FsEfk+UIXYIFpa1VCv2VVralIHWTYXuoie3cmi1cazfOUPPl9Tpjktbu1MCZ1rI1uPBQ
MIZ0BWWHZ98Bppgu6G5krqnAqOm4q6tkXCPoQmMpWe4Yz4yZYm487tZ4wOxvfVMhCwN2YZmWQobD
E3LUnAfoezDXsNMhCoxBUX3Tkc5BgXUFaYoYwmkorOdnN5517CDsRUWPgdsNOoOOZ/LPfslidTeU
ksDwAQs0B4kM2WGBg8NiTrU3tf0pGgX1blxjsxCJNT3BcxljVed2tITOuCxRM9CNzdOZsRL3P5K2
KiSNW5ppY9uHZfCx7heYpaByLGn0uxLnfxsjOdfQucj+5/Q2s+oXsOX/YLAVevR/D6f8lYH+Gk75
IykSv/nfkIpr/wvxVRGIRdj1f7Of/QWpIA4SP0KI1R95kH9CKviYhg1mFp8hRwAAjGtIsPoTUsFH
ED049TfF3Pa1jTD8TyAV2OreHO8gsYKVHJgtUiKA4GyZwa/PsVZsee1oWH89I6tpPTeuCJoLPt7V
uPmE6KobZMqoKeUsuARiuJlp/M2vqM5Hlz8oh/UoMvw0uOMzW/ojk91dzetsstweYqTyDF/eGYkZ
bdpFeld5qsrggjpRWz/B6PqD1NIkvXLR7rVhfxtUa+Fwv0koJGczlFyZ60MbzabmPEG/YJCdmo2e
6pyvrgUdORp2VsA/ECP9LvLG+ui24VTt4N2FHNZWJET+nvDQr5eWjYCaTbYa1RHfDRE5hgxi3Aev
nLBwSq6bGW4EOJlPY1PL50aXXTYDQXWLzXy+IgwJHlzZhU0KfYHUOeAOKyMyHhtYzyO15sNY2UPO
g5AgMUCbr3OIVlqz7ikSiFuZqN7FigBsrsMXUfZlFunB3DYx04U39+e6tIfUlZMPG2CdD2sJkpt4
eV+qR9cuP1njepgi605FPO2UPkBfnylrOhkdXBMVLkksEIzI3DtYqV+E1V/hnGYl/TSfISxCm2iJ
fUwhrR6Jc6dm64Czct6VwwWeuZ8uenxu6b1TT8iZ4vuqHE4VgVDVNReY3r7ai7wjlO3dJnxsicpo
EO1Lp7oOKWRhAxP3TKxJ1NUZE/ZOB/JunGKoevWhCX0EJYRIRYhfSCwhYNZzGnN4ERvys3P63Gfh
xdNzrvt458MS6PTyXNbyhgC3G+WaRXOcCcvJoea8rD2/Bl6QQKoJjMXfS+M+rbo/K7dJfN5dMJap
aHQBIO3SlP1FeuQK/uJinqYjEsx20Nl/cQPU7Ho6C2/6WvUQx29DX0XkwR8BaHFnF4fmBLHblMzE
vswuTiVDcxlD93ZYdDqt1mNAvQODNw7n4D4TLT9IyMBA/iakHH4QXyITjD0hvuyxt+ndRK2iFMEJ
37Mu3Jlf7AbhpeHinLRvvircRIq9JGs751Sq9RhH0DbQ6VRFiLypkZxj6KGXSPaMl/HHGLlQOZm7
cdliIisV3CITY1eHml7C0j8vgcuvRwYRH7KPBlhE3N5DkIbC+wrMcG2HwUk7mFIzOkGmpJUOoRaZ
kOT7UoEaNzzzuYfkqOrWDFOYGVFjb2RR5g3Dl6lZMP28EMfscocUtwUZDiXs2uysiaHYA+eHFu2x
Z22eeX+S0BCiQ3cQmJeAf4hSi8KgJJTV5S51zqXv3/mwpaeWj6SQxmDEVYNTg7B20sdRXjX9XiAB
K7Vk1BQIhTpPzbxry2pDh4AuIHAEswOj5UI4SGZ5A9v/kna+vHI92GHoIq8Yr6+h3Tx5g7VzPJ3z
EAkBrlsneuDfhM8xGKuVIVZPZ02JGNN6Cm8DFh96dBPZ2Dde0rUl8mZXMyF/YU572yWpS+EnbWpx
glFiTlrEFnG3/zwBlUwWl6vU4utldryzaevvoYcEOCt296WAbt7U8OR3jboLO/fTRMIjkjL3sTUz
2Ec7kSJR4QzOZEmUjwrALcgsCTDLzB3KOdE1NKbNvJz6wdHIMqivceh6VCHcv5SahyoMMN8Bi3QW
8kDj9rrEuTqFzwvWorF5RIBWl5KaEniaLH1C7Ae7ogGypH7b8v63O4T/e3u/DRT53+/9gKpm+fL3
fX/7rT/3fedfEQls7NVgCIBQYF/9k0rBl7DiwN7kzQF8kRt/+N+hlmQLiMaPcFbDxvyLjz3+F1Dm
ENw7Ot7/3Mce/cqTgguIItuJfQfS++1LPvH281f4tYFrHMfA0r9uVxEthzXsEQ+rqDeV1zhieAin
tQBp7eMtr9aa6f2yJdhCwSeyzp1h/SmxvwLxbXNYEfxMBtze2xo+inhLxJ0RjetsGbnwW7/AhAMS
1AMlMErES/6WqIto3WZAX70JDcWWuqti9PbxlsRbk1Bm7eyUgL9aGOe3xF66ZffSELnEW5qvE9VP
CvG+8M+BSUTeL0LAOrXu6mHSidoSgVtEA6+V/tQjKhhZs0FSb+nB7pYjTLZE4RrRwqQZb0P4KfYz
3xhixA8j+BjpxVsiMQ70XQZuvweWNvz0EFuMSC90QVaUT8sPveUaA0/M1ZZ0zHh3Rn7Hk+gqxJ1t
achgXpGLDLU0QttghvR6C3xKTMbUUeYK3sYmdxGtPMdlAZ/C5qPcOYjYkIhglrCXjYD83MZRQM1E
m47K+zFBCIg6uybE3syDp25Z92sAIHCuyjGhEQoAr2G3QbYJY2IPr0lu+uaBwd6InJVbMdpX1ELU
EEd20BjwW4UhneHuQXRuPXa7yXLiIg7F0Qn4V8jqWQoG6IQO6gRUCNpRVnZwBHrueOsYW5RfmpEh
zkR6fdXdIqBtETu+5dfBH2d/XtZmiy9U7Td4YgtDR6Qn/Rd757UbudFu0Vc5L0CDsUhe/uzcLakV
R+GGkEZSFXOOT38W5TP22P59AN8bBgYwND2SOlR9Ye+1ze47tIGta/oSdTNfjrrho7IN5Ct47YOs
H/ftpK7sHCqiNoyQI1v1OUCRC2Jveha6f9/O4w321hd2B0e9mJ8j7o2VcBrAJtJ+j8wR05WcXlJV
JRzpJdN6K195PZNiBzBS7NQ3tMx7FyzeBTPs+yni1yrTrgqk9M7hCCTHU/MnIuB1p9oE2oDw4bxM
+n52P424sBkAtd/6lu4/K21zjUzwKpG+tXPwk9R0pshq8YWyJ1tphfoukwoHVTfNW2+Iy1U8yZ2p
Nc8R3POCjw3473zkZscl6zbzppUL8YVOdxzscIX74HoKtae61SE9WAaIoPjBCZVklme6QYOBkE/z
mt51n7qJu4JqesypSQPFpLFbRMhKJJ+Nas9lZr/2TXghUjh4yRRfseU5lWARwGX6p5yxaGBaVr+K
GUvUKkIW0vbDrhppeVtlGfiLyR5LvOfZLTZU/we9Qa6QWOXdrAm1iIlZCJjOg6upu9HUKPSGJ/Q8
0aFU/mEeq1MovfIEqvxJjOGOFc2dJsRBWd5Zw2SndPFR2vNVltX7pOC9OQswAqXB5cdW4bbvi13C
IEZ20a6Olb9JRh9EYD+Kl6ZvDsqMu9vQA7ILiHqbjcNJtE2y+fdq+9Xbz0n/91fb/6VvEvz81+vN
5pE/XW+OZxgOvS0O/mWx//P1ZhlsmclMoKukv/39enOJrqFNQwf+pS5YLsUfSgEBzll3wC4ZLjqC
JeXgn2BavvT5P28tuT0x7zlCWMzVlh/lj9ebH2pYSzyvPOdjBGF+EpBCzJTPLig51njexoxrI2CB
hus1cdNgdtpD5RiffQHYqsiy4TiwhwkyxZXGvmYvC7nBaYHZuS6soMhxp3QSFLIbvw1hDT+ox73d
59TszObyjZtBJ9XKyb+mJHtwasha1WBRkifzBcrHBynbgvrvMYyt+yyL8rNrhBr3GKVeF7mSk9mI
jlmKI9SWmNB8/8aDM8W8yfwwtLrbSlMb7vPK3zP7OcUlh6Y+5hutGW+pFs9jAbk21Sp4zHUg7Wrn
6E286p3xInPrO9XggIO8fNk47gyU3uKz5qtVKJvvU4TNupCy37jzBOQ6Cncyqu5sf9qqkYAD34ZQ
XNfRoU/dF8NgDTmMAwrEihNpRsYzYqvtxmwPYNNYj9hy1mmNJtqZb0NpTHtHM3hquqg/pRHgsswB
g1xGR99LKpzP6WZutfc4Tn1Y2HjqoWfthnmIVlWIH1rrMT4ZCjFFNzOtT71rS+ZY06h6gWyWeG+s
27h0b4vm3fSKT5d/rpt4yqKKW1QZzauCBbtqwmVU5rbrGAQ/4+kYQoEwgyLFtDKldrQSU7P3Cv92
ohu5rjLjshrjkSW7UWLyLpo1wRnmbmY1aWPtWyW9v/Y056HMJ/9Y9cwDXHx9ogqv9KbElBUmbCHS
U1O01+y11m2q79Ih3xaj360NJ3qkbbSxMdNkhAxR135abefIvZyq6ckssq2d9y/2MJWHzOpv6d3I
uZiHD74z81wr/ejdyjiT9moFlTGBW/CsIEzUpd9p4UVv1W9GHaJirw3zQDCGeFFa5m4A//nOZsqb
aqPPeIUJQajjvrySveYeS1k0DFsL8DguM0ufJ6jSAkd47+zehmPvWAH14LYuubGtcDs51rC2wvrZ
twHUMpfY20nJt8CJVnbJvh5QqHYOT7EnAbJkan6wysIIbJOO2irdO68SJ5YhH8u9vTYS5zblojsJ
pt1zhqpGDWsW0gheBQMd6pL3eC79Q1u476PrAjz2ZhBEELogxDQ3ONl5iuvLMIFO59ZDeSxcIInY
yVAk2GhTmBFwJXWBMU48YuyLAPPDhJcr/EzL8BpHdkcnjB6nV10Bm5F7PpzTU2Xm+mbWRcVlBEQA
hgA4vuMQm80aP9BzXCJYEKJtL0AgwtOAbP6h62FyX+h2CWfBYxtlpApSxr+3E7cTN8P/q2H7T/qa
fbz/pfP69WE/XU3gTAnCYI/q2dbCw/2p86KB8mzdAq1Kqg5f+tF5ub/4YP7xwywsGvRvfOnH1QRv
1aGBc4Ug0PqrX/sHVxM7lj9PXF1UctyZ3JHk7GA8/+PV5I2y8jtPdeeYWvXopb4NsnQ8eXmKVbCr
vwkwWFXcJmDc3XT+UEVTaTcd85ypmqlUjTG98VWZB20y3bTSPjIpKrZVCunAmCfEWExAd1HagzMp
1VYmPZJOYjpWsgztgJ2MVCu/rzCEuJTAd5Msn301FdiuMS67rF2BLpiNfexHbT46ZY5beDUBBTh2
gD5J8dD2LVQlhoQzOjBAS5NRoEgxEv+QLhimcgEymQuayfsV0nRXflGbvAXgVC4op77GiOz24J2K
BfSULsgnc5mc1lCgki8clDTAKAKIciBFeQsyql/gUX0641pdgFLNgpaqh+bKaIBNtVCnauhTE25p
pU9rEyqVbsvTsGCq2gVYFbF/opnwVvh38XnSkQcy1FoGua38JFxIvNC39OG2chigIURBI6AaY+/X
3a1KrDsv1vPuUAqltTeRkYPDqMoVuHaxr5ypye9Eq/v0YR12zcByQ3tnGQPQUid0PpOwGw5LWPOO
lJdkPWf59RQ3V7TRxzxVV5VunrxW2xbNcNQysS5m9jsLuo2psxOV70Nu3mLAf/738PgqbXW0a39f
2v4nLaP8469l7fKoH2cHvCo8n5YAdUDWB2fET2eHzk4GVSxRI18yVw6qH2cHoxkEBZbOGudHxfvj
7PB+sRauwQKY8H1Oln8mgP2LTIw5DXwEfkDP4Oc0lr3Qz1MbWbtDHFteetaM6llGzDvmLn0zJueQ
GsRZxOB6wZFsXMzIeg88jrAJf6quBg9+QzhADcyi6guXDNUcArB09K2O63xY2MAelFCihaYLvQ3X
QisQhND2RgtNOAUrrBa+cK/ReCbNaybAD3SG/Y7bvFmVWiZX0hlPI5hiRjfkWCV8EDmFN2LqQcIs
VGO901KaZGekVmSWQh3SUTPogtgIiMg5aGRzogM3ZXrqRioNCpAna+Eos8t+L3RxRBsJ/nZhLcse
6nIGH8pRXL85QObZNx77hdAcL6xmpbQhSBd+cywgOc8SpnO20J3dEHp+uyVhKwwqtsmBCQh6VvKy
JUCgBBCt+J0AS8BOzUzzdoiSdS9xmidgpUPDvA+nFIti2mUB+BLUrw0U6jJhvGMDps6sKVqFXvno
OTCrhT4RjrFy6AvkXWvG5QsSjm/TbA8n4EhnVgB4IwwIFHFVv4DZPkR5ssvKgWyEzikCyj6Mg1Zo
Bir0LpU0v1lVs0ScDWcAGWKTJJQjpjPLzeyzg5C1j6Og6G4tTb078CJ3yEVWBiKQE4iCdnxFKbO1
S/HaTFaxA7W0Y8IpN3U5ZMU331D5HR6jMvmI5PzO9uF2tnSOx66ECZDUyvNeayO+Cnl/H/Q21/dj
axZnsw79s52FzXHyw5Xtc7IOrti3NbxhXem4Rukbrqx4puSOimzYIbR7HMBquVGmLq2x+GD5bu71
Qi4AFMEI5t8i6df98mKf+Ptz7v5DvWZ/qZForn8656CsMpg2HdIm6dC/JPu/1UjWL/py/i1tMzB4
m5n2/51ztk4hZHLCsS1mAQ306fcayWfaDedP/xLEf427/0GN5Py1RkJr7BjL9wL/QQ/7p3MuTzGm
pfwY595XSbOOLeuBs2of57lGISI3BsFxK0frpyDsO0Znk0HTboqN0fvHlvndqsQwv5UxGCStqHZd
TAJYbkRpUIhsE3fld2mOpITNbcd0Soii09aW1n1rWCXeon0cdqIWITX9JIgCdOnooOiVbl9fopPu
AkeauIBd460Nm08dyui+HHKi1GKDBrJgFBWN3e1kjDduH4ubqszSlUwGb62nOS4bT2RB6i+deeeT
6IL1OcBYvvHGZBvLTtsbsRtuYlqXAKj+u5GbIzGDfRgFLaukvWjIbpHlzJjOQtCVhLlxDs0Yo1GH
/6BVfr534XIFJd9+jtI8qNkD8F040mbydwJmH9Xat4bL1A3PcaGOY27ymWVwAab/tUX0dhIyxFfR
cnD3kAoLp1nW86de0zFtCQukR0aw2rwsn+qu3oB5AgOnRLjRPe2hnJs7RKQs8nTv4FTzdT0k0xpt
9qNVud+LuriqICRR66kj1N5rpw3vZQ+1bADl2if+Z11yxHT+JTNNmm08Aysjt10USMVTPKRHkUfP
Y9w2q8nXPkfpgfpp/S3V7ouT+x9l7qJTRPC1ivPWIyiQpwX8NdtIJdVFFDEyTzj1X8y8uPam+Fui
u2iRMxTsaY5FQYPESrASGJm5aR5F3zyzFF4VtllsElhq3EiRYm5cfSssHzq5nrLh84RcI/a9L3jp
09TsLVDaHJ35zABfpFqxQpd7XTZQeXSu7g0Zmd/tsn3qVfKeydzehpbxXoZJzHxFtcec8z7U8GNI
dAVbMVrhiu0JUknerrtOhyqkh3YGINeAxVfa1kHrfH8nvSxeWV7BB6HwPidIw3bSvFnlgJ4XvfDG
iJtk3YnmEySs4KclFYDPfgluO0m30QwpXYU+SjIf0lDEZwQpEprYQs0IRasVAgwrGKZ+J3tikJj7
nq0+3JtOfk10zlkk3kEjq6YzD7Qt4XDp828Cvbwrq6FlmuISoSgeXT87J3lFCp8VT+swxvUGtQTG
4UeTt09whnRa8haOT1z6m8ZlVVL4jB/amFlJUl6aZrdrtOyhkd0hqeRFS67R3jBBcphUDWm/t7sB
UsvAkLgex3OWmuzU9fRZNdGVI2iVhD64h7hyL0w/u6Lr2qWEESAHm8xVkSTz0sFHa6kMzIDSiA5d
HF2YXXRhZOVzamAf8lg+B8IIH2zXeezq5mxmiU1aU+Gvx9gQADZhD9d5SxqGxJZNbudOokxggzUT
XTRlt4MIH+eQnw9aYQPkGbRly+NIqIIRwG6rjJNDONcfFVrLDaEzJTFiXI2MLdhr4873eVpXfQt1
PbRu2oGgKyvqpg25bTbYnVrsk0r/hPRwsqPoIsIfEIwpc6E0r9Z6Fj3PwroPQ1530JQu+spUY0Vm
3Dqe/4xdk9wBK78xtXGgg/Q+hd/tEDxMQYWiFQxIf1Orbhfm5n2vmksdPmDglt4RLw+gLDe7SStw
VG6kHdWQPkROm6/1Fk715G16mU4oecmojCuiVEU+JJvUHgsCEdTlnA/MlgjAXGt1+inn8L4qKekm
g3AdLCflblTxe12SFlQYdETeMK/huJKeikPtNEht3rdeuXUHRkFzNd+g4R02Wt+ydPPl3WhFm87U
9j41HaDRntqnPrKOJbnUUGjJ4aHuLJLVVqkonG2YTU9ZrW9bqb+yrIx2owljzRv6K9FlD6bTX7AF
4aEm8Ofe3taxBMvlnaKy3sdNCPSTN9FqmNmIOra+m1zj+2yUl47kzB5R8ohYgTiuP0gEQoZbvYLu
2rgQ9oJmogS2jOfCI5Ug8UBzoaZggrV3W05TClV7qY90ziOLm8KFz7cmvC9FCuvel110OYPUT1oO
ysgSxYaZLIp0YmVb8KmoH+pgbPxz7c/sn+yBaKe6ISUVfZU71AqnA2ggv76poUyB6p6LHQXrK3dn
vSkiBUSaocCGCl6cPU/zdhpqtV3d1E9RYtw5eZeuitl/MNz2OQbbxwaJfVDDfpWyG65MOBrb2fTe
LGAvu9qvST8r3uq4YujmFe8NgzUSKZil5cpC0rOoZEPEZdx5ZATyNWSlp9bHoNOyUrPQNG38rHsP
RULMilu9Wyo/x7GPWFMLyTvrw0sDzCaQ8gliSIFMSY6IqcK4Y6zfcoKFngMtQedTRoMYQOGBJC33
LHDVxuWc1KCgD1p+NxXkLURa/JK45XfWqytLZRArwmRHHcFrEPZ3hlMaq6onNG7W3EPZKq7i3GaF
QGm0YnY+rYRmNGcf0qOcsk9gMQWqJwbyMDHJSZUXuhUB0WzLT0/LmfLb/vNQoHLSKiBszGhfEwX/
tYS6i60rvKm9/JLTHEX3pU0EoYoQc7BZVB5VeOJXV0UKLlQQ86BLWh2EenRZhl+pX630/6o8dMrK
v6+jsVq0/21cwIN+jAsoo3XGgjgkl/SBRYv586gR6xkDQ/5DtrFA7H4vow2OYqxev+cY/BgX+L8s
1kzmgw5oHgP2wj/ZghGZ8JdRI7W9WPZfQLhtauo/jgv6cmzwvCjr3Iy2vppBcQ6TDWqaeppSrtqy
BKEgbadH12QU10j7O+XhRetPydpZZO0xwLFdW/NpHAo9yPUcUYheB95cduux6eHYotWw/ZqEzqJ7
m/z8WUVyg9fiNrHjXT61R9Myb6sSRmJcTaQOMFqk9jMv8gzXiNTchybxYZD6GYfoED6QoPDo4KYJ
sCWMKzFmZ0daZ2MQG78qjm5aHRJntg4zKLMVFFRv1atxh/N2Y3rlJ+PO226QzhEw5o6E3jcvQjPY
zN9GBqRBYmYsfHCuEDmekUJDZLY+MvBwS/VtMLoXeF72SiVqb3aEppSEArD8Qx7Z9qS6RqV1lWTV
MU0QfQ11/Vn1yghGrWhXc+qdo6wuV4OszrHTl8cxa1GJR6Fcuxkg6ETVqE50GV41otCBPnYzWcP2
/EnWNzwa2/0+Rzy5ZZipGxMNeqCa+kMxUryMi/Tg+MSZhGY57VTeeOcmGrON6w68at3CUCBSegXp
YsCXkgPRoxbZEZ4gAwHRdW+PrrzRpWXs5jKWQUXMcpDlS+0wsJCIMosTaErjvWWN5C9HkQnScvGS
EuhqiRHngl4UGCBCY83ShImB3URbGwXI1h7I2qmz1ty1BQS73IovGIue5jamyjMO7STndZR5n+GM
/DZ2M5vNZGSBwZ3iDZjpaQexP93osYILbBsTc9jK37UxAQAxmM2dT83BeKfGHIrz5papgkc+l6M2
lgE/j/VKuO4p64PGsrSb1PDtIJv5TatRCKK7dLH1JKK4eBq8YCpkudHw8yDQT6Kj0zTokE11P5nN
ddfp+UZp3kSvU74VC/M3UgIPWeXbx9Jn2sLOEg/0vDxFkZm/DI0TP+SYl4JmabOmpeEyR0n3sDRh
DsTyQC2NGagunuOaEExvYPahBnvAYkUvlyxNnb60d73MYIJCwu6cdBOGuU8bgnMxW9pCuuss8OyY
OxgIIchg2kexNJIzLV1MZymGLNk0X91maqZX2B/bPQ6Zzzaf31qjV9u2JLEw9dP6MsLtsLJGwR62
EgcxDQhCNLffeWFu35p0vJFftEAjv/pg9dUTw9/9TlQbG2C4laGKubjIgttBl7oHl0+wopJihTro
mC8N97C03j49OPMkMiwxzKJbkptoadQ1GzUXnXvfxO2KvcN9VsVHN86vyeJeaZrLAvoldM1TV4j+
aUrSj0Ega7Y1LcgZN629oRsuOqxue99vyUeumezJRL8w+W6KCqHv7c8KZ9jKmKF/Ah4Jet/9NpO3
GUTxDNeuyd4bF7cvZsBDEU83ABRg5nMBF0s4SJ55qEwiA/dTr0gOmYox6MnYwKyfHfKGqafbICKe
Jl5Co8rOnSbv0jF80YvuubQ5Hmih2AYm9SkajNcxEWLTJGCs+4bYOqMjBokqn91jvVTpxMHMBm1/
018iEXvshMMORLOvCWr1mFy4+QGpPH+z1eOgS1KikNri1MX6HhNJvurtkIi3ojpHPi1GjFEQeqe/
bsf6o6EqCpw+WuPjFM+sGzJnU+TjZW623wvbhQvuPOEdcQ5onIO4nt9wvOLrLMY9v3S6VSZeVNjq
61S4VyrmlPFhGJqAuxOfXJW+MPZaJfYTTPTYjJC2RgusO7uAGm2tWG2/tZ6/d3PrCg7uTkNpIPFz
8pquxtTg/51X5UXRqom6zyZyrzGIt1TO06Fd1Gfdoiy0kxs8eBp3wYLXnU6qTW8yhGtGpO5ThGxK
MM9YlG0dErcUzjcGqJp4ucYNMmRwIDgvonTl6TgJGmRyjPQ/wg41GveYNu0ImW6862hJhZUiv9Uj
GJpfJcG/tdGimPn72giZ0P+sow/5X6Ivlwf+qI8M8YvuQZEiZgMjPhK13+sjUjHhD3qwBx0fXtBP
9ZFF5jt/Hdmsq/ukTVIE/baKXXgiNiYWdrVIaJfAzH8wZkSL+6f6aBHmmpa3hIlAbUZ49Mf6KIpj
hd4R1z1VVKbIPKrwhq74dCbHLMLTx9nSzy46Qq49cyTAaZrvOgwcwLzlhUVMJQV7jgkb+JNevcRu
ahjXg9GUXGT9VIId6XP/nBXtfJRWl0aHqp3Me2o1zTkYjV7jVPVJ6M1CKzwmk2BuRH0SG3eR66cE
qss5bb77uRTDZW2VtXPDTbDrRZ5+kBpJdl8e0YaRg9HFOz32jK1fkYd821ZTe7D5gMIixTM/b0J9
6l5m2yWpya2UfjI7PzzVVYWGMs8HtVGjD6W4Ioen06fo5LRgG8KQEg/qeOi/dg2JhIFdhcO8c20W
TEmuumuFfRZ6woubyO+YPShKbJ+wa+F8lG32IfzCaIM+q+z3oWVnrecrs5IYSmfd2baJ1r0MQoqg
N3VOh4GNETyUIQ7aqPUeDY3YJB+96/cxEv2+sXLzoOjRLjRKuH1i1C4kio5s3rKsdrZDOnxNIBHJ
z7BnHa9UuEPJEffpCnlxy7XAPMssMSS4NDt5HdWmE9ZIbBxnPiQ2KY4RSkdElWrnLquxWi7jh8mL
MZHD/3fzZF16/odnKw0Tz7yn3DhbcSR2U0gultagt0eEy2LdHp9sZYfrhBCnwBXOrsCOS4tBNgIq
2KuEVdZKR7m/8lNWYDUg9E2sleZZl0lypw2OdZsLkX/Eul0fsyrCA97b4ESi6j1Hi/QrR+zfU0un
A/r7U+s/2et7Uf+XDTCP+nFk4ddjzWubZOKSDEQu7+9H1tLt0UcJlrB/Eo94v3BU6RYJvl/S/J8J
SN4vpuEy9gES5LPI8N1/cmJxXf3pxHI4RTEFopKkt8Q+8KeOrigdIlCnsDnrqXWfFM2d2TgnWF83
yUiTNfS2OkqdYtKw9/E0xessScJt2As8TGMXBnrFqeRO1KMY6291m3JNla4RDHYriKwxblq9Ap/j
82/ljLw2aVwaB1/WJt609K52mdTPeeEFRjFeahUozSxH4sxbHtfO6OBsI1dnky6zpbodqis9z+5d
hCWXuOTyi3gx7hTCRHcdMtQ2U3dnNwg/vL4YVkJRPs91fq9yD1UIkMhAr5tDBQs/9FpJbYX73rWz
Dxgt3+BbkAFpOvvC0u60OWHiVDWX82Jlnx35Br+KzFinI6auGOB6H2LjwpDWe69ea2tFsPy+KGjP
hr6DVzN3TMSoPtd5OmI5nJtyU07x6zCzAGcm/d61w9FoSbz1dX4hklwO5KtfTxqWugnJ5XzRtcZx
tL0XJxaHQgdn6E9Ud0hgL2pZU3yMY2D3HhuV0TgngiQQqXcbw4PlDMYZnryUzcGtbR11d3ZrysG+
8TX1fTTzmyb3MK2nFop8Qxlbc0lradzeYJzGkh8rIWy/BEp7mAwGYU3ehRmpw9RFduDUah17+e2Y
NCxj587YVBaYHSbehNP68E8Eg7SNrNr+TrY6pZzhP0qtiAMy63aVHh+bxL23/fnV0GS+y6YkaLmd
4l7568JU4OvhXgQlErdB701U6NURSTCD7bra+RbbiCQ0cv26tNv8zgsrvjGzxzIpzrNdf4/IZDiY
vXbNG/zVL6ICBSKRRioxnkhFvazpkNca/c86GqyPceg+eneatk07MhRvvHAPSuMt4yPKkMBUqwSt
0TYaujsH7P8p8/RjH8fP5YwFsDLYERaKDC3topom3BlYYRnyhkZQJOEQkGF41cYzH5/+XsnwrVKu
t88tju1Yy+5IMOYuMbvHynLZOrQ4txzC1Cd2IwXJfFuvyQ9COg+10tWRIYFgpD7f8W8OF1Xv9LAM
igJ1v6hXX9yKvgZAYvjLizda00oXoVgbof3YFHG96ueuC5omz4+N2YFQ12hD1BQhJm5SRgxIMp+k
Hsp9rlR9HQuHdpHEsDGfDMJRsm+eicZftuwkmQAEjVlEvEBlvgnTuANbkFArTK15IGpXsWIRCil0
d9BnTz9UnjogPYavx88SVAKJMsciqxHs7nRtiIErVJ0tJgpNoJnlno1jyOVlqrE8dWxccro5Eomh
3LUvm3VrM6oHZrGm9L+OiaUsmv7BGOOTU3fHwgJiatd3vdt3bNiyHbc6OQ4ZxpY8Ma76sXuICicP
0kldZ3Z3k2Dg8ZLxkrivpybEppCAVQuyIv4Geuhoj/p+apr71hN6UHVghZlWWPh4xosEcaur18U2
m7yGZma8DGvrJsmndEMk2cY1y6PZcblPTYfpI3yJpHGG73QFjuqaCEvUK33zFhLbRis2P6WKSQDJ
st4G9sZLk7nMYyZGxq1Z3hfKPo1auczeedfAH5uSb5SFzj6yRW7t8F2ZG1VAznGiYv1v46Gj00dB
8P9d4bv0I8//yw3Og367wQ2sBASz/irW/KO2wUSphSYU35tD0MzSD/zQcPm/4LfDO4ObATDIl+zh
96Gs5ZkIP/kDY8Jixv8nTccXo/UP1gSSgL7cCcgbiNX5s4YLMofLSt/zWSLWdPOOMZckty5uKkvL
lQn3H/LDi78Yrkh+xXuVLTasGT+WiP2LOveTVZklbwkT0YmVam+SHjDZhFTzoU/HxXk2H/KRAK2u
928Sb/hc2BErt+aw7UwWOeZKNmw7nWqn07R7NO9jqe01mnmnZlrkxsWFjIebZOn3RVuvJetFV2cR
FSOztxgNMDMCysOwgCn3lTnr62iZIhBDl27pIPbTMmHINeMtZuSAa9g51J77xMjkMNfDdxSll3jh
UlJ9+N2efa6vdplhlE7xUZMAnizTjXiZc+AAqs6zpm1H9JcQyYx9xVCkX6YjwzInSSytxjzI7ERH
07DpSNddN8X8mDFkgcnHZn+Zu9TLBMZkFKNs5ptWJ7f1MqUxauluYgY3HgOchODndbXMdBCzPmcM
eQjKvVN5cWbTRpxcFjrbbJkIMQE/DMuM6AtdYGiZs9YHmyTyZZZE6Jy17mBIrRj9X5QMnDInOTSS
tBEcS+9T1nusMZlOQfn6xiIO64GcXnFTchMZxmdrakeD0dbQTheEQjJ7W6Ze/df8a5mEFctMbFqm
YyNjMnIGPzItH554PU+t8zJnwE+Q4uHdZswSH7lf7oZl7ob+Im5gmC1rIc3Mu3lDsDfrIpgpy+6I
UEQWSaMkPyhtPFtDsMYSzPOwtGDU9C/pVdXRTYp+x7VfsBmPS31j61QJ6NL8u5CJE4h+tC6stotZ
7Htnsnf0qna6TrtR7oypUCltVG1eYMnoHr1CeHsqNv3p3+Pw1+MQCerfdzRAXV/7j/q1+S9HIg/8
7UikqUG0SgMCKpM/6Hd+k3vpv/gkkxosj8Svh9tvR6LHHIYH6cIHvvSrkevHkej+4i0rJWY6SHcW
vfw/ORIhwv65q/FwNTPqEcx1TNxhyx7rJzNyLj0G+r1HmJyeyj2u4J2SqCrx0J46t5/QbZvNBean
YmfpM/fq2F2TlcKqIs/eavQ560Zr9tQNzsa3iNaTg7CC2FbViiUJ9GVtMNeq9Vh4V0sS5DBm15X0
H5UDNoB8ZyjM+nyC3nXB+3Zx/7D60NSumsrH0JMFEhzvcq4nBJFF0u9JQjrKLCaj0naOsxehnrDd
S24VFGrMTNrIu/EHN1nndUQ3Vb8iwsOM6shvfeaQJARME3zcl3dovhS5+ziGUMbIQ3/y0+JRkCrj
J2Ai3PRec7LLFj8xH2H1kNcwHDQDMGBIMhMqtTyPt4bUnk3CqThitjRuRM7U5UXpFk9o6q7YXoNS
ccZdP1JU8aZA3EU5lI/MPDS33RCKqQLMBCmWtpFYs7CaNp6Xd5u+X2R1MVQJjM6ACq19oUAoUIlf
DSmlm5wHY+ck7TYWFQ0GKY1OYuQrzZyvrVB8N9vyPummLVSkjBMuvx5tsZ1UdoiAjCEYaa5F5z6o
KiRWx56eRIQMNxqcck3HyyY9Zz1vRXh0ctNl9Tjf1GPubg2VHkcj/VAzQjWvNR+EqmFmpGaI4M4/
x71rEqvr7kdP3lVXtjoIujqAlCcxkcluUvZHLpYfuwIg1c7QP6y239Wd96QEW6euys0gxW6GhjoP
kqz4nriiWMctSlazMkjlAw+ls9hsp33ENAYxcfxW19YHoogPNqNyLyv7akFrjT2n/aT3iAyxk32z
nASK4OTRuYbRqsirI5CYQ+oY8OrUtvYkLQEow800jmS9SDHtvC/Nbe507WbotZuoHN79ORnqFZFy
8Uqnv5orMkFdOi5bq8xVRQ/mi6WuNwlXJTbNW9u2tzeXtq2ox1cge/ekjK/7JtvoiwuEty7vI/+x
sNCqqaUBZAVXbSJfjpvE7XCZAJJipULLiAGdIHUnvfUB9wiUR4su55D7AmhJYzBx4+4mLpfPhUta
uMeoYGstLSqOUX2rLW2rDq3rNNHJhnS0/8veefTIbqRZ+680Zs8BTdAtZpOGaaoqy2eZDVHu0nsT
JH/9PHHVku5VS9PQ4lt8QC8aEFoql5mMeM05z7FUa9vT43qq2Z1AJx5qzPmruJfQyBY6FUFvFenL
dVXxpKSqcSbw+yakk44LXd/Uqrl26LJz3Gw9XXdX3SZCgLahIfe8IjxMTnWawhwKAE27b1afolNS
Ktr5QhQ1+VoI4bRJY6anun5pq1lHQ+xevGg7mrJ0eTXVmKC9TFNSzuQ2qZoZ+yEfg7EI32Y1XzDn
5ipUE4eS0cNUiz2CIo2dYXzWouwrG3hkkBfy2VYhfn5zKNQkg2KOhPY8fwDB+s1X445o4nNnqQlI
hRBEQJ7FLkp7hZey5J6e7CuD2YmG1PI0jZjIPDVYcf0lJPmPYcsQhkgLWwYwsRyvxjbzGAwwnMn9
5D5u+TTbIjIObY7ySIS844AOwQXPy20V1lz6CwbvrhgJC2AKZDXtwKaVBytemhCjJcMizCphMM59
uqmaXuxJuGc9HjOk5nsNVnNLYvVFzvRJD3USm2luDHM8orMxt9ayTMmqq9o2va4no33OvjOTnO/8
pA6S0vALU+k7XylRqKVGQZe87/yl/9QE32sCFZD01zXBTf728fUnU071VT8WBEi88UezaeTu/XnK
iW0OwwJXgq22Nj/2SERSYdKDeoMJRlez0V8LAiaguJ/pnMjsZcrp+H+rIPhDBCTrH5VLZXh4XTC8
YL77Q0Ewzkwye+FKAr/HbC367Kka5zsXWuE296PrwmjSjyoZy1UyWw8WNOP1iI7r3nPlNy3WA9Ox
BaI5DLNAfbc6cvJV4SI5IH3svY0yg/Ukxf44lHfCz6Od7lfhTrIx8Ao2jQxE3wcruXfG5Skuergh
eT+szFqspwoqMuqwo1V3Bd8Ruo/ll8GSm/f8rI3sWbu3EtezObAVT1nMrMPFuaLEfhQOJJAyiz7T
zrsSbXiri+k6jrp95Spa0zjfmrGuB4IsISqX8WYy4S5QgzkrmkW5KkhnDiOTjQ6C3GZID9RR8Fdq
Y2/E6HT8vuq2GdsTPM+1tbWycOdk33MxCx8UkXiAJAsSyt8MWHLIlGVi0toJQm7AL0YqsNAhxeDk
Pdv+Z8F+qzUZu3TF0R3750HHdViD6lgJi0D5YUbK5oxkmNrT/DWC9xwNN3AtjaZIj8+RgdPI95Cp
eXmzEi3VUbLsU9O9pm86uQKfUNWeK81+H4b5goJqp2VkqVuoUjvjAEz21pwt8tpt587jFQoxw6+0
qgXjm59a4d85if6eTQvnke4b4D3wq/uufCxM8ZJ6dKO1y1h1RFhdDwb4ycm9MFLvgcuoXDuLfoYc
grywTOGDhY/11J7qQbuI2oz4rjz/Elr8Oo3aQ20Nl1M83YFsCnRHex609CP3U3tlE3W5buvIXS15
BUMAOAyzyXusTQlKFv+Kt+lSEuraqKGs+GbUdLkmf44cloC6DEW7SO6rON07qQfSKnJ3S4rtsi2r
V4tm2Co6gFbz9Iaemc+X0TQ0YWXGbVbBJss/YYU9+a0FsotK2Mid4+DM+8rpP0cNWacZWyqfEMd+
wuovbG4MnRWVkY3TBsVZvCIOK91oMUlLs8U4Wvezc9rzIi2lhlkRKgAwNfOud+qtj7x61osWLXZf
1scwktEJWRRCqhckWFRn1gtxhYxBoefEUGCRWYpHrsr4dpatfwgz5O6V2007oWwL+iAFbBKD3Jkh
BsWj1d/sVPY+XDJIr7dhHKbzFsB0szyOdkXja4+TR9hsFGbivgwt/PtaZJ0TkYKNM4Z7HZ4AIzix
mkpU1xBGAbKkKQxjfwfomNkjI6FNL9v8mDB02BZjaGxrab1Uo51uF5S5qzzmI11KVh7xxI4NLd6a
m3YDA36692qK4SqOr6d4+TS/AwQib8MeLtDZmgwE0ROgTtZoiWFpo/jeueueJoFWtcZppntPiV0G
sYevvveAyfcEM+LLb7HD5VN1kydDABCNma7WQa3tiLoe+6NgnXzKs4mwCueeV9fYIUE6dWl7MzXD
o5/5+5YM23UUyvfOEWfmnM+FDrTCDEl4y1ELNc2yBI5MzjaYhlW1sMv2LCi+4eivyMpAzRHnlzoL
XP5ftBkJg5ymt19qDc2R2Wjb1sq+ETLwWKfuuW6Sq7wV71D4QFQU7rXTA0wckKiJJqYEbNg1zH2k
rfXQeAdzfueZ5SVvXoOkd5G4kt3HYhwxJuZQ7mzpoX32KB8XTQCCAHGaAnuAt4bOikePTubUxYym
I1TISdzfpQOngGkcSRy5wFhzmdl5u2ar1gNWhDsTjgVUggQ3z+B6KYZ9g/121n9p8dIHld+QGTv4
TL+BlpehT5QhHJ69WcLFjcI3hPiXLMQftdky6XzmD21s0vu5niZaLLmnGC0RlfgqHLn5oKxn8tNi
k6iK8jHxnIu4rj9wS/TryNSLh6ls91ppPrrg/aDG8m5gqAnmgYLfCz2ODXlwizrchM6wr1Nuh7r/
8E1iq7si57PWFYO0V7keae2x1Q1823S+5VY4fhcgKe/8V7Po+v9HRNf/D3ltlCJ/XRFtvvJ/nKr2
T9W8fOFvRRHCE3hoOgTnX9gBP0xJBMJcShv0Iv+08f46JVHpNzoKF90BHUBlpGbK/yyKBCY7j10t
bn8wNC6Lk79TFCGj+SmHQ2D5ZaAK2gBmgBBq0/3jjISE4rTLl9K8KRFv6Vly6UbZ2hrnXwRNf5mh
anqIcn74QfwlJk5attWMhAg2+Ze4eiIPMrSMmbyxAQYe8ER4Ymsvg1LEcOabEf4W6aLQ6qtrcrYu
m6zmIWgBgrOiW0uCA7ZZa2QXY2v7G3z7pH/MXBaajSomlO2z7Op6XXgxjnklwo27/L7mB67NOr/h
mYPzBFB05TUmKc+AstcW+lEEnt5FUyCeQH68LmFSc5Y4CFezMgidMaDS7TcDJuBNl02oEInR9dwr
Xwz+ij/zORZ5tWYMck8bdqcV00nT7FOf6Dx0Ug25Pf8AQpvjsoi2hW88AgrJuZ3HcWMqMtYw9reQ
uAMphiffa7/MyH2NivmlVcOIDMrqhmSLG7sNLxwo0wGl7d7xw3bXERC/ttr2ERTRPvGoffI4vkDv
9I7sJgvGQkeeMmIazqup3miDUpLSDgZGv7waBWTJRaTXwmsDb8ZqptXWpnGy18E1HtsuuqqmYiB8
mKq4GXY2biHmDxpyZeIRJJUa+0B4N8h07rW5ztdFD5rH9V/9njmANW0w7SFPGkS24gOxQaBFVniX
7pgAfPMAya7ghl5p42AfWOHTokHPM9z5ZEJxhZ8iGPYbSZAZ+Q1I9DTAerNbCnEVRXgTe0Ps/JHX
NpYZkybHHjd147+WCJJZj91hr8MPuHTnxGE9G4HHhuGT33dyOBg2Y/jW0j+IO8RYIedzniQ24RXL
tTmxX+3idITk3X4auflpyhwq3mTsq9w/IMAwQOTJHbLy24Ksk8mtnEvXWqj68vJjSevn2CUwvnCq
B+B0XByNm+3lYO3QUq9NWDbM5QF18xFj5wvNZmtMcfNWplXUBoun9fPadibWAzqQzxHsZ0vlLiTG
J92VgeFJJRFtp2Oe2ywcZ6xtId23sD6l7h8S2wjGhWEMcUr1eM5sSwlZpYGvx6b22AywnjZZah4s
pgkGmvBejZq85g3E4p2RaV+ez9vUgE2r+DQiXR4fSI3uWTDLTSUz48AaAhG2HC+9FmKhho7ZTjJU
o92YKCiHfHFSt9tOUX0VJXq47sD3sJRnIdKxpcDh3nd7Kftngl8YFPi0UqlOgEB1lTk8slaZ3aC0
uMg17bDkMWG4URxTAs24A0aAp5I4l1RCTp0G446oit1U9V8Z8MX1BLS5dOpn2W5RgRxiwaKl1/az
476x0Xld7Dlbuzmc+jl/zcX9KDsk1cOxrjARacD/ynZtBox9Yl/0jCasrbTEfjStAPMo8vWlHncW
AZ+BbiDqj0bxWrJS6adKbkKtbXHQ17vBKK/nSr6AdkXcPYtz3+veVa0RjfJAoM868mjF9vCOjPzf
HaM/C3XUKcp1IVAvsuCjDTFovn88rruus0Q4O/ONnNfuSuzC43RfXR1SRGNv5VO9zQ6oLlbhBYDA
YZPu/l2mMtfYHw5xfrzvcu/gsLBp8n/+8W042KPmDMvN6L7V4cEnitafXrWqWP1wkd78srb8B4re
myop++5//uvPfo6pG1hdTB3jnf6HGCy/585KSCi4MZJL0sFWdFF+dICz8m9+zs+33y8vJ68ndyBz
B9xUaoPww4agYc5pD0as3zj2ReuAT2DyJZ7+779F/Nl79uMf84cfMtCBdyZghZsx6M5IS7bjXv/0
NjRL1ZUS+q3u2i22kMDcP568Tb46jVdJcO624fY2PcrVHsbcZb/hP9xUAf/bnv/v38/8mRz0y4ug
kEGuhfeepc0ffr+clCVIm7pxg3fmxAhhq18ZT9GRYCImgpt5dXwxdtP61ARyb9vr4gL26C2mggAY
xvr7r/IfAaHKcfvrQlLJno/VWzMkf6JBUF/6WynJVg2JHrs2E62BUv39vnAz/luFurtA6SmzOCB+
n68Bi2G+hy6BBwo+qrJz/Tpfg0HlgXv5/s0cyMF/p5IEefXT6cB4zWMdqBALutoHUuz9/DQhT2C4
TkLL9cy0l4bYHAzIR2XppSxOcFciX7lKYtDrjt3uGGHZUNCZkSyRfmeF4i5rh69KR0k4ASpPx/Ei
Blw+MjTJ8OdqAM1zwOYegPPFVHBaMb0zlbrkVofXBwydNIIgjNzLDkg6MsRb/LGP7lw+2UhkuZgQ
27L6A64OJPuQAVuPNXylDvh1ytJzCzwOY8ktir3TMIOTAtfOOo3jDYC74y07uzXWMokebYCMGn/R
Nm/luw/6PcS037fWqxWhogYNX4ZO0IOKH0VzCkHH+9UU4NxcR3ENAJ7RXtVctaDmXWHvY8M4+Wjn
NDRsKSgUZdocB3/TUImSgPiCHuCGGMcripY11uAdjp+tBeK+NTnp/W9d65tbsBLDOuaGW4Di48vH
qySe0nQ8aJ2/GYHnx9Gy05hkFDWO9Lq9nzsux3BKrtnOM3YEh5c6j6St7Je5uyNR8h00xEnzylMM
tn8E3/+9Sm/n/dCwIQLvDxfxBGVji/Mc7o24c2NEix6BAOBuypXI5RXVK4C6ublowuzNqsSdT5hA
DC9Lpb1heYFJbxabBTxNSy3VEUOQ+hNRUOFZFFAslbm5TIxVQ3BBmDF6iFWWgVs0V4lKN3BkM93m
8xBuKqIPYH6RgdBMO4+jnAVI/WSayLULAhNK+zsArFUxCt3sS5r6TsUrpH4ZQ/xTuwSkquwV0u+6
KrR0SeAbknd/6g62Vum7ihhEwOv1XYaZ61jif1t3DZMpUBiQ2e1l3IwzotAcGugKST1wP2tJ70zD
3GWmTsGEvC+lr1AhSgi9sPISEIY4FiKtuwIr2Wx7T0/XgyvFnigx4i+d+T4Rc6Ny+qZVSIxXQEYX
w4KanZKMukcPhC/oQhZqaW7eJt5ck3X3TcLyXWHpe9DM8KNC6OrN4nox7UC02anpMol+fFTI5a9k
EVde2j9pkq+7aod+BI9N7FIDWhF7HharoroFEnmWA+yCeuzYrdqOsV5ikW3SWryDGMU2T4TWqiZP
b9MJ/5S0I979Kf30tQGzk2ByMY5xs8FJ+RXV1Oiz+UjT98Xvj76tIg5nni32wzXleFxY9cYuU1RG
GUO9kdFznbcby0sgJhZHXM5nMc3fBlc/pr53RI6UBJM2bJMoPieLiYM7b06I5pugGNlAm4PmXFV5
eF/WykTtZ4QHfNfPCIvFnFE+y3ThVW6KT61So9IJPohLDmWQZtMh1PJdqvvJ2l/Gl6Wik8n76TrR
3fd4nN4ngf6oncBREGK6t5zR5ivzfQRbeWU2ZuDVmBwby9yFlfncN1jyOKYYP+ORiqhbBid5niOL
b66JjyRsiGfzU/IG+ndtaDed6czrKdQ3bPKerKgZIZEwQjUHfS0gLlmDZrKuaBE4tvVDLJnV6uiw
t5PD+z6F4bOVI5UK69Dl82UFTaYxNvMlj2iSzZhoeSxb6XX8eta3AmnlbgxRUQ42yI8sIS0bgleS
LA6/23iswUhNBVyXGQiWV1gHGeunuB/JENOPvfQWymgflipj39WgI4uM9XsZ9Rd2GT8QQaZjF3VQ
KdBTeRg6SYPVLpPBY7E5Z4haBZPaonY3+PnBBMYxnXYrFTxQq1CKjoooqKEHPog+CWJFGyzBv+x0
RSAk24BcAkUlRLKBknjGuNKhC1XkwqQak//UIr9gnlQx/de1yDb/x6ZqMTRQdZQ4Y+bD5//81+9f
+GslAtFOwZqoNgRdPNTJnyoRAi910HSmQ7GiXAu/qyFVWfCbGPJHULNSBZkCOA8SdVaErA7/hhoS
X8W/lCJ8H7okKhHqer7vz6VIE4UTWOARQ4OozlIpmkekzRpjuJWbdu0NeaTonmncn21RE5tis1bq
XbZNXoFFvNPGktku1nLil1vabvHEjt/dtKDj17VhgqFgeRgUKjmQAU277sVQbZvQH3ngUWqnSLZJ
XHRW1uTFENfdRx9ZNx1uGTjknKxcJN/U5REDePfQJ9NTqKbQY1rft1WMlF5L/L2hRx8lEvLJ0i+w
Gp/If0E5rFTmepsaUHIpsGok6LlMdrPSpEPOuEAe8hL25pF1S0eiI1sNYClB1JCWOUgUzc5kvztt
Bm1T6d5b0iMD6pMvp3K+iNlONziQOdORy/uT9VyaVXmsB9KYyOB+M8f4NlYae35N7GOQdzg+2Cuq
PBanYosDkX5LGwSDB06cDRQOyWUQVRgvQ6QMi41/Kze2kwLIVXm9Yyv2CVEXhk0W7Tl12aWONkwi
uSybNNGc7aBN1y5n3SoBU5eAqxsVt06YRoWDmsO7rKHapeDt8lEeLKd/Ja+QwDYLAt7AGbYoJp6n
z2giU+ndTB0sz7qfFuyytOf+ZczCaFGboxDpzbZLBwI+4c2sIIVMuyJBgNUkqX+o1f7JysxHrKNs
ANRuyvRiatbMell0d1UXnLTDw+Dk0YlYhPq4fN9wxVq2R3u6lal+ZyA8YeDhIaRBgYQANTkrZRIu
aJZmloYawooIqa2detrYFeG6mlbdRGkYrhz2bqajP5BUy/WV4hoZGNKyoRNDyUs8g0ZKp6faTj5d
q7gMtRThu1rvybaHtawNb0Kt/lJhvWhm/sqoD2gi28HZF9WqZl9o6uia1AJxYpOoqZVis3jBjDtt
Yt1YsnZ0QpeEY/aQJCXdF0v5TVcbSkJlnZWjtpZ1FsHzYpFpsNC0qThmFpw5oUMzC0/kbq89rTsD
Sx8xvXbRsBrVWZFOrEpnybqlCc1zVLBFjdvwIWSt2qe8QrUZicBSO9eM5WvJEjZkGYvOkLsnylOM
DIz3SFJ9p/q4k216iuo2MEPl+XHHa2mIO0tte4swuW1Z/0L1XQN9O0a4bQZHXtSsiaO5P6vRaVTa
wBLs65h1ssVaudaxR2Td/GwPnrdLI61YZQkOYI45AJGNBmxixtEdTtw3Y9I+t6yzLX+8yizshGy6
B7XyHolf5K6VBxSrKvOZJVet5XfACt5ri9W5q5boi+PtVNzgFvuxtw3Vqp2U4IJ1EzEcag2f1kVK
hme9njr8GGpdr05cTilyrjJ2+dXANNTkxgwG9vyRjhPFIJdC5yXgTLq1ZucqHfwPqjc+W67zaDri
yhINTC8lI8BIGm8qdcS1ELnGSL830RzkSnxgKhlChw7cN+x8XyDoMpRUIVKiBYfP27BE94Yu3l0l
a4hM7woYMET3CE01u4Q7g9g0qBDIIWbTfTeJdt0aSiohWAHPSjxRJKZAxjAHGQbutl/C+7RZ4L+1
xkOpxBcDSSwfdaydHCXMAGILMTN5kvEIdSjeg8D/tjCO2/ZoFiEj6JAqGvg5SWdr/ooZfvFUgACJ
rhYzAhPljGq9a1/YXvvgK4NFq6wWBHC/EirloxUcLZaLyzM7TUKucWg4vdasl6G9EUl+ivFwWHg5
JjwdhjJ3WGV7zKk7s0hAgu/tW7wcV4NPwq6jrCEpHhEPr4hOvhUsDewjtgx1porDg4WzhEy2I0Gu
51RZTjIacn6b5dlXbpRmPhe2vK1lesPngRdhGh4L/CuLjUqqV4yNUS93yFYHhqn9fYnrxXC6I5vS
C6FPj6VJihfuGAeXTO2zcfT4h0kZaNzcYUSsTDVk15kI7DHalDpmHM7YDXFQ+xIvTqtMOS7unCh1
YI8qw46trDv4dzDx1OlhUbYeLcNr+93ooyw/cFjMA4ryBMA8hqDKwhqU6S36EWUXiiZWFspA9J8J
0XfxlUpI/OuqLAC5UP5ZScZX/VaSMedxmMGwG2Q0o4sfh0NqbuThP9Udnf/C/mE4hF/es5kZGd9X
id+rtV+HQzbscmTYru2aLO9Qb/2dksx1f14AMh3y0Uf52FxdA4s+c6ifS7KswOQ89aF7IhrnGPXN
WF710pyddVqMdU3gcjKgJJBdR3x2EU3nylfY7cqnleNaiF8mq7snMXrexF0JF60fdo2MNuwEaMf1
0oTXnyOx8NN33EAJD6qdbGetIyaWMFe4SWADc+2lksUdlKAnOVRGdtuD6bmH4LL35YQzNQQWwZMc
6Yl2goDpyRVQLog0WvQyQ+W6CcM4cW7iHPygXXosfgTxSdbKQbtdbeyw0MsHh9jyIOScktsOPUd/
3WhdnJwHLmI0Zpl8ykw/homUVXtS3FJUBHp7Rb71UQ72nR0JMIZuedaX/GEQuEuquP4wlRjciYd3
wpSTddunnGfWe6xyfltNwJIz0XdP5yFO7LVFQaiN2kYrOAIipYEWdW0wDkBd0ZWu2IKxVLA/j51V
hirVvsfJA/WsJnlKSz5N330oBvGlizTZdoxQVrbX37oWhLQIDfIezQfNblRnrzNN6iqTyV5f2Bc1
au1X5N5DkxtmUJVZiY61x1KSmvsYXnI5ju2mkMnBiunD7SJ2YbGQEtLpGSF+UPw4OGbkb+ZtqHQP
WCRRiAtzX2UsvUwvk2t/nszDPBosLAf9U4eQ6A1dsdZCO0Rf3O2K0n+L4uqCbNOLzoL0mHhYWqzF
v4eRNq59YpWnUPtEKRLk+nQAynzCgIRELmw3dYvDpCjBundh/a2v2BI5CeRHTDcfMvYnZjzlMx/p
nvSi0d07qvTn43UrEBohx6lOvZ1q1I3EPfisdAkYWQF9vAtrjfk5NypjhhZWoT12CgtF2mX1PKQm
WMqoP/a8g303BFDj4APa2Aocvam2SykOxThfT439ZHT9ye+Th7Qn8TTRu3MRxXcxOFKUy8POiBzt
wKFtrca4vZvd8AFmze3SDDwiRlJvwNejnEuSeUNux80QLvs5D7WDNWkfbaPFG13U2W62uaQWw8+x
RDDgiOxu54G12BC3vRyr2r1OSUwPKs+W63oorTWzlh5lmrxEov8Jav9Ihw+Fu0uunLRmqKC7F8Dp
DRSQRCjPUQMymihGYaRvKF9kMPv9td+K5xFR5ZpHHW3iXDAgHJhOzFAWsrq6G5aahFSXRDJGyK47
LSvirKEAZeOjKZdyrwk+naEq6bo8+cpnc+FydJ9tad+b7FMPY5WxAW/NA22ixTzJu4xHmFcOlkvk
R0IEskmvk8gBSZ7dFfl4In5WYwHt4lpPQe0W/o0ZlU3g5PQTEqEX6rtJwSudBwRmI5p5/Vtoilfd
yj/wHx4aaXHPRz39hGZ+iU47d6nrr4uiOBeyN7emTyrC3BtEbBYv1SwumC/ONkMSEr/F0RWTc2ul
HpORBNjieo6bd0uSZWDaQKyVKXywmytHm/rtktFdjct7a5kvDSCUva8T/FX77s0yjCU8ihitfguz
CtMOqNB4/sBX2h10t8d61gO1qfUcGV41o3XKUs5a67V2xH1fQLSQhEAHxhDKDUHvKfO+usRmrJ9G
7ANbNsxf44Lak7HqVZqazD7Bfu6zrPQBuAvYi0MDc1inY5NCooLiSTY6COZ6KO1TMtmM97pmQn5B
DKplNneypICZPUwjBuEsWVJOau6Hk9qaN4kN0XVO4/qqcOVhLsLXopzI+yPkcwviJVpNFp/Wuk0/
HLekCwvTZWuXYRAJa947ZdscqloEGQ6TTew6eeB5NH6ch8uuTJvX1rODstXACoW7ipL9NtYScKtV
4uPelfoKOYPPmLEkcw4qwi05myBBG+PQRNZlSqhp0Bept6NPxu3P1mMdjvN8ZAb/CS8V5m7dW0eT
kOC1jSGAlLGo3MdluTwusuC9kbMW2BiAWCPwvjII50TsxwMJ9CgBDI+QN5sQ9Nw/hv5yoSVLwfSY
/ibMlluSw4HEuPee5jqXS0enFw/Ybaj/b+ohfmC2PHMhGnmAkZ5Eo1hr16nVfzhNAfnMEd5u8hDT
zAY0GszdxEvl8U2foP0JsVtmKJ93db1cENZ4CR5gg/ruZiRZeWuljU5uIe124rYn304/PBxSeRcy
kHB92lRHs2Er2HixvXkbOhEr8AUPqa7LszFkb1WmkYST3GewANY6G98tKVkAJkX9lZOFFxW6YGUi
SHJMBN8SKNpG5vpLndB9jUNyCv0B946hjxvZtOG6CrOL0iMZMp3S6NzEOZb+8MWhmVqZPLpuXnyD
IvdiW4Bg4/5Uf1dm9MVHaJv+1vCRSTA1Pg+Vh+4oQXdhatrtotf6RsshnNZoLKsqu8jx3K8Fdyo8
cA4ww/hCPgo0Krz0QN7u9GQ+YqNlV5NpuG3Lp2JuT1Np4omaC4AvyJ95Q4/Ijy/snHFz7X2TDK5X
DhOUstH2YZd+IUQKuqHqd51bb7uafwu286yn+uUSXRTMxNsBHGiX4bBN3wm+V6G3uFhb9wAHUH1q
vGjdOe1x6SSdW8bbU9Cpp4x+poXPM0lCtMWm+LIIY1ghybpP0oj/mAN8LABctfC8BZx8bGJesqNy
e6UCOyQTsS9UOuhnnONiV8V6qJNrp/Fwjsonw+Kbk729kmF6kTG12llF/yGwvUUkGOEgBmbhFphr
yrNhceGxFNnZsVFsZg9DcJY8thJCLVLxZK3BZq0T/5L0FxRdmL4GjVxHF+cyCqViB0yMvtRMt46B
apnuAi8KaQsBBERmPwtiIzx598XY8Kd5JWGe1J2AaJOtVqLDLEV7cK34KOf0W0wmVhBJ75pVza5a
dh1aTNPbtSReG9Olp2UPTJqRnwlRrJHk7VieAeFwKWSs5d3y1MIpevec5FKYA1mMoR7zZjVvcCKA
vJkSzGytj+0Fj89DNDNWo387GzWsZKcCBg3KfM9ucG+CXRz7bBN6Vn3LJqmA1lCSt7xNhG1oT/FY
VfoaPEfXHtEfSTDLiRy9MajyUZtvZ96dUrcTbSNClCzR4rKm8vzsWIHKWE2ZxtOmtbvFj2joKy3Q
WNJtykyTQSKqjSiyYROO1TNgM5y63tjQ/0fGNjfTR6st76VwpgBlybcmbZ9Egna8oPDSwqQPENce
Yle81eV0MyU+SZCuSj5L+mJN3QXDPRMNTe5orDQGI1wnM3WhzsUGusjh/VPvHbX54BPl6ceXTUsS
Rl6LzdS7p7FPrv3BvQSThaC4S98MfwZLKy5B3lLdVPU7dwuwTSDPWek9dkkijv2gf8HMLZG469gL
R28vxuEGAyb5QzGZmbQSK+oauXHC8rOVBZuaGPsx+Z5B0zmXosnvzGzclj1eSbuo5J5z99KXSLZm
m8sOlON+GHmiU5MfaEM0hubUrTqowiiXnRXIy11tUu36RvaaNclaxNdZnXECzCs5sUtuwTr43njS
urJhRAmGy04/wYYi3zBwnM7JqYr0k01uRl6OJ2Gigy5W2tJs2laLjhgfnjIZHfo4eend/rH2KyRL
i7712t3kuPcotNbUvae5MV8TdmV+p3EyFtFhmd3lAJr4lV/wMVatvUstuI2Rj19wKryKohqfioVF
XdWkFxOma+D/abWei+VKjgDLG8d4rkcdDVV2K2X5ltUeLlbWf0iXX3K7ukys+KmQzED/09B/b+gV
Y+mvG/qrtzapqz9Le1Zf91tL7yPdcFFueI74p6jjB4O1RVYGvTsTb6Xc+G3J4qrIMYO2/XfU1K8d
vfvfBlJ8wjQ8pL4u+uG/09Gj4f+XJYuAX2GRhWn5gl/jD3qPtIWd5i5mfF3oiwivYhNiwGTogKTt
tiyjmwoA2XEZGufViYVs975WEqXLNYh0bnG7sx+L6t73E3uhTBkkn+TS7Z86i5TmQXVOWycmakEk
2nky6RunCBlFbprZ2pwcnJmMwxjPDaPzABD+TUbLGwNUKJ3TndN5BXWIvjNVdLs5U2cZmbOdxhCS
QnuMnZQWD3A2XkfuKEanb1nDar+RXEADwB+ed4AK8+LlDM089aQSEVbC1LQH/yAiZICjDPd14dyJ
0b4r0JxuMsv9nMPptHhttPFH460pm/vaMl9jDxVjFbYywFvNFJX9/85LoNpVY0Wuh7DvUse9JKj6
Gfp/kMHhuyxaKJ1xNqjxOAVjx8UmgD6haai9db1kd2NTP8L6ra+sFvsxzSKcJhX/y6XSUXxjk2gJ
blv31hSvpzLKL4lz3C5u/cw1i4LBQCE86O3X0rUzOhIwvV437HOEurpPAkLWb2rXTYNZ89dC4FXB
TEemNEzgOOU1aEIDo+nogaMp+ScBYWdV+tW5JHzC9bNbT8Ro2/IPI4sfnEqFpfUp6D87PCS1sh4r
uIjtkgyKJYywEucyYpxFNrq4wzX9gLcL6JDtfjpVebHM1l09eyRv6/SXZQkiox4VTiqaLlBTrHtd
AlGsyl2eaNPKFAMNIuRVjNfn1OnyjYN5JTCmZOvUjExtHKiaJITkf9k7r+W4jbVr38p/A1ChkRo4
/CcHcjjMpE5QpEQi59AArv57IFsyJYddPvc+cNW2TM2QHHS/Ya1nhbq7Qarbn7q5DJdj47YUo/s2
cbIHd46SqpPueup7Z2Gb4SmfkEZUGl1kPHb3xBC9+r1Cix2yjse6uAGB8ojE6kn6wdKoxQtR5Nja
57eh9zfa6FJNTVdpwkAlMjaef+bDWpy4tC5SLzlPo/M5Ap21yanbN/XA9sHyknavl+OR2TUluh1f
FKAI3KzmjWvuoybZprU2AaYCjvZSq1FMq+Rkl9kVc4+j5TnnvnHZZvZ1vwiktdHM6jN8D+YOxn0G
RZekZnkoe+dqjGjVcqc7ah6NU18VK1KX7txYvtJoXtZO92b42R12kT2ZgxdxjyZYp5mCxAsk3y74
PWDn/0raFI/YhHnNHdJuVebOFd88ewoVPmEHjBnOZVeGL86VbW0qL3nVNAKpEfAvZJhAjjazc0st
fpGb4VFmbf4YOmx3EHUZCw2L5VFLu5IkDMoKn8XxUmbZi4Kev27H9Fo0/hNpKOPSBGuzQNG789zp
Is3by05g+u+sZ+VkL62JUcfmRZVxHZfRKkW3RI921ZCbaiH+NcsU1pdPSDv8HypHN9+MSY4bDpg4
By3D8/CAUMM8RqKGnjYkZFMNvWCqPuX0VYaJbcCrWhJ23McuIz02KDJ2LqwPGwIU9XbLEg44XV4U
q3KwjPMwWgcNBvUp5MFa8ju3r3KZIdvua345rRwepyoPbmoh0mNsxfa25UewVqmW7oQkQIOJnoQi
TWIPYgunDXetZuK1M0Jeeix1sdFiCFj/XdPfrun50vr7a3rXZSC6v7Z/FkPMX/f9mjbMT/NkHR4/
kgg0tNyTP65p6xPbJUGEn27+rtj8XQyBjWdmPto6lH/s0N9SQ787fOCq6IKorD/m9f9CDPGrFMJy
DdP1PFeQZ2qg1Phl7t52YJZlYatzpx+CGID5TdFsP/xQ/kKu/ZtN6A/6FN8Fgg8mgh7URWNOEZyl
oR+E1KRHm3GcNOXZVJhpmoVlN8jnQ9PIzXOoA+CbzR5Dcj0h2XNPIVEyT3UgDW4L3R6XIcJR42A4
5bIZin0VDhc8jmuHtJUpEgyqJhPJWHr2bW2VFtp+bDz40cVtq+MkGEOsk5W8GaJmRyBnhqRs2ORR
K1a2VR20kmQ7N3lNx+RFg/DeleUe0vUTO3/azCi8Ctpm7RrpXoZNhXuvfqfnJhcqUqsUdNM2qhDH
aQj55yN3V/X0Pp2M7yH6VWaz5Nt7Chx9r3t4HExRHsgRfEsbXLE+qkX2829+CUzBzUoIlfrA3dnU
G4RPF36L7tLN5yWhggxbSv11aPKDaWkZQ9f8rhfBwTeM+3oAc2RE7WPCzU5mj/qCU/MwWnW+qeLy
Mg8HtfIqaa7syLeXflHf1hGsd2nBcAxG8xKfL+KUxrxOlRcA++qetNjcTIqoZ9uQ8OCN9h00HVPB
yOAmJO04L6yjVLXFZhSla5pUuIp10P/MtILlEHf5OioNyqmeXBmrnB5FVjDVZ6BfdNqNTeAJB2J6
pzKSZQjgftaq2loYqtx7oo1PaavEEmnEoYHGu9BFRfa2G1wE7RczLjZex8wiUyjdhorJQZo/+hPp
CX5Fjk0RiEPtopRre9zN0v5SRizE1VgfO2l9cRtirt04encz2rrAcqdV1Xp36F7erUgt50SoqGJ4
LZp4FxpALMXgLosgO/dG8yriWF/WFusKfF/7NEqYVPftBm8mohkTO4fVtGpNDrO3JKHmzLL3vkfR
t9TSdh+aYT3vVG6DocV/KoNuibWYNCKI4D0oMFSEzEXd+NYw51jvkFbd6x8TnU4yGp134mY+2yKZ
cRvI9kxuFpJow+Qyz7CnBnFULjlX7oOxusWTXMKyNK8CjMGrsAgJVRqGz/jO+fSoCk4KkenMyafn
xPExIwEy6+P8zSLkYtPX+n0SpPTPEDwGbQ7LDVrmqtp7q7nPJBWw503CpTQF27LBR4AApd8pjHVr
jsm+/GZjUVZdUfHy0/Dww1V3dqBwSzuEp5demtwn0CD29jTEZ8dUd1VlAOMq35Dn7aOkxMNalF9F
W7EuYXjK2pwpb6LaY1dH8SMVJph4P2WS9ZB762E7hmN8kYFJjTTtpu5ib0aupZCpferiVQ99R5OE
PdVeWSyblGAbRo3LwCTZqTAvrcYmhozRrkYYQMmzObNeTk0hnzBPv0X6UC041iiyqLaytCTpYzzC
9XvRhu4IUxqQTvccdNjeOXNu6lyswc/cFAIVpNBugPavHC14MBLnuXFtNo760VPBGV/JeczInmpa
5LogFbzxK0OElFlJvEqaNlnDol8mSHhlU8O6ZPpcl/1JwmKoK2og4CYrtndqUXiMj2JXY4egXY1t
/ZBFXoLXv3lrwHAa1fCoNW92xyexd+TGtAjBWPq5whdPIhs0v7gbNW2t96N8kEE/bKuqNpZxAAUI
hHVbgovG4l1YEGYmWJZ9HujLNObcWiSFVY6LjBSUbTsW9dJNUUK5ZvaQVM2mbtWTUukDgdHPiJvM
a72zpzMXXrWp0+qlMsQ+rM2vg+9eVRMwTlAacwwC0jhq2hX5QeSfxWm0yabMu7Myd7wMsvA2CoJX
tmDaDOpOjzUDDKh7Le6lnP2H1YbPucFvUYV3UVTERAtqh65vnjpRTIy/zWzjz460kvdHvAJ3z9JL
OAM6LSXYqCunK611tTsnZpUwovxeBzUMUJ7y5tH3GiLZW4muPe/cVZW2K8vp+10vWrVlYloszawY
tyrXSbNKSVEMWjZJjIbtnUo9sQPqdwZTddNY4Tw02cb9TOrTfAC09KiTI+7QfT3VYrgN7NrZe1b3
VHiKNpYsstM/X7ts9H9xY+mY9MDfOK7BCGD2fHy8dB3KQny4VXcuXMWY9AokhcO7ttECx//LxfRz
FTFf8GgDHGEKzMoSUQB+5I+v1TQk6RmqUWfC2/zkoRo3ofY/jEj/6yXmP/9QQ6iUNDfVpepc8mBC
Ql6E/WervP3nn9lfvojnYS2jYhOG8cuLNGGSDHGu1Nms76riYtDgs+7/+SX+/GvhR/XhJWZz24fv
Y+5mAmEN6my5t1m1mbIWUAQl/ks8/o9XmlWsP1ddP7/S/E4+vFIa9nbmwLk6VySJiZwVqnHoMgZ6
6z47TLQU//yN/dmVJ1y86Ix7dMISUJr8/HJtEA9T3QoFCvJJMBeQTF7C45g9fXuZ/1xgApX03/ca
+6x8q6OX9C96Db7ue68haChm6yfaOyo0xnh/9BrEYmANE5LD4Bs+ka/6LrymQSGNgtAMeIj4xuAo
/bCAGZ8cVNculAG6BHaA/0rlg2rop48kYCemgbYByZ5TaW47fjknZFjV+aBV4+Vg0qduBJMbeVlK
PPnv+jTlNqUWzG9udxOVwARmJklUTrkcc4I5VnLjG8zuXaR9u1r0csSTYnwJdBYNhee/AAC4Tfwk
O48JJvBqcoyNaQvMJ5beXBaO8x6W4DuSzMh4GoiVYiVrrmUDCq91lIS2JuyLifn5XsvTlnKf3TW2
CwclTxwHUHt0gYyClRR6iuSIXC5fNaUaN7VNNdtWCdJhzPVLvPyMD1EzMcUZD4kdXbhF6x+ziDFC
onlM+j0U89TWDuMNsPqbwZNsvFuu4YoabylgPa2qgRuxcju83pb2nHJ6l86QH2TY3QmH4FI/Y2/D
fqhcBt6onerY+aJyLvoKstO2sOP3KY4/swRCqmn1ItsrX/oXpRWP9+w+fcQK4WXQmKBVw/itDSbj
mbIXXQhKpU3vpNVKNikaUzCqTCa8HLuaBs/GUbp2sMpBv7Dx7W4jfP6LoGZEV0t57QLlu6UTwhAy
3mkl9MfCyq2t7hbX0mFoB5sAIqVuOZSndHFTMo8tdQWsd0y0CxF2SJLHOrSf+zJAgKObybH1R0Gm
aaaNlMlTXTv1VcjvrievJLocBTX7guRUHwFJzN/kLd0516R0vQoVEghZe1/OySeaMYegEHs2Heo5
GSX6FpJSTC6LMvDhpn/lsTNjZ4VlrhdecmEgHxJBNt1i6RHD6r/T67dJCWONfzi98vEv9InzKOTH
yWV/ciwGJNgx3F/0iQLOm6frBlyT3/MJf5xcOFQdyzOkI03uHAhyf5xc9ifpMm/4fc0xE6//xZQE
LO0vJxeeWc+c3wPcTnYas+/242Vqhmkpgl62pyxxwk1RpNFqKDJ6yWvYCBMr4cgLMa2urbDXQ6Su
faLWtmgNgfTVGHMm4WNkpkfScqrxCssBWSxEbSu7RnQ/OBWBWHYamls4JCghF5aVRg26Ez/ujZXm
e0X+eWLkap1l13l1vpLEgEGBt23VDEuhVXHzIifApROSZminrIqHuscjRjBbvY2b0rsMKz3cB2Qn
LiqlrPuqILPWRTdcdcU8yExiRguV6o9kDYwbRIX5SaZJdyOcRL3quW2XODvC4LW36mGTNnp2QQRC
QStb+KdYY3aLyj9E/CawrLvKHK+FNAit6ArsnrlUJ4GoeVUjoCtwms0RB0b9QkpXs0xb9ubLEPXF
PrTj9s5QFXv2MLe/uFPqbfswVUwAoLggyCZB2TJv3EmHqT8rDFMcZhb6FzBxdtsiW3P08VRjgNkk
cGuI3xWse0HKCcX4xXzl19TuKl9HdixKsC3wyYzP5lRO53CaYhisRme8JvSIR7yswX6EYf1k2o0J
Z9JABVPSuExu1l11XfKFH2m+rzxH3Iom0tNlDK7n0lJIhGwiTE5jlgSksdpEQUdNs/WIxVvHWHBP
U0WnkFU5HcmY1csQGvcX1uvpBUrw5qHLim7TeDGuVy0yLk1TpEj+wiZBFMdmglRo55qBgLbh7GvO
ZoQ7ko13cUQ00x+bJjmgPZnAeGisFexxeFcWHkS3zILDUEQW7y2W2mXE6guuTgOephhR4LUtR3g1
sjArA1R5FhabxWDXVHCT4fmHtNacB8Yaj1iMjAsDu+sVb9/faAnwlaYwEOfUtX41TiEoElfF+yBC
b1FgXKHdLsebsHbVqm9UtR6jblgH/eRvGnxQwX8n62/GOsG09O9P1uNb/RdYgPlrfpyskhrOAd3g
SEQu35LNfsyf9U9Y8gUlmU495kjO4+81Icfnt6Gw0F06OznPhb/viS1OVgTjurRtR4D6+Fc1oZxn
v390KbPwm/4UTjgFD0APxsQ/H6xSlIEuIKmdZEOYS4JtBqNOaKQrCdxwK3v3hVWG2lRzFqcYp9jS
DlnjdigNZWTEz5GBIvEq9Iuu2sOiLzPGHLHS19h4OkkYTF2rc67KU2km0R0SIpwQ5D9LvBhTQ9ES
xp/N1OYQz8dgW+o+53VAP44XPZ+PeMOawk377dNa2UPd7S1fy3DliFamzXPGqpiRzIDlAzWS2TlN
1GyMfIjEIcvI8rkNJoobpsR+zLgMrA85NQHJBRLZ09C3zoqkoBgW5VitFXvTbZ84Yq2GatrqZPY8
TH3YiV3ijc60NptuDFaj4U3DOu1Y1FI1+xpqHavUkG+WED+7sQnZIRkFOD/HqecwpRJ9FNEPW1GG
SXubmCl0Rccq06vBcEJjW0n+/xgQ9DIpC79xiS+H3fcQFnKPVtvU1/8VP78VP9Qd//CIRnnQ/EXf
xhf9eEa9T+xzbJ5FeBt/ekZNAemNwYozY33+eEQd8Bz8T1LnwPb4CIEz5+KHp1Ya9IGSpu9fFT+S
Z/2XR5T2EOcIyhGgcphmf35EhW+2UKQkgeaTZtb3eBTSDDXUmIlVGGrACty4MSJCRhPzqWSRQ8iH
Sq91zSSC2EwzhJsDgXyt1H00Wa7TAKgu6mk1yh7LYWc3PFBN4x8I+EX9V6TFlFwXuDBK3BjY0z4P
ymiZP5un0cmrlTVbNyY5IKOvwtdChs7CmA0edLchFHRtOeD9YOOSLDMjGVcKX0go/Cfua5wiRGUh
gk2/OUgSWNLLbLaV9HaNqBwgtxycZdGNbX5paSMJpJggIyvycQ+mCpI5iDg/78tXA2Z3gJF92TqZ
vxRlvmkGFglFFu+qWNvB7WwXQ52/6mYdU7P45grJ4n0UaF+MyzIfLwtoCcMsa/DSiXlw6t+Jyr3O
Cn3tjf02nq5F69yrvnl0XDDdyJW9y/8exG8PosXj8fcP4m3UJNSv3Z+fxfnrvj+LBqtXy2GSCTEH
6/hMffpxX5oQpz1Uns6sa2Ik8uNh/EZkBFyoY05HjyjmtIs/9rWsVkF4oIL6Nl/5V2l8LOt/fRot
w/XIwKAZgcs4NzY/dSKon5ouqZ3iPNS63OS9pVi1MWXG0bwLJbIT5ObopDF6XPFN6Ec9zQjIcnBa
7lNXL54idByXAB8JrzXN6jbuHGtnD11zUolffi2B5W9l2kPWShEJzrpESMyehhgkE9pwbhggXFVx
bD1rutNuhE+o4ZK47nQ15X5+SoLS++pq4c04pPZVIIR2MPBObCfXye5bd7Sf017Wt8qwu8u2CQk5
6/KiWshOw1pgj8WD2emA18zGeCvsLn2y9TTf4TjBV1D6zUsPVnyNQCdac3WprYwVK76wL69VnHMv
okgNoqBkDSSs/irUcMh/KeBHWEeBiH0cNphkMMVMbae9oUqOwxOUxq5CtNTkNXbycg4Sg8J3G8Ye
+HvVsfWdWsoFdWK4UDjwGS1gt6hulSsJDeux2K9sI0ijo6PliC8IRx1f6dkqfAjKIxzVH54dlZov
DKxtNP2Dk2+C0LEPIxTlWwLupxfTtm2M2UakH4MZXkgwmLf1yz54hfAUoQKephe/Cac3Jxqeaq3a
5EF00GZbdiYcUonsutyxxw6QN4uOlHOq/2MgyPNJCgCPdot/dDFkBfumSAXRpmGLgga2z+ADJNWj
JaN0z+Li3kyqcFcymkP/hGzKBiWzc+LGuXXDMtu3Wuvdl3rlnMht1VcZMxJ9gaCvuPPpBd8aoshe
Nam0g5m2qLCGjG2D0FZ1y5qp17RmQKDCgo/9YQQhSCua/Vj6Oae7C0qHfefnYBJyNXksz4kmiS8k
ypbLhr72mej2gqxHOV40yVQ8T92gHfnwzojOHG9aUPtPmDfUfR7XWG6LIbrVoqE8hz070twzJcIw
y+rR7DUW9KTYC1usd3ZDwNSo5GzwdnZGb7x5DlKx1DzIQZnIqUnJWOiFI96QGSMNxle18Mpmli25
9uK/s/i3ougfz+KLl+Ttz+ew+HgOG59MpCTMDFyLtmDG8X84h+ljKG6gxSLrmg/b732Lh2MVLCCy
WP5Q/1Yvfe9b3E8OAyGaDEmgAIf4v4sL+HN+0FyPcQ+ANQPGy4n88znMFJcKucrtq6RPg6MWZJV/
OwxJXu0cI0q2irQDfAJQBCqWwVi0071VozKwO83eJcgb99losI1RMNHBNZEWM3RAcyyJKM7EgOHC
PWK1DWonIahSgwR/KQGs023oGyeDq8DmEXSY+2bHfLwJLwhWvm9NBIGFwTEf1DHO043m9nPYcNzd
tH3DEHRwPqeDly+aOPTWCsNDqhe7ie24MoKbCvDUSnfGadUYrPLzrN61EwiyxnvD/Hodme4VqUR7
lo23+Ce3PMVPWuCWx9wvjlUIzja0or3w1FOKGJQ74DYz7PsgcklUcanNrMQsmZYEz0wr9sDg17Hu
P+PTeulCkkHGnhiQpO3VFkcs79mSC0Z+gO9rvBKy8I6ViT4iqQ2C09JThTcBM0hwWWXWSx22Vy3w
iZYfNOYsspMKpYiUKQ+ZTOSSKOwdceBE4oDtF4ZceBPpJwnmBlmaYmXK8TD52pNbzyR5CzhwG++7
IOeQlM1ERUZJOqtnS+FjRlbFjgnVc0K3yByGXGeznjbBCNwpKMMvxJvUy7EU9ioX4xZQyyFl2r8l
OPSUl5axUm0arsiDfyj90Fqb9Tu3gL5zEsdbM8ZmNWA7K3r4d21An4tg66qab6cpYnnfy+rOrV0M
vF66A65ynUKD9WYVp0UaddyWcmnP2P5BD8bPYz4d3MD6KpleEaBK6DaL8WerLg+YiD8P+nRdsf9m
vP2sSnxldRu+AzzGw6kSoAdNfMrkuEuawUP4Kho6avU2uB73l7CZlJfBJja6L2OIHppJ6Ub2yZeR
AqjAfDSjNiKneYWQZ1wwn2Ryn82RbC2qsHSl5qA2vn8MteOc3kaKC0luPZGEctG6EmttxmmwIhAZ
rUfl88XJ/BOfSI9bRD6US5hEGw91JFlRCQJtSvpwN/b61cTDcE2AttwmmgsngSEe2VHGwTRjc8lN
D0Ger5mQGHNlBCY8Mr1YE8eEFNquzGSRiJGEOTMa9ghfiFyoiujgugPh472t1vjAWpRkWGX1vt8o
zGJcQFf4+9jbG+LSRFG8IO3gmpDFYNWk8alygFEZ4pHbYrythZY85wKdN2UBUzt2CsKvy7Xb8oGs
HTPBchMsegu0y5CXwO4Z2i5chIHbzPA0IgZg9grV9Sd8qQB1CxhF2niZGJgiPSQ7HcucRZeiZTGi
5rXutK3AKr3oSTpCvUuKqO0eNNe0DyJI3VVRxmJ2RNWfDeYrC4zqat0FCHKtuWnJQ+7LCC3xRitT
nNbtpH+phPEUZ5m/8Rr+WzTw7jafwBInSUreeAaqotFindlFVSyEMf9+fSejGPWPFfnmqVInEPsx
V3gHo62+DhXfta7Z5IgVRzGaW8rRdl142GjiqWbk6bnLIUSSb7rQDNsJGyfjTxz+4ybLs+vQjixA
S3hn8Rsf3aALFqrUt5GdPOOy2nZaczslYP3TFFxLCAU4F8ll09WkVXYEFOBQpLYqd07XvAemH65s
Lo8V+BUeWKQ2xqU7ZHdZE6cXXtifKcoa1liAQLICnFEA3YcR9SNt6EZZ5bHz3behMAQCpuzQJorh
phi2ErvsfxXCtwrBYIny993a6a1/+fry5xph/qofvdqshUVSS/KMgcDW+NiriU+samaimIVES+Jm
+VgjGA78FIdN9FxY0EF9rxE8/j4gY8w+WfTMqtt/sTRiSPJrqyahBjPhZMZJmcK7+LlE8LuohA8T
jVdRfjZHsKSGPyoCvr37YTLUQh+JJfeM/IJVxw1CO4ilqbaU2oTLPEypHnB7L2TrgbPzrlBdFLCN
nFcPCWDaeQ/E8tzjAn/viBet5lCNyJPPaUlh7zYOTCKSN3QjuyjAMiz7OZQjmcyT0qtwyWEx5y4n
D07gTBuz4HkVpHoYjDmw49lPSSofgnF61Xw3X/okgSAhvCfp51yTEBK5TCp1D/EK2SFFMQAFJk2k
ULMrknwR4cbg2vN+k5E8YlJLxCSRsMnedySTID3wZzvsJg+1R4yjS1DOC9vwTimZJpMFtAATBwqi
vEG1S/JJTAJK5XJssR5f0HN/LbzoilB2B3pFNd5O6GGjHpqSKBsCEwccGTEMRY0RJ4J6LV57mv2c
TYnB6tqX64FFzUFi414RJ0Jky+BvQbbHK3dOc7EIYPTQOrrKmziCu1tnxNU+1fYD8uQqWQZRbd16
sgvaGY04J8YMTtNM90Ip6ET4XSoOE3BLc3x922P2HYHl4DoIUmvF7orVPC2163BoN+NWT4fdpHoo
Zk0QLLiRtoNu9ctv9Z1vi3tLlv0yk9ZbSdWX6uTS9OD5J4v20Gn44IR+d9/m+ecofat9+1ARNYDZ
hKaq645DLWNATPmuMHRtHSYlC0YJsk3Hq5uM5jEM9cfRIuC3RK2c2eNLJezqHgLJTZBZNwJniioV
cSjDdohjfxfZRPBpkb/LmS4vg8o8EjciwImWcj9qDBqmzH3Q+tpdOJW2UZ6B97nHjAvy1PXVfvJo
bvWi5IIJcpxPpNBgT9pGgH4XKDw4Yv2N2ZFax76LSL3uYUrTx9Q23nHXZjhIqicUBBe5n9yPMnwO
svqMOzFixufuknx6auo8468Pd0hE5DLF/p8P7SHryNNmSPfUt8zxRfXSjgwMbOPoxdEK7MUzAI8W
GKvCOapjxEzrGahS3xNH1C/KjnhAXSbHBJxCOSf3tPK5wsGxQOpwSTV6A+10C6fsUYzasNXHcZl1
3Wc8+zdGWmwk9HcTZNhQ6lDNnMm4iF2oTJWTE5/bnwwz2CT51wS1SNcDa2lmxkCkgAqQzbsq7PEc
OfbKJeJu4SmcRa1sntCkDEvfMV4y0ovR7yXtUocKIdKAa74f75yJS3goUirmWt5hrTu6lf48ueEl
AeHXJkJJAUll4VXeVyg0u8yDUOfIag+CgQ+gf5fGLBVYUdBJWCUPlLjjY/wkW8pwYH1kVjjXjWcS
CTmyxNTUufDBn2SNQHwdGMiN/ZxQGSf0yAusicdKhhQFjneTYJgiUL6s9n4f6msqPkxujvc6+O1L
klZnX5DfQc6ivwKq4C+zsfLWdWwfQYxa58l0t1iGQ6KaevJyylwAqsC5HRClMxXFhTkFr4KInW7O
2snm1J02MQCRBvGiKcG5jCk+HaxSb/BJpnWHmQjbFlpjIik81Oq0I0gRENvOST++VV8wfjiyrAdV
glw1bG/qORtIV+bemawToQJHAnmAkxIjBOoHbtecLDQGwSoOs26JfOq/Zebvy0yu4b+/8i9emubt
r9aZfNX3Kx+2KJnC7EPIGKC6nmWGP8YCZN/M/5rrG3XZx3UmdhqmCDMAC/Mr2uOPlHPvE1h0h7+R
2QALFWqIf3HnC/tnGST7TFvwxvgnRYluEeD+853fd96gsQRRVyOrB7kOez9GLy7xrgdjxO1g+Md2
SgJzPQIxTx5EJ4gQZwsbtftyiubMS2dKLn4DUseD0U5AL8t5Rqpy07G/DEjVUJqVtT+t26Cmq0HU
sRscEXjvnp6JFoJ3g4+kjaRFEBTxod4qLQs130XavDGsHEym0D0TBQ1iKpCiMn0NBrHOjKCe1pYU
mVjMGAKkBYnYdnoC6hCGs2XfpwKY5waAH7G6gh4jd6yWmWE/7gZz7ABNm+6wCWIEGusgiBG2AlQl
rA3EyYFSIn2NCF9feaSQkF1ajv1aS5Gj9BkwZGoaQEgZPjV2MfZrb6MRmaYMvbk+aqT+VYG1tcfw
3VEauTy5+85wg/SzLMjWsuTPSNcAvN53+OBloY5hAOXCnfuoIMpI2W0JyEXHwEZGyoTGrE0ATiEJ
W9S6pnOdIxJkzK3vCIll9OBjcBfurLyYiuBQ1lp6tkbw0enAZNYt87dETvbWTE0CV8Pe2jZFG611
skaZ1BCYajG3Pic6HhAC1ZB19sYiqyq1djVAn4FrvoXY8nesnPhY9FR5WWCBESuwSOqO9groOtg5
U9otaajdbVjX7xJHI1gBjmOZMetZqRp0YdoSVVwUWXPwbD1eGVoYX/KeiT4snOIwA72jLobLQkoN
khQ1Xnueb2+Vh9W3mbmmoM5At9RQ71XnQzyYat6maz6lecIpW8UBt7GlE54ETaeQKazEEi5Eh4p9
DgGsrrGdoN0LVHstIXwvplFUWKZGLCFoQtLNpHvDuiF0diY9lOtByA5AB/xDf8iTnUhBJ7AVz3b/
dUq/zVL/sVO6KJr/9//z4C19+6s184d2SSAFYZZKR2SwXtQ/QgAR2bGfcm1Lfuuj5p7o+0jV+oRH
EBcB6m6GnfPc9Ee7ZHxTiXCsUqRL6Mz/ChnArPenNbNEUzL7BM05vQyC2PznH/TqsSuZMORefKIu
mWwJAXdrVY8f7pPzb7qSj9ExOBz+4lWQH2PEtFmkwTX8+VUqn0msPdnxqS3iKF0Vrp5Dx69Htlim
kaxjs6nRRRmCqDO6nw4Q7jKd/GPPxPFGL8PrNILMaofRhdJ1xqVCs5fCJQcgFZG+1INwr4xs3/Xh
ZdR7u7ITF/qkrpvRuKymguLcvELgctDjBENNPxf/euVt5Hy8kJ7DAsnwvrKAUniuyDSNW5Y3adq9
R4hPQPQ5DkeW34Gp9vn6QYI0HeEIOgelTdnWV4NctVoD/d8z0Nh1E7dG0uaIqg3rwScZhMWebRLy
B8ZQo5/cRnoSOuuwq8p0TbBm8lgUAkuMC29vF3hgs/bChIXCMMk9OWMzMt2A/EXn44YY983SdB8m
o3IwQxrpttYmx96KQmEfAoPNpVstOztrRx/Ena1duZWhXfL3l6u5OUhmT1Wh5VuXAcvK6RhDIscD
EyfdaGemVnLoULu5Z16vMT/bYyCbozFCReAaNW8KWdvDORQxU9pg9I5e7cgDvrvgGQm89dhD7Yf2
M6LhbfPO2rtoHAl2Mmw17VxuZGepq8aje6U3dZDQrMEGWiujBIiQdvAEqyAY971h9yev6+S65WdO
DzI1Lw2z9WGEkzIOrkFFHe01DHBrZFfIESBN32CiPMT6mK69Qng3KABJh4rpa93RQzVaZigzE2vV
FwJ5U/QITqC/4FfXr5wqmtZ1i46hQSfFkH+IDg4A6rVkSrht21SwzfLn3MreAHZfNVvH7HfKyqm/
B6O5DpjrccNkl1GeEs3d5Jusjq6twt67YUcurJPuCFtKVoGpnxtP3bb0hPeYwNx3nKesA5KVowbn
vYi6lZ01q8SvxJ2udZuAHa9mFAmtdLZJXIZ0pN0vGqf82jTtWx7Vb2M8PqB6IEOtP3hDtuEAQXE/
ba1BvxzdfmV6eN9t42LCWAlQ41Vn81tl2iZVgvsHfl03fsnB+gXFF1/vxEo5qcktDqA2sftn24le
08mx1k6TNAcGtiTzqunCyEguC4xLp+xWtEnPJb++piU2gjD6td87G8DDO0KEnwe/WQcZZPBKrxYm
REAYwLm+j20Rr8T/sXdmy20c2Rb9onLUPLyiMIMgQFKc9FLBseYpa66vvyvp226RlqXwe7+4HS1T
RQCJzJPn7L32xJXdcc68xmsLfO9yjOeQ9nwA2atX42Nk2rCMAv2qzYrmONTtIdRHFjOYvqwewU4E
nI1uPh08vkRq6Sx0TyxHWIIuwTPmWN4rc+unlnMDNOSqqKsLJLp+r3sXeddfRR7DAYJa9ACYZhjC
p5i4VifRUPmdKD9y1i9TJf1eptr3Ks33SBsOZebuySq9mgdtmYFBK7PsaJmJX2f1dJgdh1qMIsEF
6lenzraTHQ1BIzoi036ah71bztOunotiD5byNZ8CZ6FABeAeA6nZGo2UBNhqEzR4GeeJQfOvd96f
mD/I1sYfhFuMkRnqii/7ezRpoA7sDMZRTUuGkfGEy3BKlznAyIs2N4al04OaIO+aqml+06q6uarr
VP3mglpZlON43YnkQh2DZeo59+rYburIfi/SJFxWFZZaoOgw7Cd1Xc6s6SyIYcFZjT9QkC7MGiG1
47ZbQFrPwEU7H/7CnY4hZYW1jw6Sis82K/yh9huyZqqUgURQbLREbHRo2hnZx00OwyXLb3B478mM
PsxNtq87/cKpygu30b1NO0xwk6Z4q4+R5ROE59sBAKbITDYhY8llozbX5tRpfhXZezXy+F4jB8Tt
rXERFeNtEpNo4dlMfPRJP5kx4Te1LZM/4vTYV/Nl1CS7dLA2FlbUZUwoclCkNKNcYH45/TMUtysr
rC6yEJ6fU+inOBsOWZdvOdcwfVfwMcupWZeJOKVJdo2Pj6lD0cNBKZTYNyqKPSHOsdH0y3xmRkgA
zq05mThAxvjJA9oZ9yymkQXqMvNK01ryDJEW5pKD8Zjk0zI3QICD2RjYh4ympFvnXKi1CmjEU14D
zZ4XFQ1Peu/jgrRmMgQruZe1F7FjP+hqtlZVgjwgrj1Oua75STOlyOnDkzFb2rIA1ojOJXG3IBG7
u5L4xwNCK3HMqGR3v16qCPG+FiI2rlyQyBAyXVMGaX0qRGYxIJ/PQQt28dJI9kLv/hz6/2Pg6WdF
HX+lQdQ8o2NEuVLDJ+W6Pz7BsPE6uV5IALOdEFd5irt4G1fXYkhYCZkf2/XaS1a/flVcQD+9rr8/
Vb7uHwqsrkrbyjQU5ahOxQ02LTrM/Aun4gO3O4QfqOb81rXu7cCgOQRGuR+hJmbFILmMcekXYn4o
Fecibk3Vx1S/zrxBe3Yj01nmanJrk8ezDFMS1jPz0SaaiRaVYXespqJcdbNTrFwEJkutwvLrFNO0
60bHeC4L4hSZWxurOI5fMtbqqlbtaMkOPC1b11Z9rtQ3nZnNzPbSW4ZV+i4P4UZM7StzoC2H0rdG
iLXdDMRgWsnWUCOF2TIVSjYUxYagGtWv4VsuxWBxhQIABQsF81QM0skI6Rl7mLyb/r1uBp3mUbwT
JoGRg/ltnPGfq+neasGsiZRiLQ4MpP4tebF2Z+3SOTkwDF4WU6AvydjBTR6k7LLqfa8SXhQn+dGN
xk0hhlUfzKxgspnaMEf0Xy3LJHcX1Zy4S5EFxwrsLFSjrVbas++G4w3CYgq4SvnWtdCVDYPgG0Kg
N0oF7Fnryic7JCZMza9q9M4o9dtFo+17CzJdbxlbh3nistK022KKtmMAGLUX3WVF0x9mq7XjXvdG
g5DeG6kaYHc2YWVeOPRCf7PcfrfGZSH+w2obAJ70+sxqSy6Kc3iprAn8ukMJtoOOdOFy9PgvtLKZ
Sx6L78Ph1w+Xg58fvsL/WeqIQtHT6mj25C/3w8MRPLtF6prKEQnUorjQ/WpN+pR2UO6dNRGGtyfF
v7jvVyR09k/8I7ucLtTFPl4Hl6ij8t/8Np8vNn/+MgbZnBbOS65R1heJ+6QOjLU1qTZTz5WBEEu9
F/2fV99/3FE+71l/fwaSmB9f8CzyTomiLOJwfQuBqU1Xv35Hf/oaHGQujuyj0eL6/PfnI2HqpF9w
eCvnGgSTsKg5/9yh/mftlQFD/9z1PD69vomfDDrlT/3Q9WQB4Z5lJknCquw6/tX1VP/AVMvdnRsb
RqQfB53OHw53aZdPzHBRcP/Y9bT/IKcVbwc/YID9+3diKOSxn75vdD3JR3QYoZD7ykjVlb/Ej8tP
IU2+0VstPAXQyhzJuG0bPKAZ2Fujze4rMLgVc8/lDBjXkYTcIg85urutCjrXlAzdwbPYGQesvE52
GPHzLmYvgWHT0x0FwSv3a+Lh4Ea4eXZHIlC6CGLPW5lx9aJ1VcJR0V22Xej3Wv9oA/nVgP1akvpL
GNx328uWCpeHO45ydcs46RDmQ+A7AUHR/NrlugMkXMYQhUNNfwQuSPy0pA1DPaXfxkBxTTbBO2nB
b7hF4HxKSrFbJrh9AReXaXQFxflpBmisTADsPDvs/dLiRpeCPbYk/7iDMwoMhfimximfXSDJSHUv
c/TECzHwEjtJUm4q7ayAVk4ykrZBLSeSuZwIsrKBw52tJDmrhTEu4jhr/UGymjOqiw3Tzn6BweoF
aDB+Oq2LF2nk0oKLLKTuavKNGdEZmTvMXhVbc2NkzgUEnpsGXHSea1dNMYh1wuxsqYCUjkBLR+14
qEro684QAWsCPx1qFdy9ElkGkvRyUXYWENm4cZekMMy35BUUWw+9LvAWho8hNKA9dp+EAcz4Snt4
2od9RD51oSKPkWxsY3CVVQUu267BZptuhTojCK4mydSOYPOsp5DT1Mty+BqSvV1ICndpK5tSslti
hyK2/j7hetk0oSG74RGX09CBCgvW25F8bxPoNqTvAF54DbDGgQJOXfzC4AfsuCSEYyXMV5mkho/g
wzMw4nYoqiNAGiCzIWAQPJDrJIY6roIfjwOtXfWSSK7r9TUXv2jpoKZbJpJb7nZYI5jIGVuhT7kf
dvNLJ1QDjnFHeS7Z54mkoHeShx5LMvo8uUf0Vt7SHe03UZFBIzztshjawjdaljJ3unEZ9jGk7pC+
lKbYNwUg9l4S2WPuUIvGdbJt24xgccKBrHUI7gG3Pkcy3YcclwWSQWRUkvheg34PJAOeIbG5JbX7
0Uv0Z247G0fy4vWxOSq5wrxcceHeAJWfgcsTAUWA9ODUxDw1nn2FdK5l4DjTU6NAt7ixjmLKF8YA
Wj+6H0O+83rqljRPOhXN47iejNY4O0P+OBRVA9SYuM6gaRmDWtPdyH2bmxHanDGWImt4y2VJ2Hma
lvdu2Q0b9NLQEEvkYQL1oxaF9kHO4FERED8Eh/fbXAYnYVcX3eg1y64s3uO2vtGNaFfo7qF3MbK3
yWGeo43OxTlSoqOaIOcrJ5rayL3pyQvzGnVvT+hB3a/rUTu4Bl0fLoM7IE2oBVJ+cS/cNoN5YEDw
DnVvTaKg3JrMVRnk075UpiddFnm1hoKhHtsBYlNv7+O5XbtjOEIoTZy2vS8IaySRMKrMGbKVKG8M
NOV3XGUHOhM6ZGBbbXqxNWLX+h6mpbVvmyoLz+RYhe6urRXzexDaenBMCFff5Mwzl53H4JnOxMoa
dZZGEGargPWyNUu4xeRXEtLAultZFZd+VuFjZ3bbGeYBo1x7G9lzgM0eHdMQh0yEy+DKnefTWHSt
DxBk9lGxnjM7pMyGJbHKq5jtKc30VRcm76FwroSNXlQZCPLCarcFm5b5DhNxejz0E/q72gKkzLd4
4wbY17wOCoM6nz0zPnTpZPlVpT7B2wSII6XbuHu0Qcv8tg2abZ0piD+a4DSlqu5PLXg4BaDIomBa
lO4KCdNujOLJKftoZeiAth2I23GaPOsQuMuEAE6I3EVNytUMozswgXXTj0uRyqXf1PGioG+Yp1sX
DWIxb7htbZTexZ4A+ruHAW7DAgfEwoWaEbMDJVyjYAM+hpE1kwhxJx+INwMqHkm8uJCg8UIix4ls
IIhejzH3YQCc4JIbvar5+cDcQ4dZHicW0zfhXARVfS4l1rwesDh5iC/rSL80I9DnVgjwXwiQZlDR
U2wdJZR0BT61X6r2PeKBl0SC1IcxOwwSrc6d7BCAVrNgrsNvPk0Swq5DY68klr1LqnXsqXDhXcIn
ALdDdw99Wym1RYeouMAz7JPMRjxTtsSMeQOS1UC2Z77ZBOWuBwmGN9z2kEhUPOpZm/9wXENe2JsS
J9/FEUJMCPOQ/tifke2mPYEcSnyTBflT3Tk7nalQivmgB1WfGnzUqstwCzws2w2aIC18Szxva4G5
LxX+NAB83/YgsAHh53q0+Sij/ldPSjfur+pJMH5/183JH/pPOalLbT2GQ5ocjIPQ5v5QThp/fGAO
bAtIkfQi/ncQRIQUQfDMjbACyjkNReB/dHPOH5IgaTIhoqNhMlz5N0N0hPJfy0k8jUz5TQbp/Bb8
hZ/LSZdZE7ER6nwy8uiuxlTiZ7QqIKbX9A/mfO3W9kZjEVmTQpPCu4PJFS7UDvBb7tnfEpcsu7Ld
5Umygi8WNEvHIQJoFdNdvc1KDyaDrl6FSiF2LRsh3qIsUZ5R77BNFprRg5oN+nwE6KcSX5E5ybZp
OfPyLumuVCS6AOvtmyGVd3VSeEgHZRJaGMsqmkEBj+W3aVLuAIrdGpREC1VnT1YF9YUyESTo7nF8
LYl1eRGzgVimGBZhol5XiX5mW7jT+6ZYRjBpF0Eru34ComRQvE8CaEFEsmhgIjHWBd0SSx9P6G2e
6oxiweqNbolc5rUe8nnZqrSwvdFdhWpLLEQZaesUhAYEAcWcdsNYKj5i5oNG2rZB4GanRYe5c3xs
2A5i7Igeud4fRF/dR6r3qJgOUq7MuErLZtVaQN9iAAEimW9bqNV9p1WXWjBwVpTvuqrRaoivvU5W
pGROVmG+0/LpLm3ACJf9uyooSVVlcnzdMIgrjhHZKEraLows3daNAtEwsn10P0Rl63QoLK7xALqr
ickyGry+JcKTlFG/9URCC4WhS44+YOWmKdHZIzF/WMxfoincFwb6+zZI1AU5W37h6uxYxrbrxCnI
4NAY9JYgYoi6QsNgd/mmtSA7Loji2Bmt8JvGOrYjEi2jBMEbIWY01eA5BeCWZiNZTh2FXzE+hXZJ
DBRnUZl5NOMlcTJCSR0ZypMqYKmKntwlLaW5jIMCJpF7RHFKorZKopPeRTbhrAbQxELcRA2jHb3N
UUTroYzLJmx1Ft2WZOkZ8mFmcgw5QJ5zbUOvtl1nrP/LjkGko5g7pW7uGNBu1U6/G/pWI0u+UZdt
o2v0MvTkAvEI5R2oilVkAf0KeuKoipEEEniiwWbSNPWyGg3iwnVZn6b9xjMr+l/hPk+bYDHW+hNt
DQvt/RSfHEMnbQvcx+Tm665tiIef4sy3huJ5asq13scPZaigRIVqGJKh6iegmk/YLeGu53/u7v/Y
8fjSkbBU9DWY4+hFYHSGVfDlylkZY58SNq2dsvw2NV8ta/nbRvBPHuFx28aGxB4JxPZL02OqwrFJ
Yts8pc1zl56n6lvhXfzvjPpT3M3p8Isz6q14LV/in6UW6vzgD+cUcAjyt3TWCN14/uivtofJOSWB
xRaOXBP5wV/nlClF4RCHAfZ82OI/B0mDBPoLqfwvhF6W/aXFyPqzDN2h7YH53gN6+KWH7+ByctFM
KSdNyfyuBTivmvNbMDB6Ti3CBjtDXTNmXIspzDNUsZW49kgLvNKdXjH4jpeFcx1ydXJxJU3Gsms0
cc9NyZleLAXkvE3c60KXhoqkliYL3Z03YTPwb5zDG3KlADVIMwbW+nHVV4q3Fjg1iipVX8Ia80at
j9W6lIaOocNa0kuTR1vy3xrS+NGluvhefZhBpC1khhW4HwpnnyRQhwcUXlbEYdjgJul0sgVHHZi4
NJqw06GnkrsYHpRJmlFyx1rBVu8vXWlUyUUSrnBQGxsxTfjxpaFFoKTFQxUujAleqYv8bKFLA8zM
xE9vx+acEDpEodlmj+iopxtNu49NwgkbJb2M6zBaUipcJXNLvipum0kl9cGFKk866UsTk7/jcvab
LZlzrjTrONK208I+2xcfVh5p6uHupq6aD6cPedwDLHrsP33FCJ+PRTnBMibRFJcQIXqG35IjU0sD
UdqX49XsYioqGjO9GvEZldJw5EnrUfDhQkrnOV5Dz8cC5xskIpMMg19JSOfS/GFiGkfTXXJdx9qU
RAAGFmAIghsiKKtNT7CiumJhF7tC9D0ceExHga24x9gE67RoveCYwit1i6NWd8GV1kWPWQTRNirs
p1AwdhugtK0oyx5TrQ0JCa7eVS/P/VYJL7Iggt+cTKeMqz5o6Pw9mq0l8472NOVc7hGXO74p3JQM
ppSZem/vRF87e93iFO2TCQc0Ph09zzdmxD88wV1ztDpyeieJUIk74AzWotW7IF6IftDNY29Vyn4y
HKxmSOPO1gfiW3BHxjs7WoavNyCRqiRrL+AZ0PBioZ3Qh9lrUVv1wTbh3ytlSYeHKQwT224Dcuu7
PPZalSMcqXWzH0Zyj7I+1NaWGbiEcOZrJfdedaW5sJP8quy620Axjk3lMLDTleqS1Mppp0sWSljO
W8WifMg56r+pxGevXPetVcZDnDHZNJ2LKSq9lZNEm3qcVjb3WF7zyZ2KCyvPv8+9crC0+CKPuAXF
nRUcC5fGRm5XxrqLwptoGkPI5NlOJP02rfmQ3IgYhSFmupc4wYLuyFNIxvqitePT2JeQngua6Erb
52DrCBCzsx1eiJUrxFOOln5g7I/D6d3GAd61+ZpAlDV2bV/tOWVDnXqRozciedcBA+YNoz/g+F5E
LQMuLoq3bqaeyLu4hfTsTovUK236sp69D9z5vaq1a2vudg54WyPPV3Y7Gj7p8UQOpj6S1KfINja2
6FdYE8ANW+65SYtrt9RfvZTvcJ4Zb603XZt42ZdEKx+nmnDw1PQrPmMms/gWGWczgvZ7UtOYwucv
qAK/DXI9ammyE110nsvxlEMIx8C5C8Zy6+Slz0ZKJoOlXpHkR4DR5OuIFYqgWyouytVZ2YBO3jpM
A/MK5ngzrhVLDvn1+MV2ZTArJnishGnkrPBtnIpKdVeFWm4gsDFS7cKz3uJs68PtqLpL3PAXNEUR
icdcWvXFlI5+zVcEvbEfCG3JNccPWrwV2VsZdNeEUbEiVWIRKWMGwj5pizUzWDCTZ1AumgE5TdBc
m9Zem73FjX68NkdP6up10o9xthHDtclN4XuBxwoMSJ5z1LXr5e8TAxV2uDVdY78hmtF28VyGTbSj
ft2CU31QtZZ0CvfGtqsHN8KjQZh3l78WU/VWq9B80aQuHCNeg4JcNwH5fqEJH2GCeB1dGVAey964
JqfjXVPIJxUqknbs+aq6Vbx+6zbKWo2ym4T8phbXCakwCwcA8sK2qlWgQBRTuzVfxcvGc9ea0eyN
YOKB9SqseMPGolmWdVDAqtNfCMx94K+iTQ7sZGrMyuebBEYyGnzYd09N0VCEKwf4krtZcdCakXva
ixRKMIdEVGE+ojVOMW07G73t7/Ou+N7iB54wmTDhQGaLL7dsxbZwrZ0KzWAxWx7ijP5hEOp9KZLr
UtHo+owEdXS8d94qLNqt01qsTge8S38FzelQIajole4mi52tOwanwJh3hZnv+0A7RiXD0KIDQ51N
Z/CTNFAG0OnuVSK8C0MbHysboYzgTqJ77m0gsESI5lQ01jXuVhX0QnPTUYH2FW1LMRN5Y2UXmRVC
RKvVxUA/X8iNai4fprQ96MIiShF+PLezBHdWM8iip6CtU9yKatprenlQdLLDSJMLnpGNZzfgC0Z/
1tu9oDE+Dzi6cH8rSvJKd/Q2aXM6L6hCFngaHk00ZzqEmaTE5Rxrr3ZOvd/WD6mIdnCcT+y3yJVF
ygW6OViznCgTD+jPqvYYWU219oz0Wy5a0IBjukkN7ZykboLXlLsSXjLYgM42SG1/0JV8Fc8lMWB0
48KBoMBJX6YZIpSoONPk3STBuB+L6bVSENiR39bCOpQYHr4BDT3x3ll1XbgSYDp8WtG0jTo/zzgk
MKhve8V97Xt8QbG6CXtnDZt9xT2G/aehKxiO83rMi8PUhgfRWt+YtSCMbCu/aIi2iVOfiDdlX+jw
51X6XOTmCq3cZUp7nEmXakT1gmoGvVDjQd8Zj73JJS5XOf5+KGl/Ijb9+/XBYgCtY0GEW+mhw/7c
xWgHIUQXF8pJzWn8p4syvVZooP36IVKM8l9+GsNkylCm3FzTsBW5hv7lGsTMSrUZGyqn0X0WNM+7
x7HE27rMUb//+kk/K3h/fJL8TX6YqZdBOWlzwJN0MjpMkmYcXHrzrrTvku57XNq/ERD89N3j24RM
l+k486LPj9OZBbhBVobnXvnedoc6fCmyl3//iqiWKZZ5DDSdL48IbHzg3lRFZ4IkkmHTTdMqI8Mu
Dzcx/Ra9/Q2R/SevyNRkygo3Vi6U9pcbg5wf6ZPaxmeAYYvYQE4Pcy79zWv6IgSQ6+HTQ76IfJpA
aS074CGJEItWXIA8Wf76Xfvdy5B//sM6wIqIwREn/pl5mY0cLIUCw+zt1w+hzfh1WX96GV8+miqd
0qrPm/g8KsYCOZ0Xn8H7scE9WujqmpPeNb954s9eFnNb4AJgPSz8RZ9fVhq7eVwkWnx26qsawExF
7Evw/utX9bNn4EKyTdtgHUDW/vyMgNRZ2+1FcsZNucqJYSyA22S3v37Iz946cN60YaCaOrr35SEl
MdVOHJO2IarHwr6IuCkmbAZeAOvpYDJIG4KrXz9RrqkvexBb3H+f+OXDQjiG0FSbmE/THoNbBpnl
N5uBBMH88AjpzLI0B++WjksBvs9XTV5TmliERi0/Jxd0bXccnkfoGyvrKrq2fGJn1sRIrH/9qj4/
8mNn/fSqvux3KA/yEddLcu5tlGXEtukwEvVy++un/Py9M3lLODkt2/ryadmzZjst8rlzUHu+zijS
bX/z3sl3/+ung26E1ebRzaJF93nRVbD5UGcoydnh6ju5OtXm99gkJjZJfvNafvaO/fikLxscXdVS
kAaXnDXrLXKvrOCmnn+zvf38EVDPNA+nCsa9zy8m1tLeNecwPRfFyULSNcb6Qu/s3xx1P/sKsdj+
esqXjz4VfdRi70zPcfqSEcdsKCthrq2089P2rKSbzPrNZ/S3l4Vb0HHoaDJwYZJifikVAO06Ve6U
2bntN7X4Ptirer7+lwvtyyPopf24bRckDhl2VGfnYS4WmgJNNPl/ltU/tmT/tpY/HiG1RlCWPPps
nx+RjGOuZNy0zk32osw78hV/87n8bSnzAIjedH0tGm8I6j4/gK3TGbRizs/UeXmHYCjZxXhACu/t
47363+RQ58v/q66seHl7/fvoUP7UXy1Zuqvwgi0LBb9kjPJHf7VkQW6YQBPhXYDYAk/3V0vWwHhG
JYwEzdPo1n0MHP8zOkSJRiPfgaRlkBAH1+tfjQ4/ysL/7nYfSjTAHmCCmAnouN2+rEFD0emF1Gl6
0lSzFXuvjSvVj/vcVFCXpA6Tqo907a5OaiDl6bLDroV6cjvudmqQbAopQZItKGK66epAySO4WzNM
cVDHrIweAqlKsFtISxOFq59/SBZSNDv4XbeVbiHeRthQptNpVLKeekV/CljIPn7PQ4UYorBHRMjI
I0ZkEmQBzevOHe+Qjr3alXNdGSV/gTFX23C0GK655dZsvCts7e99KfRVnuT0kKQ2oxra9DZArgES
nVxTdcJqMmonF0nHkAMzt6XKA7wHExzhbnsbu26eDlswAo+m1IYM5dTBw2M2WZZ1v6KYSLaVkWNc
Eo5LfmeA/KOOHroUal9hVekmJFqDgGsCJA0ZJdl9pEoOMmCS6RVX4Pojd1KHTYR7iTBKOBPVKpUB
lY2MqoSUFl47LfGVtgyyLGWkJdRU6xQjUfRDLdYuJ5IvaxmBGckwzELGYto1qmdywJp19JGa2csA
TZ0kzcAjUrOQ4ZpgqDAR9ARuMrIjezPRiOEMOgI53Upw88u9qQn5HYo63puOYms7L6WzvNaBGBCF
lWrPWm2Yy65TFg5cy2MErQGyD4JCBoAR3CaZzbRWrfzKhF80+CNB5gtDpG+oF+/rJr0oVWRtuTNs
MlQrPtDso/AU4IVE5kV5vLSq7HqMin2li0ddSS+SAfdbreffDLiYqzZyX0zEIXroXBb5iA4nap0U
rd8U6yvD6A1YXFaUzEdc7cVCJVQgrQDPGmYf0NWOdl0e4McL6DqMtu6u8jl8mUe23UAtSy7bdEhL
cE5o3IuIdq/1QudZLCxU7YTJt83SiMZVp7VLJ59uCakbl7BvLfpkfUKkIq17iHKXhKPkECkshD9h
HiPoCBFu8V8m/L0RrRaHCxQcDan2tLzUd2ezJ6Ut7pfqqF46FizuVKCSmyoMXKraHuBY9j5dWH0V
Z42yUHP9uz1qyDmn8maQXF9vIswDBoyzqHGFe2ijFkyAPJSTzlsehK9ZSfIy3y6/TSacMxQ2ncUY
fepphqvMsbtmylelJgnYJRBOl6WvaiapY6pogeRZLaWcQkMYzVbilOm+aNry2//Oj4+pnkXV8M/n
xzeEJ3E7/f0AkT/21wGiS74u77icqgJ/5wz/6wAx/rAROZPKQ+lFifT/DmToDdyYKV01E10ABDDq
jv+cHtAgqJsQMjMIxD4MhfFfDPUcVRZBn04PumOQelXd43+k3vpzgaHwHbTrusnPhVaZ5Bt8DDim
LlaZdhgfo49x7OHbZE71AkT1+1wiM2Qrv2GWjsDWeZ76IVpVXcgQKAdaj1UER0227EznUm21mqw7
vMIlSb8kWng9veKJ6L7K7uiC4pFQAlQO1J5+EpSnBoeLYuP/sLzhFc57uYogVnce4ePooA+jORMO
iEZaYf8QakniIGR7GCgIG9uAPyNP51UpmR2KTjz3yAbmPIU9pLvPyqito6GldTyGW4dQk2JOsQqn
UQBqYXhEnXubtRNWl1S7Maz2ISRlboM8xYUtZ9inkDp/xe29XXRWKlbaFD6RLYlDzkLP4QJ5i2P9
VJoooaNZv1E1p15EXXzFEHGfq9ab2aKTE3SF0QWa2B59oUDtdvWD8Fr+a2+bq+KhM+JdOXb2kvHU
Q9nYD17ybAzlUjWNl8bzXoTenMQc31vl+JKabr7UDXVeIhs6K/yy2BOGbR6hL01aQkdnBUbWlMY3
TWxcdpVyORt1QGYHd4dJB8GAli7fJRpFpaURST6o5lkOiw41J9vCUpDFAMg4JJEdbhKls9d1mCEf
6VSS0cdbu4FxPNT4l50W90+fLJjCnarJ9PwphZcpqkLfTMQHun1CMGXcRX4FnmaTOpFYJmrer+w+
IHG1Y8aqZfypM+lbEQ53geuss7g722p3UpFM+ori1RthFuzdugsKJ93pVgiIqsUVS2zHhJpU7HIF
q7PQkXbwRQv8oewPKPYJ1Z2J92zFc6KIa7u3zkOo7sLEGX1bTzZmUpL+bW49SWVMZ/u2TWp25vAO
tsUbLRPyKWfOM6sjAruH67d2u/mhSOpqGerVnrvLvdLRkMma4Vbx6MPyo9lqzpR6ZfTpzaToE6pN
EGWaVr7njZL7cVkdzck7pSbD23Ya9YVbDgh6+2E1umN5Qjsc8l0RLm3smKmMhJC1XbdIDTE+tQEi
abWpgqUhOEGMNLnv0iW6zVujJYvX9WI82xqoeHLUfbelhGCLLxbWACp51PTAN0r1MFXD0SyUeZkn
MYB2LAak/karqahntN35ZVzoBUQziPCxYQh/DGc5q3pKR/jHrLUb09gr03uqkimshOK6dJqVMY0J
RHxn5ZrlHbyZd257pCo45ruY1Uev8S7g4l9W03Sjw+xfWI0Srewpwp2b19dR1zxl+OAQEu9w6u7N
zst8oeEzZu0lMN1MX7jTu96I76HSHYayvcoq5Yh6knjyol3O6Xg0vH7EyorulQORGrZLoZtAMsQj
1r5XCq6MDCrmMhudJ6yT3x226EVTKiBRyhGy7ODaewKhQSihQPCzxHxg16UImwQ2qcx+aWHsLDBc
xUs25EOjiBFFQteto7nftwGwVl2E13Y0PiWxRSawmZINUzcZSn9USY0JGJeWVx3F1KvReNNaNaQ4
ye2Gd7CsUwqeorAEX7qSr4RrHzMKv1U5BpdlZhS+2QUjbLzwhpqEObx3gx1+a4zo4+3CQ+s8ZdeQ
HS/DUKvXYetmD2IAohoMGOxVR/e7TH6xreQeuQ/iin5I12yrph/q0fNYgPbuTLTAQ7FnQ7+ezLLf
1rR/cON3V5UJwiWW0x1uRJtIjTGZNAZYFZvGp1vso8A2yW/NLjDnX8WWWVChwi7DSYvIQ2irIsz4
2b6/sWzsq3PRPTdl0gGUFgyGCz2C1lYrfjgr7+RDcF5EIt6AG78iU+vZNvhu1xkluZm7CtM3XIiQ
CIpLFbjMQpT1g+aSQQBZncHiBAEPgRZ1JwZsYGL6xqoKFReDimSsLZ87L74vKxbSEBBiDz1oofGR
LzjuhD8YYFBb6LFrrm+8p30MpNcYtl5o5rBPzZQvjUXZb/a3TOquBs5E6i+35I1pEuaZgGEzZWK5
ufJOlfD/uRIiXynzsOQWcJwUo5Q0mcEPVei8SmrfWu20EcyHrNI6J2H1Nmr8dY2ZPNg2o6wB1jk2
y+IC/VdNHTkfOf9hFTmF9AztWhBIvjnp3SqVUHtUkNmukUREnS9+Vhj3ymSe2rh9Heps7QXJLYe9
egBNi+zd9XZNHJ6cuP7mzenWUJj1OWjtCJQqu8UER59GLRbqicmtxOsPQtqEHOclRjq5JGcYprPk
gk+le60Feb2Cc2suoKIWq6qiRO6zLtipYnqyFRZDC7IBu7T7bSyAD7mBso/D8AmGKV5Z2EZjUm3K
uuTnneqMiF9bwFYPV6B2X6oE1jzKokdThZGU1PZZ7ey70rRhmEqCYGi8J+rgsMdq6B2I8Fu5YxGt
bSfrEBo0Erw3sfwSBvJaPIGjm7VHuwFqYaZEaFR8sEJh144mA5CZMw3oxJMnsjSOaTxE6GD+j70z
aW7bWrfof3lzpA56YPAmBNiJpKi+m6BkW0Lf9/j1bx05cWzHN7fyxhncSt04Ek0SOPiavdcOQAsM
Fb5vIGn00lhpiTvvdTPxoELtkhAHUuygihQdKeW1JiXrksJuuQ5rSQXLiRM2mwFKNtEYw+CX7KXL
lOHTrFiPONbVVRiSS57Xyl3UjPeNC0G4iCG7jtkRNRSwpJ5ZKPE0NTk80W0Hs24dZB1wZthKuXDv
DQK3w4xmQW/J4M4rpccwz/2kE9A9hUBdNSK7FSonbkhSvEet/YQi9WrSeJ7LnG9B4HdtiRF2ZPw2
glxUKuvdEsqdopMRbuekhadu+m7L/HAt0z4PBIq7PMmxuJif28HewrVs/ILwcYwD0A0X1kiTlT6G
eQ78aSJd2elhRkPOCINP9E1HCgMIk4YCKbdPLiqzgQXQJ8kl5up9UDf8GaHooWKyIh2TO7VxilXV
Kzc2oma0OOXecMfHiZoLcdgCl5Bl87qWyeuzCQc3l2nstcxld0YS2kui2h0i2x1nhrYiU9y5794t
DXoY1wys2lTfiKF/qgbJdG5UgNKkwXMtnHQr7taFSRJQn1a3lsyON20V1bPMkyfA8zTJhPmGqHnV
6T5j/G89lRD6WqbR5724X7L4YpqzO03m1Y8E15e2+DQMiKPB++gQukm3L4m5r8CUFTL3Xsxtx3Eo
Sq7a5M2lNkZHG2EYLN6WvLkARoCAp1n2mlY8xQmdOTEB1QC+sqXKs1OOvqjmyozcESRWFvOX7O2t
mJp3otNqzuDpWc+p+YZE9eIseepRXAVB4Edp8Ro46aek65Go1mSidaof5tMmGKBKZnq9Qz1A766u
JxMYT1CXt1ML08dw966p+DUz+27RvZnp+mrWo3UUZGtYWMeGfMuedHbULIN20SbqDFDG1tLrrFis
p7mMLeeyVsyBf2GyX4C3Y3m9iXrq3x70owc1aMr+cw96G78hkvprCyp/6lsLKhWipFVjjZUkqB9k
pSrjTUeTznHmdwBpv3WhOqBAG2owZtmv8S8/dKH8Eg1ihMl6hdXuP4oWQNv6ly7URlnK72ISo2k4
Ln7sQhc9yiOtjMUZHheznHwhx0t9KcMvMEUXgMJgw4tjLLmiMcTV4yhZo41mny3go31dIYkMb/Di
vQCo9RDIT9s2jZ4KVCc1M0a9cE4V4zPmKc+kL6DRwge4ADztTLtFfITFTwv7e+6+u0TSUXuXfMO6
ZkqEavEZXI2P6vZgzsk6B626RNDJQa1ys9ce+7KLyCzW7gSNNV3iXdtTHieAWtXQ3o2S3GqwQJlA
uSZ5cb+AdnWT+gnpb45mVntXxuKxBgKbqohPDbCwTNI2C5hYgu5tSOfVtnLBC4/I7eElUuxw+zJM
HffdB1Fqpikic9YGRNu0NOkzaNp61GD3d7O9R0AGVzkwDokg+jAZlR37CepZgD+7Xpm3pTHttQ/8
rXUzVv0N3q7mPgOQm1UcNVbtXISgcxkEHCg4cq8S0ymUdN0xtJW1CXC3IwPTm0DwGqB4LZcBXA2c
d1a/tKB6Q5C9s2Py7JAU38UZX1IB1zer9VMG6FeXxF+kzvdMbFnQCmjAioF7VfKBZ0kKFtO8S0AH
O0DYKwqrvuUzCyVdePxKGk4TtvKXsCDUaB3YSYmnAWrYAckv4HujEt2+dBjddZJEqeKLTggLFo29
1mK8suu21Tv3FbPbuE86bNO+laKzWk36OBsEaZWNP2cGAKeohu1luKe8r2uYR/rnIoLhpASEG2An
iKhC8G7oo/DHpf1sBb3huWn9Lt08BDIk/lww9rVVDGihmd7YSwUsRLcvlYiSs9Mqfgcau1KJnrLJ
eC6cCZ3TNNxWfRp5EIdj36jNL0nVvmvz9LZ0zbwa7OwhZN2+Ym50EsOE2rFlkIBLYp2Mnb42zIHn
PfWN7qY7I2qendTsNjqm3LUZOM+zrFwqAwiLZY9fWgcgRZGNsiHDq15gcPZE4mJUD5XLkOQinvV4
S6bkizG1vplzvRShZ6bLwQI0kpTVNfNangOAsSt86SurDLcZMxXStaHH4+YLKpTgJv/GUcfHcKmv
4yDzZgP96tg+E7LaMgRV0H4xTZHgGTpDQMS+Ir3jFnHRihJh8G6mYYWUlKV+VN/0cxnu0wgDj1Vc
LgQ8TEX1DoOnAYY8NGJTz2nzdQP7725MY139n58rJ3hFfFJvCFu6ef/lf/9H/Wpz4If+eKx8oGkd
JEty7cQ8kj/6NtlUf+M815BjQM8Ak8CJ/+dwk608kCETIpbkAn2bbTL2hMwAh0knec/RpN/uH8w2
jb+ONuVSjGwyVeN3fQUjfifbqcsaD2eURFd1j6p3V38AYE37rEIWZZQfftBhycGTl1ZfAfCEOiAZ
sjNnSrNxPtiy4wdnlgjfHTRVPXiFTJaI9Uj2uHLgTRPipyIcJ0OTeUp4ZaRFnOMBNiION7XXJvb1
i0l56GWtG0ieaWFTvQ4zDR9iSAa/86qZe3sBghQTR2WPMoArS0xmPJPdmLs6bNzEK3KaOKses+Yc
fsR39Uxm7XXIsYzz3bFw7MuALxMX0vbfkurrVcxV93eXftG9QfL7xdXPz/1x9WviN6w6qDJQmchs
Oi7x765+8KCoAizL+p2+/Adc1PqNSTsGLltHa/Pntf81wdJFU2TYGrgTtgH/4Non++nnigozss61
7+g8QljX/iToyCuSqmfVsS5zfRk2BL0atKP2s80TsbT7R43AxXS5DuZhi4N5rRHH2HfhfSDzGfE0
6DzzUr8mutE6JsQ46mN6n8tcR1UmPM5EPVodHhtMc/uKEEgRMqyt+hL7T0OekEyKxBr5osjsSFWm
SOoyTzKRyZILEZNjTCBOEDYXxYj4MNGjxxxFdjG7zwuq7axymM7E9eucpNdupL82lvo0DbPmWd0k
x3+lN0cpwa91cuh7pqlmXg6Ps3BeYuzhh4LcorU6EiwkquQ+7bMXMdvL3siR3sMhplRcdkutvQxt
funSAM6Wfes22xSGc+2W7AqT8b6P4mcnVnajKB/bRgkvbB7VLnOkvBhI9ga4l80EHsSXRr8gpG8k
miX6UlbdOewoIGtrvHRjAgSZ5O6NcoOfCS48kn/tVmKscDZ06XOtRUycq2RLzSpX3DKSAT16Z0IK
ThMNzbURrEqzbdllu6RSjDr6YuVo5eW4Kzs69SDu12OZ4IywjlAKlo3BY9MbsmxXl9mXBkWw32kt
K8tGbBtriTxz6K9mx92JhJpD0PNtowJvQ4z9Jyt4vQxJvhmSGWU3n8Qyx/D7ENMxGCjRMk9WAO++
h6TSxeesci/zyvCtBNgymInjGFIVQ0VjagUIx8ApkQnK6iJipR3ifvCskTlPlgLXy+y29cgXYiRu
U2bOsYutJgea0Nmv9IR7+CfdhmLPC/DNSj/Y9WhbrWerqCBrndylpPaMOrkp1JzZM9+cUun3JvyB
OidzHP2Uc6wVdZ855Ylx0gu25oeoZQ5SO3g3xznwF8sC6EJosjc34AgoI/fD3JU+oRePfcyDYUFp
4cVRfh20hu6lw7SDMl5umhDYyDJb4yot97oWJxAvMKzgYS2r6mw00Sa1xNZUMywbeD+AvrFsyfTb
ZCleYOUeOnU8lYsGOrorLoCDHAUDDi2HBJqJau8MzqeEEHY3CgHcaBncmfaOgS61oHKP1ngvivKi
h2RWWtY+JY1JEcVL0Wb3VlrzoS7j0dCbg96Xp35IO6IOp+ssH7bkDx4NuVRaxl3llntVqrpmgwdL
dBEa+FUaEjIquIljK64E4ZCbfmn8IOyeRgaEDCeXTdx056rPGIou9kXjajdmXB3SeNgZ6czwMMv7
fTKAbxTNKaxsnCgDLjXyrfC93bZl+xgW9YG0ilMfGX4UzjeFyECJctOnGaO7MX4MU3trhuUut2Jn
D+5ky7BaJhd1J71wY8IGdJQI4Z6m6TpXhoDCsvaivtkTufUkJjhujsgy39X6mzEyjz3o9hVs0Ij5
ZP7EQ3Zn9wMLqM4ns1rxeqc46Zn1sjjudlTQI7gjO6fhucB93JrifWlDmkxG80sbPMUCfebKXtiS
3mhUSR5575m2cUqTs2/SWYgYxM83VnZww/5ouOl+6vqO1DCX1JHobAzZIQgJwMGZcKIRwz7gFnIx
CQyuyS4V4W7r0r1sIHp6zjht8lqo69hUH2K1P05gffVUwWue3DKGtHzdMT9VZGmR78luaTyoofI4
ieGsq+qlSEF1WDZcnXl81RSM+nEV0nuyr6ppBXEDmJuiD2MGePlLRecwu3mHcaDZpWWyTYtq9FtL
fcBudFG3wyqK0Pe0yjUzcdXTjDs77IEVLp+SzL5dkBMcC7Ou9iIMbqq8OCmSGhDU2dpYzBe1sra2
FqwMfTR3SQfIdmwmbZcy49K08C2dAVQhAmYdRcKlqgIxUdXK3IhYp401SdnKosrTJjxQVih2bd4/
tWN8WxfLce7Du6Bpd6ywQrm6eSjGeMt7viON7rGro2E/GVdpig9EsJhJLAju+bQ1jfI8duFdLJbW
d6xhp8BV7Ba2lK11vWQqi0eXj0Y9Kwz6GMPN10Ov3RKV7KwFEhrfaaRsRiViTbdObcbzfo2IQyN6
c6zjB5MRGoe/ZR+0gilFzgpgE9UW/Hucj8wruDuXY43FdWU1vCUkJrtmmrd2WLhXsJAd3HlDsV6U
GATqwCAzHBjKD33+aWCdaFhFsuEJgwHSIbev0qQIhPaLeL8ggh4zZdjty8EdLpKM1rVmO1c0LUZW
AEzpDM1ST4gnQX3irE1CZoYy1HxB1CcuJbJC1Ki1lVWeWAAV8/CIhqw6Fww9nhLVZnNkLo2CUms0
r9uRcL3MWVDHjJkBjwxpmYocayEBV1WOeGcv4KReaU66MaZkbWvLA8mQN2FNUm2t4ftll6VlhJsR
TPMUsJGS5pl1o7bs2NJp2xsBXP6u+zQw6FBT59kI9NMwYuSk/QUcvOkCckj09g4X1+w7dvTKyfpA
0vQO5/FZmNNbkOgHWD6IZiJ8PjGpUa1CLvdiHuw4P4E/1z3LzoGMYSCqcD/1PKKpujGfNcE5Eaaf
peVNR5LyCo3WvgqtoznFO7UB0ZxW+9yF2ViK1CdPGLBMol+7Y37bQd4YyhkEbFHc0UEXXq6kBxGP
eyGUE2stj1Joq031vgtcEu+jfWjXB0Bhj5ahHzKCXBqdJ63uwJiuPgfJsk7S8HoKqBRmzGhLEK0b
tnlm3b3lkXtUisJruegmGOKsST9DugNK7Rb7UsQ3jca0TCNbykjmlZ5DPZrEbZuyTeoKhAYA05nf
h0Q7jQx6Q5/dkFyStmTMqbu8157QF7P7VKeNSb6jjp6N0qJewdWuOd3Tp0zvkaux3xzR47kpLU0f
ZqBskwcSFrYsDq6Y+ka4mdS7eUQsl1SPpWoJvJYAbJUh/hI05cDec+wRfxHIZYrLINQJZeysNVrW
tRHY28SN924s3A0LksOQLm/VbF52lco7HjHQWhoXS1iOJhQ4mzQoEifXwWw551ItLwqjXwOKtqCI
iOvMUI5ZB0RCCfVNy8aWyMVIXTUtjqRotp7NEauvy0mDcWs6TpOD33IsHydzua4U61nTkmBTxYQw
4aEjnqLfpET94rLiXRMDtnPl0cOWZzWUbrQLmyzxkAqeKqQvaagsZ0VrDpUasr+x2onVQf6OTo/V
yFwXvsH/mwloV4f6Noynakt4xX60sWvOXQ8tXD61TeNpUrnREpYnfjNhnqxn41JN48t0TD0jMaK9
HS3tkRBLSZjQH4liDi/GJrh22+yZcaWxk7c7qHR0ZAVPc4Td+rMTdbfEcV6r4xQfXRY3jlrtw0rc
aTCxltIUTFX7bSgQm+TpsQ7FtrcNBjhm/o4gM+Ms19ah7tylXXkRQxpLB4s6k/i/VuueZrW+cScC
IYvKvkzUkCjNZMOEbyaTNXmoM/fZmPQbTE/lwdRZfvdQRDZaZzwvOWuFVlWkLKXYFoRDHZRa3ZSs
VvyqMIZdkmU48jH4Q9gzcqHfIgvQaCOaRjHWwO4NLfFS3VLWmhoHZJJ91/FdfZVAfR+cQCv2nTAK
vij+YJftkMozHq6C+KmB0mIhUJ0U8Tmp0FsXp3aZVq5x+/cv8pO8+/cXgdAP1IPpvC27uO9GFGlA
PoLStvFZzHulOAkGiopx1413f/8yP47Xf38vNkMaA6+UpFX++DKBEC5dgKBw197H8l7R/4vv7xe/
nzkPwBAUbnxcP39WrTtbJaF62bkYudB2TsC64lv3/Yvv4le/HxU8nxAflMRZ/Pj3D20UALpZ52eH
vsO8Mn9nkvxHGb9U0f8pgvvr5/PTdw32Xo0UjtIzQDO0Oqm6aWzfgP39liX+37+VX7wUsR+ghx3D
ZHvi/vRVkPtHPMZSpmeR7DBhdmJVMdY2PB7DQAn//rXkX/unt/XD1yIv8e+uLqHG+WBbWXaudA9w
IGh4bi3O1HnY/P0L/epNff/9//SmCjtx8S5+fSEdrB1L/mjDc0Q+iqv/cq394r6EPYL5U6LK4b9K
J8t3b0o3C63kwVucW30TZK8DQrLg89+/nV9dbt+9xM+X28JGqAyRH58L5zUJng3l/3E5S8gXQ1Bc
ShgLfnwLSc0a1FC04pxwAuqAOuf/x+EFWklYLAG4bSBC//gKhVJQ31tqeV7s19G+7PEgi+6/nF2/
+tK5iBnjGhLTK3eK338RgEWrYiaK/oytHcAGNE3VvB4atJ4+oK+//0Z+8VoO2eY4CG3ioJk//fha
UeAIhJ9mcY5kT70GzR6RpVCvSmqsm4+X+nfab/ChfTt0/dfu9ffR/uVr/va//3MbvbYd1/HP4375
U98GnsiSmV1iTQZ6DCaK2/zbwBOIHqtiMuqlc9GRePI/x/0yzx6lGHmwH1P9P+f9DFCxISOPsXVh
8OP/aOZpftyXf553OGG4pfgtGO5MQEWO+9NVzwZA6FWG4UuAsEP037dkqI4PnIHkcdfKuYpwhrZL
fILwOdECsBOYYXo7C+GoJMO8lX18ck33jjE+NZ9aO/6sQwFomYkRnLNzsn5jdcE6n9TdOPJPSv4V
0Q8+j/bn1oTxioqIwX20bqf6NbLRgHX9G1yI9ejqayA1VHpqdcLx8dkycPnPLoPRtsS8H+f9Lqma
HYqgQwtPiEzazUJVr0C04K4aKIDLe3scLkct6hlbGfEWdetrxr5LE+Ipolrd2AEM1qrOkZgRlMlq
ldBLw2ovzKkbNk5Qkfao7FwdsEGU3JJgW3kMMAD1V9N1gVlg1QIlHi0Zl8lf7sBeR/NY2i6+UiDR
U3L77OrZFzYn1XbWEOTEyGlWgHjvmqx8zyoIcaIY4S60ySklCsaPQ7KlmP9mxKfbpmdP5Yw+2wEQ
PbMx7wo/xAbMsFO5yKmNKTOvo4aBaOG4F+qg0DWa3Qn00l0d9VuYSdfxFCtkKjASnPNxKxYHwgcA
Ok7Ra8wm+cpw3OckUW/mFvVTDXkYAaSeM93V75Y8fk5p5ccMmk7ssFjXY6ZiDGmSWrzL8esuWSbi
kOJ+XketRTZeoDMOjx6jhL9/OBNCtWCf8CzK694CLlcVurHO2/6tTNK90kKcQlqIWxvTR6eStRTz
OmJq2QC7BexXTFRzfjM1EC1K4vRWi061HaKNqwsgNt1Mbs2Y8HMZK2lfzVNjm5f9mbCmR1MN+N5b
ZMAqelWRV8/Qro+wGY9NTMukhCrWJcSDvqEVtJOkbtGHIvdMOnJt9PKyoHesY9MGBcEKKWzjS2BS
zzjB4k2dYfdh3ulP6KstFAarUSqW1AwhqCquNK2FcDPmu1QNDk3Y7ynE73tl2JZtATykZNoMuQUH
eYtgbQBLbo2MbLJI4JwZnqS+rB00BM3TFmzVDD4QcXxhlRS6vKvZvirrEQOXO9w6abbpGDstl91w
CpR4Mwt3H07FWTWLK20IdoSXndGgu/4glxVy5iERhH0ZLb62NAxK6RO4QOMANR+b5hrpWFnwS4vc
JLkFpYU3yvFZLoZ3FtUp+GsdEUAlb9W0/TQllj8CHrKTqQfRWieejBvbqoW5j1TaxIWxXbPSZh2V
GbLbraJM4ZrsIPAswF42LknzmwbDTThFhEIHabLJB+NLzwMeTlL6pdSHp3rpPy/2iLS3ZYoa6uMV
2ZGQAmNrAPxrdWuOowFKbV/QPdLQdQfOntpPnIoZ0lTXMDpB9ZoFs5qN3leWeT98ZFRGRkNcpUG+
WDjWBUhOeyLP0vnItnQKBZp7PWi6szMcMshWjQ765JJJ5tzffs3NHN1G0Q/91JeH0Syy6KlZDG04
k5myK6WAuUp41JYGouZYypshG7+q6J1bKXwmp+3CQI64aaQo2lGsg4mTyYeaD2oN5XRdli0jAQvX
amI8pUAAWAvhFFDFYl3oUnydFkhZ+M/hZ5vlSxUYr1HSaH7nICXWl/odcvkAHbMUK0NKu4UUeTdd
M+ExmE4zLKopdpNNiiLcKJprJegPuVO+DPH4vii6N05S1f0hJq+wKLb6dBHNe1OMOeuN6jVm4oPO
b1x1JNutdSlO77rxVmjJZYBqXUlmyGPa+yLl7G1ovqdD/lCI2FeWC5QYiW+YzZoF1k06yTjmiPwy
sOrZIYvsk0gz4bsI50cE9NGHkl5q6ok7Y4eLzN6y0wVBkRuuBRJ8jSemP7I28eOpPy2CbC1zkvLm
pCLWhK66LUW3xf3G2U5WsS2V/kuDALAIlLsu9RczfNSkJ8AxEgR+CsZMJ3VHXrxBcI2JQF9cYion
kHc65FfmJ3gN8qkCG4f9oHI6fAgOA/NQtc+gnk4kAeTeVAVnl60d+ZW7sO9eLXec16SH3s7S4LBI
q0MgTQ9mAn9M2iB6ZExlVl4kSsrfEadELy0T3HUG18CCjUJgqGhwVmBkueeA3ogqO6Z5BKIp1Hc6
Xox6iCXnfvIGXBr1qF8NTnXjmuWnWNo4yNa7NHDSweENvKEwgm2wqI1n4v4Iwe1z6iIa10xoBREe
EddEFzWEhZc4Wr1tzXj0wOud07i/ohLZFFr3MOTqDrwYFkFpQpl7Y1qn0pgiVKf2XXD3WyXkT21p
YLEghDJHU7cobWGU84FCrsrOopKSbxwwfVE0rPzcCxtvTMZoez2XPASlbUYhX22rjCoDP9fy2NkT
MsqddghV7cqSxhulreSUTuDIlbacIQiY1X1YdWx9bxjxFVl2DwpE641SoI3lkOOAQwO65Bq3BKgy
rRkwAal67lv4gooyfKRPPreF/XnBNzRZYsN68KmUlqKwsvwOk1GQV0+idHa60dyOmJD0RPF06UoS
WQSpaXyV9Mbe1t7cdLkIsTEt0s/kduK2kA6nQjHZ2rCk/Lfs/qo0oEr+z2X35Wv1i6Jbery/Fd0a
lbXK6MaGbGK4spX7VnRrpJvicsVbKCRf5zvppvMbmhwOd8QJbP8/TOt/GAid3xB6ypJbl672f2gg
1IXs7X8ouqWUgebfYmCmWQBqf2zNGswUaM605VxVLWQtJnurxkXxV5nzvZrU20Aafkc8CkHVfxJ9
8BJbE+jqyTi0ZpBhg1Hu3aH2hTmfzAXelQn9T0P1vhJhfLaIhJgDh4I+RMqMomZdQ5ZLJ/c06uax
zMutE7q7PtGY4+MSdEiS9poQ9XRnjbeWWfabTlffFKsgHNkF3DMY4cmWDkOF2OGVU5vrWZN5Bgq4
Om4NYY62V2nOg13pV8zbzyZu+lXfFANMtCGDVj9vg4nCdzbd6ywJb0OmsoUJYW82gXSGWSlQDxlv
Yxkmp2Xpq9ei43Vmc9guShN6OnEtGLJ3NA5ig8uJTWuGe7Jj9N0BBKwuehGmsjYpVr1mu34a1Qi4
zY1bZ5+4E/0ORhCL5Xbb1w3Qr5KgvWkhfcIWZG2O6a4pivUUdq5Xt5HfGJm6J0H0oAv06SrBLAES
C7LsRIW9jEV+SuqiO1q3tRpb8I2bzkOwwbtwG+PsZNa+GHuxKhfqKbM1sz3d36UF3Fkvis5ru+Cl
DZ27BPPhPlb0nTEHbwwHOaOoch3Xyv0WJQU+K5I4FMPYlVHQYm/OxR0SBHxCk7lndTL5RljdYJff
gQ21vciEAhkube2VcRuA0xhwCAoCWKvExfNFzMMSxfO6DsjCxgj4uVHZiwy1Sj2iLNqNW6sOeqsU
7jNBAET0RL4CO2AzjMJNmbJoOXzRoNhbvWLuUE+N3qg46b5yTH+yDXRZhkE8qmYn2w7rT71r2rAM
bp3RUS5UK/oSKiXNIs68i6WKYo9M531Th3eoJBrpCNkZStV5jF3WbdSb68Fhzj4U5aFwmlPb5u/l
xHPCWEa4CsNT1bKVtZb4oddqEnt0V/eGoHoaWkes7XY59sV0zHMhLXAJ6R4O8TpoK7vRPBWLwy2h
PHSjKjxMkLtEY2FghcbZxvbfO7BCY3AIAFxLCoB2m9jaMbMwxQq3e1l4slM83rsTvVZuBvtQq80t
8ofcS9Q6XjdJ2W7iqCD+MD1FIS7VLIzWwnVPRebuOuZi3mgrX+IgvicRpPZCJYzIgxBf9Lh6GFLH
V0KSsxsQx69DY+LpUZ4HQ/rQOuekTzWiOJqpays1XvABHFrV/mIv7YGN1+WiGocwXgwKHvM8laV2
Kpp8mwnWypVtHfQJj2fD4krRohtqBDqieH7R7LtUWRuzc6jieOMOBJsFUdx4BUFy8WATRZtm1xCG
FQ9B73OldDcJwbseG+SryIRgizOOsohUIHx3imLtFokbhqIOd7QBldeQOZxF7sl2Xbij6Rltn9cb
fOsaIMEBK/E2zZcX18J9g3Tas5gnmJjwMyUJvW6oj/247N0q/gRjlqxJVfXJC3ThayS3XWZ+cul3
/X4i+L2o7YdQ6QpPzQNuYmwnKz3qwFFwFq7cJUPOXmhz/hXO9u+gSw6f/vMT99y8khz+10GX/Kk/
nrnEhhskvvH8JvxN/eC6/PHMJTZclVQuU7McJp/f2yV0AsUZPTHRwpz/kTD2zbSv/6YTEcb/+LUm
j2rtn4j7UO/99Mzl2c3TG9WhcDWDNLOfRq+1BYR+tEUAeAPxu75kqYvc1A0OCmbdQ2G39EqKmPsX
I4ku4mB+xnu2eJWdfNYHokXJsxntnRUhEFrXukj2oqqJrE9irlvNisqHsBmIYQVD3mK+ZNsK0ze2
tNVY6c2rQc7sW9eLoNlohUmgMKH3ZBHAL0Hks8H2ntTrLms1F+G2QdhQk8DhnW2Su11up/YjzDuN
K2Yqicz4nprmXSEBcmXK/G8zDlCfEAke0LPiwyUlXNE5+2EgM6GaQ5C/hIlnyDUqwsXR6/CUHa9V
fTlGhI9DrToaZbZXCSWfWAkyGmE+gEjB9Mp26H2tNaIj4vetqJSrZEBEVgXOoZOJ55bMPg9ZRx6L
tiQ5WxnT9WzhGWgqJfHtuj9PXXtWUsxbI7opTA2gIMtyXEchCuQVByzs/1ifm/dU727jTNxS1OUm
a9KuuFLqdDnpRorAp9pQhkdP5Jx5dkcCexvk0DgzUOFlhO+OEAWtYlevlQ4r+t53Zz2/VSxz3FQO
0gC7BrDbcC4Wtcxah7kO1GRaBYtt+ZpaROchHANyVTHb6iYL/kmhzR0RRlgwV8XcQE/ocdhp1FKx
ciLeajNYKkOrvjLuW5eIbgwrzEUzZ0PBFaPEpBfslwYKjl09m0FPYaUqFCurQgtbr53Rgn53K/5i
0feX5Q43nITCUSCwvqCw/bGYJMR0FKnbYhAUUbXRs1F7JfbU8cY5Zan0b8fx0XEYf9tx3JbZ669S
CORP/XH+aepv7LxVkFagDn6yiwEzYdKv2xAd+bLk1ucPZbPzm/xP6eV1tjHszWlH/uw5EPPb0oJm
YBuWUul/IG5WHbnj+7nn4DohkUdDKY3K+sfLBPpF0tC5z2cHT/eVnTBdjdXKfiozQ7uYx5RAZZUI
M6cbxGmcq2A1LENE/NOwPNju2N1Gosy2y4IoE9dSsLaVrlkXCPDXTi0uM/nIH3Q1OJomaA+dIMTV
QMgayCQKMTxA1bRTGFNP2kK4YBeR9l7p6eeY0LltUlBNEB43cm6000seReFFWUttLGHVvlYITkDH
qRjhzw+uhowx01/nILcverYum65UxkORgmVvShDnE0B8CjBxTpF1MqoFtuRadbqKYnPHzo+IAZfw
lpUgKYApTpIgmlFH47orcr9elpCRZvUcTWGAmmjw4rS6SCjmJYAAjMbiEipj2NpVqIZPIp0v4l5v
NkZVXJtlLdb0I8q2s8LlYgl7/SKKhL3O9Oygkr2yJw3Z9YkbNrZpVhjrQdOCnaViP2NKmF7UeTWC
ehmul4YytMogH1NuLyvFNNE4YXjXQvcy0VkhDDOfjkKK603Mk4UiTFXPLbEP/myP1b6O2oteS15w
8E1A2MFZ0Agna5UuKSLisPOCgS+M4UrjZ7KdCuirEkPBa02jNdFx5R+tl2zC2OYmp4m+TElp0ECd
ltS+NG24OJBah7eWbl/ndqiv0mnaavR5GlYqFz0nzV9DF0iHcVXSFYqwtRnSx/uKfpGT1+RANteB
bCUt2VRmsr1sW8bOdpEfWjpPU7agLb3oENHFtMzQAEfRqFLan20614IOdqCTTehoKzrbSLa4i2x2
rcC6wkC2WeiC8yWG4EBf7KJip8GhU2boS8ToPVUIKjx6aZxn/Andda41YGNot1367skmX4A+vJYN
+RRUiLVlk959VJN1akLXYXvcfzacpfGoXNAwB+V0dAkx5K7I4/SoWtgTJWuivACupfu22kzHELXZ
/t/D+OMwlkvK/1yMXhFH/9r+tRiVP/XtMBa/0WCxyP9ADP6Ij8Jk5bIRlyhVylWZT/bH1lXAnAJK
6BhYQ34vYf84jF0Odwh8rqmpqFCkCeUfHMZ4Wn4+jDkmCNXlb0F5i33rp2e2EYUFzqhZPZsZiL4d
LDUNEEKdnhK8fsbSXjvR8kihs9LqLtuOofuoxNH/sXdmu3Er6ZZ+lULf0+A8AH36IudBqdRsSzeE
ZUscgzODw9P3F3J5l+xyeZ8N1AG6gbqzYUupTJHBf1jrW+1CKPYSPW0Q5tUiwUHYUIitrbK5dmVJ
JJN+7EP0lngOLbyHc79zUu2xxI4YRhtCKc6G8ikyJgDd4UwBFyb6rIxbjapx/prbzIInBQ4gN+MR
U1e+9i2N2PWhe5xLsRveHJJYJRPlmayVexLV0XFWfkqIXCcW2QBSsFoWWj+R8aK/JJgwh9n86itX
Zqn8mY053grl2ETb/DhM2kfWJxRks9rcsO6Qc3BZuNN01OzshoJdJWDgBR0xhVIA8R/D9pWSyuY/
Eo0mDTyqOEnJVsT/rNylQvlMZwynevbJma7YS86LFrAjUJ+dqxjXodc1q+HNr+q8eVeJTKWfrfCG
IW5W7lbjzemajMAeyfTCUToW2Q5mbb0m/g1ihj1Wa+r4geVKoMR8ZOjq05RhbpANJxDW/sUUDd01
Lg62S3PeXMvSSrd9BVK58mj0TYWLahvq4bgma1QUGdDFmnnz3NAt9MD77Mb2F+yCsnXXx85iDErB
7iB0EG4P0zXXpg20J9VX6SCXcemWhwBV5CLM7OQUOnq6GoK+5bwHPTE2VP9IGlk31KyhiVO3wq2R
9a9mUPrbGjrVss7CaGe42rPs+PWRrlSvpWSsbtQUrgnmnx2lzUuglQ7W6mFYY1UAnBXY+1wHsFE6
aX7lWwzgjLbAV6dNyTowsFfbuUWwgGydrR/XL2z/g62jOpO60fIrMGDRgU8OC184FJ99toJsCxN9
F+pqqa5rqlimHbOMLmtWhsfWV2AlfK4mkOglMcewhxgBdL7WHAd2Msdo6JttEGOMItLD2ladm7NH
B7cSts5rgqaIRJqY5bdtbSnpEQzqs8AaFFQxcxffftY5thdEKTF0EUBUIoFStK5syb5qMMCDhYXL
NrbPn7nnokPD8GY3zFnRrWOSL/T1aPkjkxTmGK85IYM7H3fldan2kdCc2yOcNR2bSZUsG328yzUj
wumTkziP3RhXVP0waUG01OdQVSdDyShsxHfUPrJO+ZiX7KhDP6BpEjMRTgLDeKqD5/Cm9MEoyqu0
bpOnKUA6b8ZRjODfJ36nQhY799cQn3wARFgpiZGq90HvvsS5fKIP3QyRHy/HQHsd0q4lwzB5tLT0
gJvq0+gCyLBajdW6aNQhEpz4KPZ9FryW3Keaamg64d/pvnNVG/GhIiF0UTTlpafbX0w3+ChzbVzx
yIN70fh7v2l25dzetnNwX8duuNY7JkJ138AVnZIFU7Fpa5koUdMCu4NPXsNAm9T48U2kNxQLEYGE
qBLqo8MqdUwhjg2FuUvK+JB54dm3hpM2WrUSnfjcKXArgfOxD0pyMkdwwjynPr56N+vSXWRJ1Op2
b6FGDuyDC98dsQcrV9sRz0HrcGbpfYEOuL4qB+3Wbdthm2ZZcoiwOixGdkHrbBp8fiStI2qIHJdq
5EwKyyG6FqgwFy23y3Wvbp5ZhxzSqBftKnalKSHkW1BkyU0eNdXKN7GLcML02zZFOKE5Y7CtbGNa
z2nsc2uzKtRDb9qOULbWITQ6ZPTCXgdz6mKJcF7p6edVZs97fCFn4AtHYaUXYK7F2hp0c2sNVr62
9CrcZARkbWLP0bc5S7KVDe5zZ7qjs0or7AFxPiNaT8ytaY0c9Sk/bSy4a82BgR5wpAiADCqBqeKU
0uvQ2A4F79RppKMiByNSZA13q6VUSalAVVJHXYTrlikzx1T/n77zmzNclR//utS5SeQLloWvvxi9
qS/8Xu0Y9gclJzSJXP2mCPtj28VQjn7UpKJh7sVai6bve+dpf9AZ0jFeYwtlq8nYPzpP6wOSNLjN
jFuUC51ovL9Q7LwlCbxvPGldXUodfOsu3E7r50CL2CwkLkrLPAEiozG50ECAAQGiWmkFW387zc5B
b1oZZqwQRBWy+nljTBPygqlLHLYqen7uy1rjbB61veMU1qnnQbOC1FQcRRiI28kiKrof7eoC8Gj5
pYu64WCKIbu1jaE52mWKF7QbvZfQTFiq2H64MdKGFCyPzLynWOdJjueChPFmqBZ2kG8z0xhWc144
z5JZz6tmJfON2bpJTwAR5Odigh+o+1BWKrdejWZqsqxP8WbGQHmF6MM7k1rjpq+0PL7VUyeL2m3u
GfW8ZwcCuKNhFkpMtOEVkckL9gCWzIVkggptigOmnD6T/CSvm8bwB5ZJjWmvwtmV+qXrVvBUnKRO
77V0drAvyczzAD3ScOA0sUhbdyTc/qzv2YRLAbGFKnTlzR2t9XTwu4pgXDV/1GUTOEepRpOgWphS
CjWwBDDA7FKr1RxzSgrLIvezTfcTJrlgVc72DZo/6e1MNQ4tmYt2ac7x75KQdHKw6+792k/kzZyy
TplY2UM9irkwh5MI8qnQvk29/jOJV8kL//pEuP38hXA3BKflLxogvvL7kcA0Slf9BdRCmpm3G//7
NJ5/QsGlQBPf/oWv+n4m+B+g+yvBKbcpRwCc3PfTKBojA9qQr9i6f+1M+AW8yKMFUz8d0ldG+z8z
+q1UFi0e5+GMyoaVXJ8wuZRxuq5SSezg2G2gb7c8qR1bPg6pODIZCrau7nsL2GUQG6eoXYWFbxCO
6a7Zp4qFmApv6eqJdtS7+bMTmvNl0Hcvg1u3JPYRX1jl4a3Va+6pkBSik7RqHuCyvsRmsk6j+KGD
tD3oBTFpgX8QnXlAKvaajdPDEIuDZ2fnOscGaJi7IInTRZBSLSbCqvDIGYwRJitfjbqNsk8l2tuO
+5J69v3gak+Z1F4GqYLOUDQux2EisL4UX1GdkgGqa5cd9z/1UjEthowltgzcZ4VSXBE/YyxzTxLL
Cd5vBcTlIRbltelGa7fEPu9N4MzqvpPrqNn20SlK9m5l3dSti1k3fJmV+7i4cg18qpDIL1HTbOYx
/SiIqg/N8EtcOHfSgUesp69ThE4qyc1rn0BOHOvUtDJqWVcyJJt6VEt9HuebscuRxwVUW4073Yqo
c4CsDfaO/Wu6tPIYJ3nRe/Rf9rxkMEUocZgGawqldmV30S6LbTpYzdpCUU9v8HybnJ055exkMyJP
oCc6JcGMDZBPcGz0NplvVAc0ADdlO2KowmyyZfWHIM1IVo3VJYilUmfXh8GUPRSR5kUns53FxxQw
KdsF9gZ8fHJGskuDK8eE3sXxX1s8aGMsz3FHarYl2s47dWHXBk8NUr+vIi89bRUYLG4T2wg3Dg7f
s6cn45L6FUufORWbyh7Kk5jN5J4t90NDsiqTxeApI7yYsr0ic9ROzZVW9Sx7Jv8uKIa9Jchya8Ie
+xpr+8Yw7rWegqzXB2s9AurcwhSNboQt6oXX4nFoi4CRG5+l1crTCAbhjisAlQUp20ucEOMV1M8W
1eJQ3UW1fG5xNRy9zJRYLeOXyqB/mO2JiWRgXGrA/tGF4MWD+WssvaDrd00fNjsTC/Zt7daM6kqv
uMtM3N6VkcRs9Ku70u9WXedqjMd4eEQMT0eXNIM+BF6VqslqV05YhJm1Ircel0LNX53EHI4YKFi1
JyGM2En/zPhsWcfDgz/ZpHarSS5VdLqK7IA+eLS1PbBiGFfpAFFprsNV4nfFdqzK7EvGLmaX4xde
zDC1siEed1JNkpsumO1Vw05+gR6wuR7UzDnGaHfy5XTZ8qRaBNQXS69MuDOFbDZkOY5AHYr2pPnI
6lojw0nvjPP6P8O4b8O4329GPhd/27Ad/pK0X371SHq/IDFxLuBFwU/nIQ5Vyqs/HknWB9RYTMPU
upcB3D+cEGSCBCbkI2qPP77q+0yO2hbqEUBXgDKYY8n2/gtl6s/rYR52kIxdMmPUN2Wm8eN6xMmh
FadhM5/n7mPthwt13b97UP9iT6e+wz/qYJUUZfM9gGnYZgD7mX3OD94fLlm3GiuLef2oLXAhkCbP
HOOrlLvfv86P7+SfX0ftC9+ZvQi5rFA6OcwWFVCpuRi8r79/AQXZ/+07+cn6FzEbMvuYd2KO3kLa
9x6jAe65QKOQl2uGrstWPlb9rk+uujLkbH9JY1zKV2bJogX9F1RSwnydCGEQAnv7uk9vB+ipYyD+
5KMwqGV++5NyYb3/LKxEC7uhUZ+FtQ4ZktXVx14yDjHs8wB7ICStJJlePY3pK3/03eSbQvNfmiRV
xfRPPwC5hI5LF0FqgPnToLdARMBCzZvOcMMJ/zaCBhEvIkQmCBWkiWWABg8WiO8fGrwPTj/cGPng
MuMAHyx1bV42Ts1wrKJJ2HSRfhg4v5ttLj6ZwjoMoU6NZGqpcT9aIt1aWZD6TIu6RZGmIDaafcUk
FkjCxuimlYSkHM9n6SZrEbHVoKPq3XnbjMGVMK8wA29CwBFhjuXhDpnaySLdsyFbWrJFhhe9txws
KSQGTGm1yojTrJhvuUwJZpqPZDKWPQAOTxfroQKJ+qlFkg7OeVEPxdHo7GtCU9JRbCVOxHsBI7qy
ZmtdBned7a7IfyF8jpGCk0Q2HlJMRLrPxKPM8kc0Amx+2KcHTtiq5NqL31/Makvw7jeEAerHG9/+
6XYZElbn3djOZ31r7cL9fNF9tLagLs4YoS66Xb1s1v4KSv/GWh6aA1Epq/FR22ebbqtv3VOySU+/
/4F+MqD+0zGBl+z9JWvnee8JdcmW2b7MFsWwahABbkiI/f3r/OrKfH8c/XTg+YmY8zjmdYg+yO/G
r7XKrF4yRHfDP7kJjB8/4m8n0vubgNHF+7cU8PtorIC4h9hapldgV/oRxeliaNdpsIzONLm/f2u/
OgGRIlnK70pm59tE4t0JKFiAeF5umecBcVsxP0vt6vcv8KsD8P0L/PTZ0SR4JKWZ5rmVK7UwGbRl
O/5ZZuufvchPp2wwBu48+bxIII9zfejcO9N9+v37+NUj6f37+Ol4nHhWo4xxzDNhamzNWWq4N0F6
GSCme3uhf3e3fkq+NGVbvnb/W33nL2U1NUkUd//nx7+23/4evZTKkfnDX9Zv4MXr/qWZbl5acP3f
KwL1P/+7//h3P+cd8dj/9b8+fyXQc5W0XZN86Xi8/Oz1tLg/f9euF39bvKip06+/8o92XWe/iAOT
teDboI475I/ayECwDuGXbhm6Aqi7f7TrYPGwjZr6HzvJP7p19wOeU8WJdDF9OwTl/JXSyPJ+PJM4
IwPTMYjPcZRyji3oT5di208OJGpfg7Av0mVe7qXyARW5C8FCYb4yb9ppCvyVQgCjSQ+WUkHBBuhg
g8KE5fDCZgUOQ2WVLgEAomhQWLFaAcYSSGOM9h5KyGOVXp8mhleIs/wLOKjN2oZSFkIrQ2G9FQpf
FnX5DTO3Gs6L9QUl1lIq1Flo6deBjtNx8EHfNGnzUR+91xHD3SYdqlthpveeIdCfZQhQes2b1yKo
P9l91a9QwaxEpg0b4gVAP5XapqizHtFWsx0yjcYT79ai7cUhxpCGXSsseeaB5NFW4Wg/VbnUpmtW
cb7ckLM+CPBCKiqK6Di9GskyIVMqwOuG7i3YVAZSV6mSp0y6OxAn1lqqVKpMxVOpnKoAdYVQyVW9
nn7tiLJiIxYAyvMJFuouc3lvtqUH/xWcPVs+UDHEYXkqFwsW8lOqkrLGAOIM+Bq5JCEDiUPbHmq9
eIacl0Khz/GGrR2C0BjuC9u8rrOIRwwrAgDB2Z0ey3XmUTJwmOlqmvGpIKOEjViJdHAsLzj3pqXm
BevCC85WVO2LvLxsjXYrEEHkgXcYnfATk2ijglU2kfmcbvrC1vdGr1LSeN8wi0YgdS58FD1nPsjP
89GPuuQgEwR8FR8f0NtQU+A+cca/fpcrOJSoPPK+4EXZb+SoTkGkSGcD7dO8saWMwT/N5nStt3gx
dbdlmaxQVE2l30awqWDmYx9trHMNtUqDq8WE5NpJvT3gxm0m+12sMFcS3lXni/MYYJgcTRDBELFs
wW+ecjVOnR4aYvrRAZ3llfF2oPMXiqkVANcagWxVwLYaoFsN8C0I8TtD0biYj1ZLVxG6ZlBdxNbA
7DKgd41gvFzF8+JXnuLMTF9Sdl+y4WfTpsgh0g0OmAsQDKPC1gIQZjZsgBUxrOvz0wxCTCiW2KSo
YlCKb5N+eC60FnftXdMbxjKog+sIHFnFnqmo5gMwyAc9SAdickAnAjBLppRdIzv7pM2ehGKcaR7r
LEU9s8CfkTKFVF8R0WrQaEFolGtdMBF358sBeFqs+x9Nev2y1VYlcDX86s9WpQOPVNi1KD4PYNjq
ZrigunjIFZ9NN6dNrYhtCXC2EIQbYO/LXjHdSAV+loryhqT8IlDcNzwjxzznv+E1Js2nY7At9j6o
ONkVR/7nDNAJipyneHLZG1oO+M20dN+Ac7Gu4HOaGz2mKikGsx3mMQB1WruDvvfYAq4bArnGTrFN
Lf+pA2wneltblgw/LKNfdqDvmqj6NCkWnqkmdIPtXvhg8nyjJiRekfOaxvqUgNIbiLTPFVuv9O1r
C9geIr5rU9H3plmeHAmPbwTMFxZsQQNChWKQfTipP6ZmdhHp7b1XoHDPU/2mA/JnVoRFscrL9P5j
JuzbRtEABVhAW3Cr6c0pARc4Km5gNLEkSUEJ5mZ9rEELcpEcSsUajIEOtiHWDUUh7Hv5SZj1alZ8
QgmosARYqAXGUWM1SFWu7W2Qhjpow66p9wLU4SAd0imyixEibpfP152EruSJ+oQf8zhWXLI+8ykB
PhHV3lM2QH6pnX0HXrG10ZeBWzSs+EGCX3TAMLKuytk9hxvpwF8C1JgBbDQUuXEG4RiazQUpgodC
sR1bII9xmR1xez6NwB+DHFkZ2v2FgaxumQKItGWyKQBGQi09JgAk/0eKk+1LqbAP7Y/FyP/TtQm1
wp/VJk3xufma/ErcqhT03+sTNowkIaB8opz+Vk/8UZ+wYvSRUrE28MAkIS/9R33i8C8UIYHjkZfE
XOeHFSO7CSVHJUNdGQD+UoECAOanJo4ZPXWO69FhKy3tW2Lfu4o/GB2tCrj8LrUMb7CjVl8+I/m9
q9Zh8m0z1tVdg9t+gpu+jDK1PQuHuk3vIeam7NbVfq1Qq7airiLytFy1ghvftnH9t9VcNGJKJx4t
l7iHFvW3JZ71huLP3rZ77BEbVn3d297PxxvN2YMxBvcnalxoCHN6J0qe4QzDU3OZZ/p0GxPMlKjg
mXhTVYShlbgAduRioot0eu+hAOsALhRo/0MlAh+Li1PN09IuGCMvtbYulplV+VdWJivSS+r0kVQY
ZwdBp4PHIPOQ0bURkUPop8kJh5jfLwVTkGjpJzR5QWnui0gXS+QDPRgtT1x6biFvBHaGddNnpg1P
tJDEHpDt0ue1/2SirZiXQReUM0+r3iVoyQeUgA0q9240gpnm5dyJZJc33vxFmJoFu9Se2mI56TwE
zU0fOCmDW9vqocH60uq2DpsErcXHrclHyJqGgWaIoAE7Nfq4oDuMWXyyxESKXAFOtuY5IGsKec16
qppo67HpuW4bmT5ZQdFeB17rbdLcNZj+41q4E0N1GVhtNVyVGp/mVaFFUl9HrQpmiMKyr/exafSI
SBIzfcywX9yNQZ+jCXV7hKcD3vV8p1tF5y00vwrTfU31Nh6El9jDizv40UsA6HoLLTWEhhqX4P8C
mH6t1qIk0YBhZX7SfmJMVjXnmkE3j6i/jxT/3W3V/4cnF53o70+uiz5p/3Z+TtrqV60VX/7H0RV8
oKtyEMSb7OSBI/zQWlloJixuTN1iLPnD0cWxxSCaf/BRMqmu6/vY2f7gM5AmRlSlsLsw8v9Kb8X3
+XH6hBvAd3wYQHw/apOfRiONyZ6DozM6wyRE63xM7L9bNv7lCBLa2w+voUhtvsVKF4cI1SUuq5+6
fGGUelDl03gJNHhfxH2wGWE2NhtPjKfRQu+1Uilm25kR5drVKloUgzjSWxMyeLnyu8A9eY0XtBwW
YX3qG80nw6W33Prkupo+rm3awwhwuEFT1RLkWyLKrtj2CbEGOojom3NzSxyauR4M19g2sV2v23Jg
XOlSABXSvUpRQmxJCdBXfckuM8EQCTyxKVNtWwjAb7dFM8evgmNwY33DFvqIBNfIChTOMMj529qo
bNq72FbMw+6Nf1jVY33doYoiJmDezGSlLbQx/mRVxjEeYzwAgBkWRHftLVlvaSIvBgwFC6/TLvtY
PjiZdVcH7W0DjDYq5IPriIIBcU1MVmJf1GRnRXZ9AfQX51SUwYjGahyN7nFQ2ZK6UDCFcsviUIca
nrATnQ4Uoo9VmgJEzj1Y4mV9bhI33RG6TKSl/hy72XSMK8tb2iGJ1H5uINYr89UUBMARCB/B8Qwy
xbbEphtHZ4t+eD7WU3WUobYdRbbrtCTaitxpVmSD4wiu8H0nJzGo0bcFRDwCQzTPzT5skpvYqXOM
Fw5IIS3bNzNT+qg19kU7NusmFrdl0x1jS7GCJt39MsmsxX4RDUs0B5ux4lIdjWRt8yDjaCxWgpzp
sapPgw0AwyBxZJHhP0JhBLwkSp1bxyZdzBptaNGEN4LhCJDqhna31KfuVLuSXMMANDW7dpK59Bfb
7b/iA/O3tHfiaAWCJjzOnOS6KohwNUY7cYDeUh56hnYIstTYsoH+QkzefnZZpxvefRdrKlPFXfgT
zJHMJ4/OuJiFfy2LYhOwnU2bcN2C0RQuDnDw1Ft/6MxVbfHBO4W3a3X50Zjx/1ZOBD8keKI8OAEV
AVHUjAd2RVcz31QadA8Qo2YbpEylfTZbbPPauGf/fWGFgKO8hzF8Kv35ACPX3zhAqhrPua9ng2Z4
fJY9C9XOh9ABQNQxp6soTA2oEhmawix4zCPz0WLIgyrJuAhsMmQG+0zexSTseBnPyBidud54sXbn
j+29nUlc7IxWnTi6siUDBzTLPIckDHUGyQiKMPVJ46HS4jvfF/daVS7mYth4UfVqeuOhDrTDOOrI
pVP3UKfBNnfJB0S9urJKg963t7sbe0gPvL+jk+pPCCkQi1ussOD/E05sVWSQ22O2GzVhPpaD731q
/RJb8ThN4b3owuxmDEmOGsfcQOAcNgst6eJVrSn2dI5yMO4Ao9emRigQt8WFrJzksrcVuypvZEii
ceWqOwyxKYlJAaIHvw7955kQq1XsuA9aa7pr2bqXYYwNA3m8RKodtFzMJFbKqc+Pkw8HOjKdm07X
MfXVQ72KZOUzoUmPUIlvRZUBHR8gVcmqjTZZYH9yXUD0BCXXPQmw3khInQ8G/RRWzEnGuUoWmVs+
2xGOR7eeYm45pjK2c6dHVcbnOGXgyqKLVBjzYsrCa0iwz/0YkNoMbyY160Wo6behy2/Zqp7aPqP6
S3cy7V69ZjgDcEoJBIwRQQ/5o5mSn+p6T+XEzsZvib0yiMwKh5RNWlugGWWg0IbOapqSJbzxdVqb
X4XbjdsKGlNayEeJ7tuxOzj9CYFfcJaqhl9zNkCN8D4aRfsASOmjY5RYp8f0dsyniyIYdl3NnEgb
0o8RHKBk4BYdx5MMxTYSLO703L3puvmMRuJxjJ3LMrWXvi0/DsoXM0C99QjRkHbAYaED7bQZG7nZ
E5SrFvGMS5qwg7Y9B+Dd+ck+akHAxVaBvsFxb3FZ8gnmzLWiwruDc3PoLNJf2kR/5ElwBFWGVzcp
ruCrd7syjaBj1Ywu9GbnCGvNcYNMeYSEz7sXsXdBBMOuyaKD0TmPAVl64VwuKz87o3Xa0WwvWhyl
C2FmnzVfWzlDsuvJBljUffhZ77IDn/UqIbZzwaL6YPfTdUsI4TK120Oqa7vGcZ9CWlsJX8ju5G1I
ogOD1HmDYAnLVBJf6fb4Guo4Sif6W91O6W3B6QVOvq3D+k4UHWLeotzJSNY7PxDThUGMYmqaUPmT
Jzcsj3pDfCaZWR14Lt1YlLY9XDETjhc+8QokmzafCj2GdqP7Zx39OJVrXStOAIb6eBQbjBNfkhzk
HiYu7dNQuVwv9A/rCYnwwrKT/OuIuGRlWiIG6zWZpyFuw28t9r8sQn7aZShmr22BOqEKQT1m/KwB
NTLHEAL80mWagnd/yIJn29m+KwGZTkxRWfwJe/iHl1CV1rsWcOIqdjMEKoTe4oL2zn11HtM/2fv8
tC/5+9twmYc7AGIcNft//xqm2QPSC0iFJaKZwxGtADjsO01b/f6t0Be/Kwrf0LqKXWOyB0aoR1P9
48tEZTpZXiajc8+0q07pKUDCa/V9b18NRIK4LVR85z9BkH9XWPPp/r6VOH3uXn7VRPCF35sIE6CQ
D3HadVXl/0Yw+GM/Y36gbGfuQAQXosr3TYT3gRmH6fmMN3R0Ku8l1p4SvCAH4Dr6t2hXiFv24St4
7IlICfrxemn7gQRFdxoIgL9qIns9pd5fuyJZStOEuCyClGw0cOyfWggsIfhpvb4/k7zMwf6g6eeA
lAN7Z4RckuwA1u9+Cb+4mVGZ/3gP/NMrqnvk3e2s0iwSTqkelHgPqW2KumAxtSV5hmVUttdDU/oH
2QFBcTMnXLTuxk3xaNXhGDrrTnQ8A6PCfRqR4uxdi3noVJO9Y7SltbD8+MIpsan5ZrasGv2r1LLX
YNQ+kX1yVRqmjfoQRWIaNdOymPDpWDDMWDVoPCOiJCLCxd22U55sHLI5QRMk5TacxmIJbZOYjobC
rMDvg8YyudUGf1n1yY0vJYw6sq29RF5odchvKU0WIvTVJLZb2RN0JHe4DiEbURVYu7I0rmTMg8KH
KKSz58FxeywDY9Fb2n2DgWghiyc5W1eEZO6kN7dro2u3eIy3duUf8DqPi9gtB6IbmhaY1HQqyUu7
9ToGVMykmMjcYrB2dy4ClJTAjl1NClJ3Pb8pUnpBNO05R2jR0U5e4r9jotTykKLnq5ni+heui+nG
FhesZfZjNgDUCMllyS6n2f2IchLrFNMOchqAPJrJF1LwvubYx9aDY5/Gyj6EprWSWXXRhcO676c9
mMgrfa6XRchzdpwuEMhe9H5TrrpZ6MvIGY6t1D/WmHxtm9WbKOZ7h4hzEk+n7DLpi6si62D4DJfZ
nB30ElTpWLlo/DpMevUIAQ6yB0BEuIxt6t3XHUiHVCPC3BRVv+/7ocMdY+K4TOrpIp9KZ0PC4zEX
XwNtONuxf9P2jbEwYuhacdxsDNIwwjy56gvtdpDFJmamviiVgSYJmJZ3X72YGbfhptcmiR1BL/pF
PBok7SiZy3TdweBctAiz3MHeDo3c6ITndTyShaGvyrK8nQv7SoQEaA4j25suz+TNOMU3WCP2zdCv
/Mr/BGp3OXpOQ7oH1MY0aV4LNpQ4IbD+sOmakfDYUJCMTL7oQ3QsAHnWtkHqgheQnUTOmGUlNPoD
yNboKk7kyXbIhHbEdtSdde4Vy34Mj21bUtswnJ87FWtzyRN+ZbI14KC4ntjZsZTUW8qHcIMi+MFu
cEVzh2AnZJ1ZOPm0ywb4V02OXjaJQGtM2iFr5zumcWiv8+4yacrbVGJiTHmi9QiFl71vfg769HPq
+aeSqHZCzyGFsWWZsPENaGtD6e/ejpn/zM9sHgG/fehBsl7mn38ZgcyX/vHYMz4wNDMY0jsBSB8F
7nn32EN4gA8A4xGEvfccPUBAPqQLnnj2m/2a8uX77MxldsakjYwIrhOUJ39tdvaTsIjHEbM59snY
ERxg2bb6Id4/JDwjMvK8ccqz6QOtAeti0nlMExtCEKPmGBn7Icw2ObvoQhQM7Zm1PAr21LTFG581
F/zNS485MOGR51nDm2gLxjOpV17kaunNrfUwsQX3gwpEb6uk8Vq3lmzKv6XgdDOZYWqBXqbe9RhZ
7IObOa30NckqBIP4DtMwY9QvAbBJVmu23MZhDD7B4VAq9I68LiPA9NdUCyMi44SYwTks6ah1p9z1
7iBWROYSmQeqbJpwSLqYFFfx2I0rKfV7SdYyFI/1YHbtqgts0od17I9O43wh+y5eVoLvWwekrGBJ
hGQ2Dugdi/RLgL1hPYUluDxBe5lPjE2gg+7zipNBF+O6LCA1kNqbHx1HGy5I6UOBIEWxtJv0PqkF
rVcO6ZZH2BmDAEBTbJzDzB7R7e8YteEbzep7NdKsavb57LIv7DGpNxA6e5QcRb8qtLyiUdbrZaDs
Blndn6oKuG82lflmlhpSeedAZMGDSCVyJKXTHFAIzoOx8yzIb1OWfJWGdYqK+XI2hVz2Hgy6Pm0+
5R3agb5UoLPqoo99IHg6UKUo65faPHbLMkPl2Za0YFWXWqvcdPdp515n4QTYeGgH4MjRuraFvxm0
8kttEsZj6u2lCfPbrrVtqQsAc8mZsuRoWbS5wm6PteSaCfv2qk7cbuFnfDQ6A4e1TfvXMrVp035b
19bJc2JEg0GpLWsIqSCiixUg3m2TaijiyvY0Z8CKnIaRSe+7N7RSJ4a2KpxMjugQbG9pEjm2sMoZ
xpDdIZ3LdFIQQKq36DVH4HQbmRanyA6fplpOm1zztxGj5ZXT6Q92XT+lVu0RZEG8ct25JGNH1xGD
JWMUqzkaL+s2+Nq4A0oY2fIZtu4+qhNjMbvORde356Rsa+26LL18fpnGPNt5QsB8rR5wj9e48eHS
waE7Fb0ipnTBY5mx1naar341LRuIvNUcbajHUCQMh6AjeVs3j2UeXyZleRjT9rIo8ytZMAsCwohL
IuyHvRs6r8zzeiqxwbK3SR96EkuvnG9Ndz5FNZWNkSfDBnPCuBgsl9e1t1WOaEfVQxOF0UCB1DiP
raqXRB/cFzypAVAeG7Oh+Oqc/UCJFVXzVT+buxAKMl1Vf81ht2goykzTgeGVgHQKKdistrtgNcr0
l4EdzPsbz/CUC+l2rgByuarqi1X9ZzYg6WzhFdsgMiiAVJ1oUTCChop2taohTVVNlqqu1HquHKI3
2RCqqlNQfvqUoZ5dvJaUpULVp6C5HuYiunAMCJqjqmEdVc3qTegtYNU8+2znLiCVnIgw4pjQ9StR
IkHqvdo44wN+sUBdrvV5eOlbbV6I/8veeSy3saRp+1Y6Zl+K8mYxEzHwdKCXKG0qQKPy3tfV/0/S
nEMDaVoN/jGYiEYvuluUCmAiMz/3GrO/QPwgP9DS9gfdnkWhyzdDYJ3YcbFwKjDYCRkzXZxKh33s
fUsZiM0gJS1ye1i2Ll5HeXnmBPGRDLRnFGmMUbjr0IKeFJjRKkMr89CSjGu7cWe8M1rUjn6lyIa6
9NFNmY2FkoPyCft5IaknPcfgzMqcCxLSVR/rAXCgFmI7BkZqHiqTINMgVlr1jN+VJlGElaiDw6lf
4IBZ4zeMcno8Z+j403Pugty6qGrtImJNiAMY8HlpTPZkn0HkWsg4v3GFRfokd60SYaMumHZtuMSn
HLXwMKayqBFo5HG2HRUzw0AuzfDWPkgNZoFBe6RLCn71njKsDLW/6FOQIEmO0XkWQOKx0xVeTvSY
accc9Ph2uhKjP+3IZ3rE3NT6AS4J+RsU0b1eN+jg9wvJLy7VwF0C8Cynnm828x6+1MTxqrtIRSZT
qrRlaVhMWYvixKsAEKlqftkY/bEuVyGcm2LZIIxpRPmahmV8kCsdLqr9hTxkcxxnB3o+1lFWOCtJ
kborfxyaRdeoD5EDDaiyrHOaYiGSOSCw/p1PPZJgDJCfv86nrhpSqQfSpne23+JfvaRSwCRofDFm
RH5LuH6TZb2kUjiCUykynESdEIAn1Mq/CJnmF0gpID/RHJZ1Knx+9JJKGV+EkhjodVoSmoJI4p+M
IVX7LUbbkHlj7HVkPgNoBsaeooP3qt5mtCcXKCs16zEmBelpE2OLiUNdxPhbbhlDlTENYhdwU+ae
BCW4TUPpEGpI27Okyg4sx5Vgs9CnEsLElRQcocJ9golwN8kohGU5um9Ro59KWWtRfpHOu52Ktato
Y8umN00qnBR7meax+QPJwRunQLnE9h0dvyKESx1pXGBTJzHS8gFmlZJQYYB2gKEeydSPfMiuW5/x
WFZXCPWa5tcSPnLap99qR/qGhO8R3fNTyp6TNvKP6yz4UWV2wrzeOis14y4GUzBP+MWoTAJzSav1
sFGy78kgD0ARNJxMEBGeFnFHf7a7HtS8nHt1t9B1aiM11Lqp3gXYR0r2PY6axsyOzeOqjq/wgIym
Nng+I7IvssC5J8ieEa2gZOChglZzWM/drlvbeYucWHrn1tl3twBUnqV3UJWoiKLSmzcpupOVlZx5
OaRERIDwdf0Rq0xA8tjOZ50ZxYhMZned4iCgDo4tGSh8c1UbZwPgsUVQtOWU7P4Yt8bDQnePUw/5
qyAvFwMdArnsDj3HWYnBCLA1xFLCB+gHVxqzRIjdN4k3JjPZ4kPyJTkyihxdB7xXlUPcN/vCRHio
OvGd/meMndWMiQZJkitPmzKE6ymr33TPuNBroL52EF3pnvqzUc32YEDwcqIaTbMAC3KTSAwGMz+H
0Wcumpoxj9vU4dI04+80YqIF7Je16hs47kVWPMVu05jIiJahW72QrZzhiy0vi9pHhTli7NPkfGvc
+t1UNcxZo+MrUjB9M4EZL90qPwrcpDgckwivwNAdJkY3XlixgbiFsWgKHZ/k0bV5Eqm0XPfKxB6r
cBYz9SYUAfO3RzbxUPEdJmru4dM6XjKy5l1Tm3FNu3Dl5nK0tcOgI15bKiokVeF6My8mLjHwu6uz
/sYGLz6xzPxWVvDOTjN3WnY9OYwc0JEpASNK/kpOkdCULCp9Wc6W5iAvFRl6BmNvJIX9Ds/K1n5I
wuIYb4J2gqx+Pi+d+sD0sNdUG/xRvaS/zgr0q0Wyw25MJqZW31YNit5yqZiIKpP4JL2pHulplM56
+vbeQaziHT6Lou4bzqRly/y+8oOvLINbn6q1sCA1A0NbmG4ip1cW8PtsxlBp1IDBxpU/BcxknUmo
CSPDVjD50Ire+x40+byK2UIT3dfddY4rJTl3M7W7fiIb3sq3HO/SL2QxBDb6c6byqFUVAcRYC5W3
CRZp46y3QfUeNKi30lwKGFdMQXXEyGUPGgVfTGJq9sVSDjX1Jurw7DuJ0xz2LPhbZdab1p3sAbKd
okReoibVuZkzMhXWjQKDXtXyruTaiqvvKkaf2EFoo8pcUk5M9wczZ18/kUHfSpPY6Zv83+Hyqedu
MBj5XbjMkHBLtwVM/t1fAdMRHAYFzUxVMYQL1d8BU5W/MHxBaZMRybuAaaOEomkAXVAa4q8I6uJL
wIQuyh8QNGm4I7tPs+CFHPLckIZX8suBlmmIgPiBzgmsUcFhgDaI867priD3lEhZkpyOhn+ILuhE
b9HI6jlLYxpmwF4x8kDN7UTP8dCF+bGSG2UZ5PWp30gA58OZ06m4SOGurSmHXZVvokb/7la0B9L6
pB+VY8/RV6NvYu8sZcPUt7zvdJ3PsbuI5maSoDZumlNdmMW7MTtz5BwcJQPJcxwRJOykxl5E84+a
JrOPU43SwidQOJkjY/SNsYgT3Zq4UmiucubT781Lg2LZCW86pRVeQOapbRSo/za0UyMFrC8eTvcY
VmIR1vv1dPQtcxq0kXKAb8hxXVsHmptcaUP/MOjjSaU7t7GLFfvQZkz3vWVmNvA9uSey1jw1Musw
rsGQOL5xrTE8A/X4o/PNRdVykZbIZU46xz7TnZIuLE2YLlqHXbjIJcWdNkxnsZCPpYlSSt8c0eLI
xnwmG+GxXyJmN+YDgJGI2I8W/SSJRoW5uZMspND50RNDEaLB2t3O1nlxTotjkUQBpSIUf8NZNFp/
MShIzoX05rVS2WgKHZpYuml1FwdieWE2DZkIKP4Vd89tMDTXuSSjwTkC5FD6cD2gFoNcf3Mu924/
qyIz+VroB+ZQQcisbQQ0qcDbtSfbC7dD1SoxUBgemvbSR+aJ/43whIktVl2kXxs+hose6TQKpH6C
3sDSCGTWxlamGXY3Rcv3EIYSN5xsx7NssBFXHrSLwMaVqHPvIZai3WaaV3pmXkiqpU0RYTh2EhKc
xrBAj+R4kgSlfyGhZm9QNzMPQXC+L8IrGLl3NqY9qZtQJUT3YVp+9RwyMFM1OlyrInOVu0oH15co
ie6lN7VUdaHplGOB5UINCiIavs1shMtrjNFSxpM2UhGkSpsePxzsv1AIz2e6ia49wfsmQ9vOUXC2
gSuALFiMfzOuYbSQe4XuclVihGCjST/2IIgAduYnVEwgaKILnDHsqS6HeCcGEsVib9tMKNIGuAgT
cxryx5iCLQBL3ASmdcxc6wKfhmBqBQ6moco4LpMUckCKkt/CGVJ2pqb+yNPi0m754o3Ow51iXGO9
ce+2kjJDAvzCye2LBqnoTqP0Ulz3wCLjmxhsenBh9qIfoe1groBnuxdVk7wjCwuLsqXzNGzoDaKy
VoFAiVnRSS2Vh3UrzeTInCuDRf8vpq1EcbAMaGjNh+gCdI3iu5BCvHEjRcOmbs0rr2+vopiKs7fP
IpXmAG5J+hRZxhBzNukrAJeUktea+2O98IfWPAyCgkxQ5EuNgV9RKg0bvtfhUK8MUHoomwKW1maq
pD+ofXUSy9IJBtPpPLCHdI4g74Ze02rIa5TATToVsgUsGT8edJlKWmxq0V0mVpfhm1ErSxeFWqGL
yudp43TWNexA/vynGpMqDUbsTpAntEC1SRdFIz9UCVtCN5PgMLOs67ws1lVMWwOi20OeI/MKG6sK
exPnglifkwCrC1NBKF0ey2NXAVKY6nzbrPgRMpQptljspqZOv+vodywyiTvYC2xIaG2p0+D0Vi48
sFWmDJvCZFrncDXqEW5ugJimSPKejLV/WuF8R4onbEkC7RLJmY5KPTsrKnmJbvIVzugLkFCX+FSr
02yE3CNn1sZDWBdp8kOVX27WBaC8Dbm5hjijTNFVEpKRIOBKg00dVe731hy/l3Vx4Ve6t/JiaUWX
o5knXHAgR5rL3IYgV0Z8v5pE81grsdqwBEE+KW/DMuaqyKeZ75xy0S0xWqKTpFdXg9t9jdT6W1nY
9DOj5pvujPJKUTtlJsuqf0T22iKr4RtTNLfE7BRwRKxoB2UVXqamthzzhrQ9Ur53US8jnREiS+CE
mJFE6kTLTRI79WtrnnfV4ejedMGR7mvnKck7jPevoZRcB8ARTSWtl/CZ1mqOOG4eK9VKDs0HhYue
9rdz1gYmR1uX3JWEBiSZ7xgwZgqQ+tL1GYqHx1UeX7SOurLA1lN6IoQ3KJepYR752TDimth8s+oh
RISuPizqNfJUk9pgKOpZQN2YHs7izAmWKqr5U/qn35RhXDIVCI+xrFDAfZYnDlL6C3qy0QL+WTgZ
8ZVmBofcpeEKurp3aDg2DF4T0VU4J56Dh3uj4U3SZw/QpP2TLq3RVKSJaFjfwgwrRURfREuqGIe1
4svB1K/4ni3mnzik1CSVGN1xfx269eicKlqJg98ojSsX4NUB5Jx1XPq2vWn0YViOPTMLP7eF6iY9
NcreRWIoJ2puHHAbHZoU3BEuz5MSs5aZVOra18DKuSHawpvolbTyC32t65W3Sn35QRvkB3qSt4Qc
uuRIpgyyNEtssD1oPWs1nxF95WwW9fFdH0QpdjD+kkpOxb4DHn/qmTfghdrloNThvEMoumBeTudp
XADRJOXGUsRjsfNbrAcV3b3A8mslSZ3KLI/iOseCLWgSZYqX2zXLTxRX4ge6fYet6lkL0LjnZWUu
Q7vCVVmz0gXlPqUUzjooD4GlU4ruJq2xLOnjS4HgMmPjGo4mlQRcNWq9A5hYizKgT8w5oYnfL5Q6
h4yn33G5ntXoL0+RIIJiZhYXcDcXXHBIFuooMTsKDWafXr41KqvUrFUh3nRqMXyYRK7fIJMTDfOy
r9kPHbWxb47IgprQ6Xp0onIT1aIgUzcjwjz027ulFQD4w656TZJ7U5b5cW/F1jRLpLmCTpDR2d8J
LfjnqBdl0R5xclcWHlAM+v3rnJ4pA9v4pFMItZFyHLj1kRtn34xcuWFUJZQ4rW+V2p9kVD9TtAkQ
H0XPA/ED7yvtCNxOpPhgDA5LvTzpPW+Rd2o0awL73DdyYrRkXjd5ezL2qDqlwW2sG4D8ACRX2nDc
9nazGsqhnqe9eZIoeDeYCReh5C9lI2BEbOirKFOPO3k8akpNY/LOhMNkph92SXKmufII99aWAARi
OYi4Kt1JUU12oJgmgKOHaV5ZOrSbclXpajYr5fDW6shh7L45s3I6mk6JSDF+EdVxUoCtKLTuiFkb
Ureeiyo6KGYn6UJyTrfmcBmxPepXZi0dmqhfLnHYOHDItiDG5FoImwaZrOD/D0n9/x6bwgBc8+ty
7Ctty2bbJFj8s7+qMZvqCeNwpKwVcNWCQ/CmfSkAcQbssCds1IuenP4Fsq+Kw7HuUMY91kgv1Zj2
hWCuUsJpAgclfvSu+vpdNfa2FhP8dIuuqigTLcVwoES/bV72MsyeskxpXoo+HUeenjmutcnTBvll
0QdE603R9/hGBmqaONJg8qDK78VClBiLIjPUczJDw7nGagyZ3ARV53GFnKZRTrU6bfQD8KTjJcMD
SFgmVNjQpnbLsxCNF/yLjxQrwZDMKo3+zCdp14aMKskcPJSC2yistB8tfTX7rHOLtl2ESqbPWviP
ExMuOoIWMVirIM8zdZ51cdNOQTVDMcP5K70JogEVLg6gPKvSOyPWu7VF9XmKwiSWvEoexcMic3sN
VbSGGS4cDPBIXaadyq1iRMdtHJ6WNSBoPMr7qe+caYr8YFT5fUpQciv5ygKgmnba0pDMjLjBb4Gu
99wBAuIkc6NPDtxhKGZalASzqlRm8VD89NHxBVa0VtT8Z6O1l0jlEXEZJH+3IgZCDpPZE8nKS+aP
hnkYByj6Owk8uFFFuEOStJ96WKUr3fUh59VFPodpAM0qlgxUam0Uapx1lTK2HVW7JeUb1WWdWteD
It3EKoJ7WegzOqlrT7VATsHN8gD6zumNo1yui0cwG1Iis7wu9RpBTtNO/YvKa/FMRrJ/7vRyf6PH
wcAqAr6dVFFTznSpxJjXGC8KswZpJSnKk8PUL/eY+hb49rjFkF6UYQXR+BfDgrd7uRjwR/NAv60J
QJuOSuMS5NYEf+ZpvUpXLtyBmTdPltYc+42JcagvtDnTy+n/qD7CiX7d39A56mg0MpEwxOyBePb2
c+Az1DVe5WdrUvtDpLv7aeQVLnUN2YhtRc68aF2B8DLpL0LVP/Gs0j1U+I7MqMBD2hrWjovgm62O
P+o+cxaVChShrvOFa48/LAOVhtBFidsd+29FnCNfXRbItlWM5fvOxb7UR0DI8Pv5oDnLTsGYFG+i
Au1WvByc1aih8ayqSx3NpQnETsG9QxU+SVcw6WeZplMWyvm867xj1UWhOEqZ1KHNh5RQCFoC1ceu
d7Rl4YXgATTv2uuyFYagJ5RW2KXZ+VKO2GiWU+BILIeXr67XLeDGt5eIgPcCpUEHjPuS/pH2Xp7G
GdXOyRO3XMstok1cBEBXSmI7Ev9zIwsQKy+8ze/fUqVb9vbbfPee775NqW+tskWIdl14Gq5EZFmN
l83GylrpSQPcypUnnkk3xQJ5ZsQVSAQ9HY7HEi1LW8I1MrBv5KAqEK+QftI6JZ0rTtTMPJfd8c7w
ih9JFxSzAu7s0eMH/zdCS/QTfx2Tv4M82jJP5N+8BGRUXDmX8BkVCISOLjquLwEZsLJOcDJkiNXC
45Qp5EtAtlHTA70LT9rm9uaG+bs9an/RIFHjUgRJkr+EktkfBGSAqG82HNeYZcsmvVihQqMC0uJD
vJ4n1mUXprEa9qd5zWQQ02TkT8urWkX8PRRSkyPi9fgNKjGDhSS5rIQkJe6TzaoZXXTSGFR72AzV
k0LX1hgryfijJfhYWyGQBjzAayF56RftrSNEMLMBOcxICGM6lORTqAbW1Gnc7Eqv2pNSZhRQo6jZ
QtI9TbyCyqRDblPxQGk0CGDPvRYxzkpRrhMQx6s4xmo+5HbIEf3QUPD0CqQ8eyHqaQp5z1gIfTKe
+yHJZrdyUAJBxSC4LoQsqC8EQqn6wBtFBFGFJTgNFASnaaw4Kwy+jVOvU81JndAf63J0ldE6wJUs
hRqMu/1NBj6SUjPEMrhJjptiWEaO9L0j90FxE/lp/Bamhp8fyo2OUosnz1WvPYxKCQaT/ZXVPMky
OotyTbii55pM0sj/YbT6pjedfpJ12TcPSR60mTGI9D2wxl5wWeu4DWmxZE60FEyL6aHUOhLpJTN5
0DyEuvvUPDRB8k7qkfYaFO5wUUsGhiIuwl2pMX7ni4aFaeaXmeSu9Xi4tekbacKiRM+1e3eozqQq
bY8jm65JWaMtW3T2WhsdGGnuuDYyvtI672dojZxFiXarauW3sYvuJDfnFvcR+o/7U7NDqdailwVU
DtwpVecBaHhjGqMIO8Mf5dSwbexgE31lVuZx1idgbCwNtxTF/55747mu60dhgaiH1I8S6OnIAXQK
VsPEdMU+pXAOtVvIjcZwYDEnnVu+dwT4bkzo6JXYNRhosKGS8yBV0SJobH2iSMPikfrvOqFxwoD8
EH2/cmIZuCOoiXKMNBOmlsK93RWWqp4wVx1wWbUL7FaB4lAcIqk0be0SuBCurIVKOw7i/zAPEsBj
SJYvmJkz24xGFlkYu0oDFq+eMHvthO2rzE5FguciFoawbaAf9MIiVpBor1JhG+viH6sII1ka++R5
wlxWdTt0YbGb1fCdHQZcFIQRbWQYVyXOtKqwqAXmP7XwrKVDGFNwG+YkEYa2Fs62kl3qp/RhsgnJ
ST1FKhYqaKlftsIS162NYxlHqqkj7HJlfHPLuAkOFZx0C2GpW2T0xzxMdmPtplLcU6nzFh3QJMxl
gmX9aMxLMx9YPY5Q3uDP7CK+9THxtbOco84xyXMcrdQk+ZFjcdULr6tIsuxZLPyvfOGE5QpPLHpu
3iG9QYiVtrtuCwl1Ycecq/hjTGJkn5mawuJ18/58UCrgXkCJDothxDdQ+HHRX6J+rTJ9OXgubl3C
tysv0iNPOHkNwtOrEu5eRahISz3D8Ssr8nNTcsrFiBkYkPKbXEq0MzWkDcDtFx1Ige5MfSBxEhgB
T7iKmdiLFVbo/awwHHN8jvG5hQnZGAo7stQR1mT/jp9PiBwCzm/iZ3NLhvQBj8O/eRU/CZ862AAQ
NI9I5L/jJ4pr1HeINzBJBF7zKn46/IRgCyJH5a+8UTQhtIqg6vCjR4uoP4qfSBB8iJ8WfoAov3Hc
DFNB3PZN/IzrspYBk8mndZjduE6K+0+kSUeq1NANQhgbzzly1ibVnXUfudUiA4s2rSv9sMyMFApg
T0qsO8ZxWY7NhBMhhKzMZds1l7Hd5yflKE3zVtYZTN0p8CNm+CUgYw1ubzS7A8e1F/QZ5RnY/WUj
NEFTB+1yxL6vu7Rc6bgdX1GlIIid53dIYYCIzK9LBZFnHUtwjJWLu3jAUCGr9JTGV7fq876HH5v5
6TmCC0sl1PUzSTOPXLNz5nUnu9Okk9yZBI0eejxNP7feWI135yY2HNUhRbZjyIsDO3XQcM2kC5B9
8ZlTQ8xITODJsQYwxUW0aeYGjCA8CSGw1MUAqtfhszvafRWYtMiKtV3jgpT70U2gald15uQzKVQf
cvSgkYf1rkuAEwGnvjGpTEgGVm7h3HMPp5PQ91eR05+ncnhSwdlNUu8oHJ0rJaR0MQRVvFTlK9xi
1cnIl1D72FpjupJO1drYDE2FgLhV3dj4O9F5BlhbgE0BAn1mx7oy893gPHDgQUhJZ3eHwwBfdkjz
n3JJpDfTNfH0qB0y70ALq4vGdHCANRgHjmVSTS0znoQmA1Erj3F6iFBol6Sm4AtTgTo66MlEKztD
PwwrcPvUUfNhGcN8mtBtPoD64wAvLB/UoqX5P1reudTAlRkD487BgGldDOrPGDM8k34oLoAAIp01
TVZ8XlIE6N0IdnxtMGZLwVscelF26jORncqxfQp+up5isUNZMWQ/kwiAdqUAqyrVdZ7lUEyAT0/q
gDpNaYCiK4a0DPuWEk5pfpi5/zWKwGyXDa7sqs9EXQWpjtErw21m6xO7Gr9awcAQLrtNaB42WGge
6ql0rtj5T0bi88bvlw3cn2lKdT+V61I7MOPiIDeTw7425rqnnQ5KdAr4qEc+AsaSnIXf5M69NhKU
wurIyaa+ZF2XtWfwsdVjN6cfIdmMf4siQbFNli+SoT6UCV5FFF4EAZL8Tfy9k8tbRMkzqDdKNRuq
dm2XUTMDVy3K0fTEsFlcQ5cO8QjSl6YssPmI189SzzqWC+WOWlmbVfXwLdfUZtIq+SKvxNC8xndp
6NuDyB3laZvK6y7ubn3Wem5qOdbcZlCAsstvtDQ/cciETTtbhL4GCgCd/1qG5V+Cs5PiroA3RLSO
wuaoH6JiOjhxBMfNuBcm6V2hIhJvh8eFW6rTIE/wXaTEDv3qhx0WRyTV10o0flWk6pzPR/IGmNXp
nJNS4GH5wDNvbDu086MTuwDOhInAReVoP4bayU89Hd4DKj/9IcNM6YAZCmKEbXDcRsWl3kgPfh5d
2GZqwFoAfT/RNbc6cC2eMpa+sUroK5cucIRQo/2dJOp5KNOMtzGeAQ5W4ZOZWRG6iWziwY5bwL/W
KabswB06BDSgXEST3uvPse3CUtyQ7+wRNtT/lTj7XEpvFTj9q4cqfnqW4fd1lc3fS6T+U3/ppRbc
/qA/UkxVKDrfRO7HD/ao2frb58SbOqibezRZNbyLDFXVaNJBO+NF7wojNO/5xzTd7C9QkzToR0Bn
edFD4x1frdSv1uL3v+ZHSdmPz/n1r/A6H8EFlx71H68Cv+bfi2B9oZTnClVQjH3+Jd8uAsmKYtER
p0Xw+NqHRSCXepuVCU79v7ASPOfNUjB4AB1Ncvb4Yoe9WQo6IipYMZyw9nINRIN15zVwoOo5ICww
k358iRV6fSZYA+wH6MeIocX//mn4sBH42O9bYn9+MdhfaJwL41dEecTr/cXAIpAL2AYTrD1dBMFx
/ON74c1p0GWYAcyVmK693wKoOFLroEnAGonXnq6BKIZ2WwONcaWD4plCj/3x9X4jwLlgvGFB0X86
ef/LsWHbaXgKWk+Do7/C7h+FSVq6ogXMwPL9RmCLgMvD6OQpduxFfNy2BvzZjhsBbo2iYrD8q40g
+uiEUUUR0nv7eS3S2t9xEWwBpVaZxD+lQ7K4L97EBgDVSLWyTk9dlT08DU8fbIfToCtfLDFSVUWA
EK8PSYJOBMXa2xQDk/3cCbtnzjj8wb5nqPG0BiIEvN8JhE4aWI+ONXuSOW+7GZ7i9w77QYNbB4fA
YHbyvBbvlkKECKQ5DVvZ24Rp98yZ61GIECE/8u63F5kSfUT8Hvf1NCi758zmF407EXfK5zry/Wlg
C5j8jNjwdPL2715Uds8S1C9MZ0GbMBB+fBFu3lwJivEF/Q/OCamEeO1rnFR2j5PGF816zBWeflPx
q75dCuexvmBcsLf74em07nYvoufOrWA9p84fDoXIJvByBtG2p3FS3f1etIXIs4iDz82V94eCtJEF
4siofwWPvUwZnmPXLvuBPc8vivsQQyrxYoe9ORRECnjoCmbD+5o8Cs3vHTNo4iQTQQpn/WkRPuwH
+Qs/lCH6PLVf9vaS3D2Plr/olNVCTv2XS2HyY53J6Z7eD9ru+4FOCs00Br7Ph+L9fkDuAV6ozB2y
p2vw3ADb5WLAfkwIugKzedoI76MlNF3ZpNv2qMu1n7fj7oECWQ8LQIABXODx9b7RxO0ID5mzIHqR
e7kI2mcsAt8yQAXtOY/m4L8PEaqKfqqj7+u9qO7ecnyUveMwwFV/fL0/DhQTjqlbcBSQWhGvPd0P
gj2xc7QkRVZpOD2X1h8OBQgbkO3QQvY1ZXjuBu5yPaJfIDJoy3quq97vBxUKDChwDZzRnu6E50bY
LotgfQFT7JjkRY9b/uNAhmzCBjSFzsPLodnLS1IISex4KMwvSCg/8p2e7of3KQMlBQI3CGfu7ZRS
sAp2WwSasLrzKDKFBId4fWg7YYQK/QWLqqf32r+Oi7FzpGBARy8FFfmX65EL90O41HTkxhEIF6+9
DZq759EANZjB/XU9fGjKEzTJHKjF5b0Nl5/RcSGHRHxN6NKI14dwyeieRQCvurfhcueykomtCotT
J2f4xfUIhoOqUia/2tdw+RTHdwmX7HYTiSIN8s7ja0uMkBUQHHucOD2VObssgkZDms4blpLbj4Nw
nDQYXZt7ezE+Q2x2WAQxrdQEofkF0rQlRpgAHBBu3NdAqe0cKDUqJlD2TCuf64gPdaX8hT4TmpXa
vo7o9N1TJjIiRNAQWv/V8F79oqEsijrovkYHIXa6W96oaainyhjuPA9mPk5mKDQEKwOV+j2NDtru
eYLNTgDWhAPN08X44TiI7Fr8hxmWeO1r3ijsY3bcD4j5YTjMBfiroQTzGWFPoMFjFe+1f3WEMI/a
cRFwUzBoo9CDfdoPH2IE+0GGCEslsa+LsHtZzfgaFWSDEfa7Koo0AaMx/E5flmdf12D33BmjKaoD
i4nsLzaCYITLpBPPvd49PA2758504tkHOq5pj5efEAx9W1VjZuKA9XCc/R7RCf3vHS8Gg1JJRQ5R
uBSL14fWI3g/Iimgx32Nlh/kEf4VLDjdNqKhgJW/3wj8wIJTubcBcvfUWRcnXoydfo1uM/GFFkpG
T3fGnt6OH6SE/3wjCOV9IdJL5/FXp4HJPqSh5/7m/t2Oz2OzHepJjfwYMDgYjl814pUvhA+F1sLe
llK7x0nRbaSzIJrw23cCjTZEzFBO2deE6YOU258fB2DOAFU0+VccGdFydUA2mfK+ps5CtmbHCCl0
wvEzgx73tBM+JAuPaSX0e8Gd2Mv64YMlyZ/vBOCvGvp89JW3H4fHnSBuhedLeP8uRqGOtttOEGwp
4Jxkjs9x8ENRDbyNHII4ua/ZgrH7xShm1QoQX+Ysj68PGD9YMuD7hK3fP38c/ont8hf3eOrjM/1I
TQ4eqkeS0xPZ9n/8Cy+M3Y8PeEU0faTbvvmbV0P+8PTsJzqq+P//tblPgnQWVHUZ3NXqY8/g1U9f
egiP7/T8759/xY9v/ubNXn6vlz9cBQ/lprxDiOCRi/38QdebBG7zf8f81/1mO03270/zn//x9sO+
Oga/f3oebDNeEIy73R+ebO6z8uVBB/f/+R+McjSKLQ7Ozg+fNHX98PKcV89mp+787Okm3rR8JdXL
s149n/2++/Pxu6g+fKUsDLHlEx6e1iVunllVb3sLsrmd32L2EP9jnZVb15+7Z+fnz+N/zLKSzfPy
rFfrz3W88/MX5UOVbns4Cc7OD1/GD2n68pxXH5zKeudnr5rkNovv65dH/f14QRPe+fEHSf5QBpv4
5VGvHv8ZR/YgHbYsuvIZJ/boodyy5gIzsvOiHAWpt+UiEGyjnZ99vIm23GECo/8Jj66qh21r8hkH
9Dir/vHfqfcQP2xbmc84oiebey7gl3V4tRE/44iebMpg29J8xhEVz8bWYMtHF5DSnb/Wk4f0PrsL
tt1eAqL4Cc8v7x7uXx7097oL6N/uD8/47C/PefXszzimJ9nWNfmMU8qj64fyYdjyyT/jpK43+bbd
8hnndP3Qbj7mjoYs6Go7f5un5YYr4OVBr77OzziiZ/Hm7mFL7iga1Dt/8jOcGLYldwKhsPPDLwJS
xyq437IyYu698/MvN3clJUFab4mlYqb8CW+Q/mPygOfgtjf4jKN6uRFvUKab8n7rRSboOJ/yW8yC
B2/bL/EZp1b8EgtOwF1Q3W17j884vuI9DrNN0WyLVtpnnGHxDsdNUP3j9Dao8m2/x2ccZvEuJ5v6
YdvzP+M88/x684/JprzdbMsZ9M841k/vMcXYd8tlLfrxn7Fj+S0QMRxfHvb3nap/ysH2N1trQoFJ
2v3T08PYujSfcpiDKgqGrHn5nK8W5lPOchZvtmUPouu/+8KQmCTb9synnN96g9hzvGmql0/6amk+
5eiKNsuWOCxIQTsvzdWDv9m2NAJSv/vDyfGDekvSJnrEuz/9dxbfj1080RH8F7tyV81vDVF3ffzv
DX52ffpvrAp2fvSvVZx//+htbdm/MGAfm7Uvuo7b/tnbXrT4G3fxw6b8r/8HAAD//w==</cx:binary>
              </cx:geoCache>
            </cx:geography>
          </cx:layoutPr>
          <cx:valueColors>
            <cx:minColor>
              <a:srgbClr val="92D050"/>
            </cx:minColor>
            <cx:maxColor>
              <a:srgbClr val="00B050"/>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566140</xdr:colOff>
      <xdr:row>45</xdr:row>
      <xdr:rowOff>142874</xdr:rowOff>
    </xdr:to>
    <xdr:sp macro="" textlink="">
      <xdr:nvSpPr>
        <xdr:cNvPr id="5" name="Rectangle 4">
          <a:extLst>
            <a:ext uri="{FF2B5EF4-FFF2-40B4-BE49-F238E27FC236}">
              <a16:creationId xmlns:a16="http://schemas.microsoft.com/office/drawing/2014/main" id="{BC4E45AB-7A28-7682-F16D-AF6BC2E5D11D}"/>
            </a:ext>
          </a:extLst>
        </xdr:cNvPr>
        <xdr:cNvSpPr/>
      </xdr:nvSpPr>
      <xdr:spPr>
        <a:xfrm>
          <a:off x="0" y="0"/>
          <a:ext cx="1804390" cy="8715374"/>
        </a:xfrm>
        <a:prstGeom prst="rect">
          <a:avLst/>
        </a:prstGeom>
        <a:solidFill>
          <a:srgbClr val="00B05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598714</xdr:colOff>
      <xdr:row>0</xdr:row>
      <xdr:rowOff>68036</xdr:rowOff>
    </xdr:from>
    <xdr:to>
      <xdr:col>29</xdr:col>
      <xdr:colOff>408215</xdr:colOff>
      <xdr:row>45</xdr:row>
      <xdr:rowOff>122465</xdr:rowOff>
    </xdr:to>
    <xdr:sp macro="" textlink="">
      <xdr:nvSpPr>
        <xdr:cNvPr id="10" name="Rectangle 9">
          <a:extLst>
            <a:ext uri="{FF2B5EF4-FFF2-40B4-BE49-F238E27FC236}">
              <a16:creationId xmlns:a16="http://schemas.microsoft.com/office/drawing/2014/main" id="{0F66E19F-E30E-4F4E-A436-FB12E821C304}"/>
            </a:ext>
          </a:extLst>
        </xdr:cNvPr>
        <xdr:cNvSpPr/>
      </xdr:nvSpPr>
      <xdr:spPr>
        <a:xfrm>
          <a:off x="1850571" y="68036"/>
          <a:ext cx="15729858" cy="8626929"/>
        </a:xfrm>
        <a:prstGeom prst="rect">
          <a:avLst/>
        </a:prstGeom>
        <a:solidFill>
          <a:srgbClr val="92D05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185367</xdr:colOff>
      <xdr:row>8</xdr:row>
      <xdr:rowOff>180483</xdr:rowOff>
    </xdr:from>
    <xdr:to>
      <xdr:col>3</xdr:col>
      <xdr:colOff>476252</xdr:colOff>
      <xdr:row>11</xdr:row>
      <xdr:rowOff>85232</xdr:rowOff>
    </xdr:to>
    <xdr:sp macro="" textlink="pivot!H4">
      <xdr:nvSpPr>
        <xdr:cNvPr id="11" name="TextBox 10">
          <a:extLst>
            <a:ext uri="{FF2B5EF4-FFF2-40B4-BE49-F238E27FC236}">
              <a16:creationId xmlns:a16="http://schemas.microsoft.com/office/drawing/2014/main" id="{DEBEF311-5D7D-4AFD-E207-C1FFF9826334}"/>
            </a:ext>
          </a:extLst>
        </xdr:cNvPr>
        <xdr:cNvSpPr txBox="1"/>
      </xdr:nvSpPr>
      <xdr:spPr>
        <a:xfrm>
          <a:off x="185367" y="1813340"/>
          <a:ext cx="1597171" cy="517071"/>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61A6400-CFBC-4EE4-B148-ABBC49623D25}" type="TxLink">
            <a:rPr lang="en-US" sz="2000" b="1" i="0" u="none" strike="noStrike">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ptos Narrow"/>
            </a:rPr>
            <a:pPr/>
            <a:t>$152.8K</a:t>
          </a:fld>
          <a:endParaRPr lang="en-US" sz="2000" b="1">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184284</xdr:colOff>
      <xdr:row>4</xdr:row>
      <xdr:rowOff>122659</xdr:rowOff>
    </xdr:from>
    <xdr:to>
      <xdr:col>3</xdr:col>
      <xdr:colOff>435429</xdr:colOff>
      <xdr:row>6</xdr:row>
      <xdr:rowOff>119484</xdr:rowOff>
    </xdr:to>
    <xdr:sp macro="" textlink="pivot!G4">
      <xdr:nvSpPr>
        <xdr:cNvPr id="12" name="TextBox 11">
          <a:extLst>
            <a:ext uri="{FF2B5EF4-FFF2-40B4-BE49-F238E27FC236}">
              <a16:creationId xmlns:a16="http://schemas.microsoft.com/office/drawing/2014/main" id="{80CFFBC2-6D6F-437D-BA02-04C5BCA51BB7}"/>
            </a:ext>
          </a:extLst>
        </xdr:cNvPr>
        <xdr:cNvSpPr txBox="1"/>
      </xdr:nvSpPr>
      <xdr:spPr>
        <a:xfrm>
          <a:off x="184284" y="939088"/>
          <a:ext cx="1557431" cy="405039"/>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9AD8CA-0208-4F76-9FEA-50595D980E63}" type="TxLink">
            <a:rPr lang="en-US" sz="2000" b="1" i="0" u="none" strike="noStrike">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ptos Narrow"/>
            </a:rPr>
            <a:pPr/>
            <a:t>569</a:t>
          </a:fld>
          <a:endParaRPr lang="en-US" sz="2000" b="1">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185598</xdr:colOff>
      <xdr:row>13</xdr:row>
      <xdr:rowOff>96338</xdr:rowOff>
    </xdr:from>
    <xdr:to>
      <xdr:col>3</xdr:col>
      <xdr:colOff>462643</xdr:colOff>
      <xdr:row>15</xdr:row>
      <xdr:rowOff>96339</xdr:rowOff>
    </xdr:to>
    <xdr:sp macro="" textlink="pivot!I4">
      <xdr:nvSpPr>
        <xdr:cNvPr id="13" name="TextBox 12">
          <a:extLst>
            <a:ext uri="{FF2B5EF4-FFF2-40B4-BE49-F238E27FC236}">
              <a16:creationId xmlns:a16="http://schemas.microsoft.com/office/drawing/2014/main" id="{74EFD043-A23F-4971-BAF2-72B3AE6FFE7A}"/>
            </a:ext>
          </a:extLst>
        </xdr:cNvPr>
        <xdr:cNvSpPr txBox="1"/>
      </xdr:nvSpPr>
      <xdr:spPr>
        <a:xfrm>
          <a:off x="185598" y="2749731"/>
          <a:ext cx="1583331" cy="408215"/>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4F59F9-5D15-46FC-A8B4-1C3FDA514258}" type="TxLink">
            <a:rPr lang="en-US" sz="2000" b="1" i="0" u="none" strike="noStrike">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ptos Narrow"/>
            </a:rPr>
            <a:pPr/>
            <a:t>2,666</a:t>
          </a:fld>
          <a:endParaRPr lang="en-US" sz="2000" b="1">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184315</xdr:colOff>
      <xdr:row>18</xdr:row>
      <xdr:rowOff>149679</xdr:rowOff>
    </xdr:from>
    <xdr:to>
      <xdr:col>3</xdr:col>
      <xdr:colOff>478724</xdr:colOff>
      <xdr:row>20</xdr:row>
      <xdr:rowOff>149679</xdr:rowOff>
    </xdr:to>
    <xdr:sp macro="" textlink="pivot!J4">
      <xdr:nvSpPr>
        <xdr:cNvPr id="14" name="TextBox 13">
          <a:extLst>
            <a:ext uri="{FF2B5EF4-FFF2-40B4-BE49-F238E27FC236}">
              <a16:creationId xmlns:a16="http://schemas.microsoft.com/office/drawing/2014/main" id="{AAA35975-45D0-4582-B136-8602DDFFE262}"/>
            </a:ext>
          </a:extLst>
        </xdr:cNvPr>
        <xdr:cNvSpPr txBox="1"/>
      </xdr:nvSpPr>
      <xdr:spPr>
        <a:xfrm>
          <a:off x="184315" y="3823608"/>
          <a:ext cx="1600695" cy="408214"/>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13540C2-6A23-4A9C-B28E-AF8D4386FE2F}" type="TxLink">
            <a:rPr lang="en-US" sz="2000" b="1" i="0" u="none" strike="noStrike">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ptos Narrow"/>
            </a:rPr>
            <a:pPr/>
            <a:t>4.0</a:t>
          </a:fld>
          <a:endParaRPr lang="en-US" sz="2000" b="1">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twoCellAnchor>
    <xdr:from>
      <xdr:col>0</xdr:col>
      <xdr:colOff>204106</xdr:colOff>
      <xdr:row>23</xdr:row>
      <xdr:rowOff>40822</xdr:rowOff>
    </xdr:from>
    <xdr:to>
      <xdr:col>3</xdr:col>
      <xdr:colOff>489856</xdr:colOff>
      <xdr:row>24</xdr:row>
      <xdr:rowOff>136072</xdr:rowOff>
    </xdr:to>
    <xdr:sp macro="" textlink="pivot!K4">
      <xdr:nvSpPr>
        <xdr:cNvPr id="15" name="TextBox 14">
          <a:extLst>
            <a:ext uri="{FF2B5EF4-FFF2-40B4-BE49-F238E27FC236}">
              <a16:creationId xmlns:a16="http://schemas.microsoft.com/office/drawing/2014/main" id="{CE1F9624-BDA0-4396-A839-444DA205EF4A}"/>
            </a:ext>
          </a:extLst>
        </xdr:cNvPr>
        <xdr:cNvSpPr txBox="1"/>
      </xdr:nvSpPr>
      <xdr:spPr>
        <a:xfrm>
          <a:off x="204106" y="4735286"/>
          <a:ext cx="1592036" cy="299357"/>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6CA6BD6-91FC-4F1A-8838-47E6BFAEFE49}" type="TxLink">
            <a:rPr lang="en-US" sz="2000" b="1" i="0" u="none" strike="noStrike">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latin typeface="Aptos Narrow"/>
            </a:rPr>
            <a:pPr/>
            <a:t>2.2</a:t>
          </a:fld>
          <a:endParaRPr lang="en-US" sz="2000" b="1">
            <a:gradFill>
              <a:gsLst>
                <a:gs pos="0">
                  <a:schemeClr val="accent1">
                    <a:alpha val="0"/>
                    <a:lumMod val="75000"/>
                  </a:schemeClr>
                </a:gs>
                <a:gs pos="13000">
                  <a:schemeClr val="accent1">
                    <a:lumMod val="45000"/>
                    <a:lumOff val="55000"/>
                  </a:schemeClr>
                </a:gs>
                <a:gs pos="78000">
                  <a:schemeClr val="accent1">
                    <a:lumMod val="45000"/>
                    <a:lumOff val="55000"/>
                  </a:schemeClr>
                </a:gs>
                <a:gs pos="100000">
                  <a:schemeClr val="accent1">
                    <a:lumMod val="30000"/>
                    <a:lumOff val="70000"/>
                  </a:schemeClr>
                </a:gs>
              </a:gsLst>
              <a:lin ang="5400000" scaled="1"/>
            </a:gradFill>
            <a:effectLst>
              <a:outerShdw blurRad="50800" dist="38100" algn="l" rotWithShape="0">
                <a:prstClr val="black">
                  <a:alpha val="40000"/>
                </a:prstClr>
              </a:outerShdw>
            </a:effectLst>
          </a:endParaRPr>
        </a:p>
      </xdr:txBody>
    </xdr:sp>
    <xdr:clientData/>
  </xdr:twoCellAnchor>
  <xdr:oneCellAnchor>
    <xdr:from>
      <xdr:col>2</xdr:col>
      <xdr:colOff>57150</xdr:colOff>
      <xdr:row>2</xdr:row>
      <xdr:rowOff>47625</xdr:rowOff>
    </xdr:from>
    <xdr:ext cx="184731" cy="264560"/>
    <xdr:sp macro="" textlink="">
      <xdr:nvSpPr>
        <xdr:cNvPr id="16" name="TextBox 15">
          <a:extLst>
            <a:ext uri="{FF2B5EF4-FFF2-40B4-BE49-F238E27FC236}">
              <a16:creationId xmlns:a16="http://schemas.microsoft.com/office/drawing/2014/main" id="{018C0C37-4CBF-7620-F43D-A7F48129072C}"/>
            </a:ext>
          </a:extLst>
        </xdr:cNvPr>
        <xdr:cNvSpPr txBox="1"/>
      </xdr:nvSpPr>
      <xdr:spPr>
        <a:xfrm>
          <a:off x="771525" y="428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204108</xdr:colOff>
      <xdr:row>2</xdr:row>
      <xdr:rowOff>190501</xdr:rowOff>
    </xdr:from>
    <xdr:ext cx="1191614" cy="312964"/>
    <xdr:sp macro="" textlink="">
      <xdr:nvSpPr>
        <xdr:cNvPr id="17" name="TextBox 16">
          <a:extLst>
            <a:ext uri="{FF2B5EF4-FFF2-40B4-BE49-F238E27FC236}">
              <a16:creationId xmlns:a16="http://schemas.microsoft.com/office/drawing/2014/main" id="{D34B1971-898C-6A55-CB60-1AFF98643D0F}"/>
            </a:ext>
          </a:extLst>
        </xdr:cNvPr>
        <xdr:cNvSpPr txBox="1"/>
      </xdr:nvSpPr>
      <xdr:spPr>
        <a:xfrm>
          <a:off x="204108" y="598715"/>
          <a:ext cx="1191614" cy="312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🛒Orders</a:t>
          </a:r>
        </a:p>
      </xdr:txBody>
    </xdr:sp>
    <xdr:clientData/>
  </xdr:oneCellAnchor>
  <xdr:twoCellAnchor>
    <xdr:from>
      <xdr:col>0</xdr:col>
      <xdr:colOff>217714</xdr:colOff>
      <xdr:row>6</xdr:row>
      <xdr:rowOff>176893</xdr:rowOff>
    </xdr:from>
    <xdr:to>
      <xdr:col>3</xdr:col>
      <xdr:colOff>462642</xdr:colOff>
      <xdr:row>8</xdr:row>
      <xdr:rowOff>108857</xdr:rowOff>
    </xdr:to>
    <xdr:sp macro="" textlink="">
      <xdr:nvSpPr>
        <xdr:cNvPr id="20" name="TextBox 19">
          <a:extLst>
            <a:ext uri="{FF2B5EF4-FFF2-40B4-BE49-F238E27FC236}">
              <a16:creationId xmlns:a16="http://schemas.microsoft.com/office/drawing/2014/main" id="{6ACD78B6-4865-F1B7-77A2-311C38532A73}"/>
            </a:ext>
          </a:extLst>
        </xdr:cNvPr>
        <xdr:cNvSpPr txBox="1"/>
      </xdr:nvSpPr>
      <xdr:spPr>
        <a:xfrm>
          <a:off x="217714" y="1401536"/>
          <a:ext cx="1551214" cy="340178"/>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💰Amount</a:t>
          </a:r>
        </a:p>
      </xdr:txBody>
    </xdr:sp>
    <xdr:clientData/>
  </xdr:twoCellAnchor>
  <xdr:twoCellAnchor>
    <xdr:from>
      <xdr:col>0</xdr:col>
      <xdr:colOff>190500</xdr:colOff>
      <xdr:row>11</xdr:row>
      <xdr:rowOff>122465</xdr:rowOff>
    </xdr:from>
    <xdr:to>
      <xdr:col>3</xdr:col>
      <xdr:colOff>449034</xdr:colOff>
      <xdr:row>13</xdr:row>
      <xdr:rowOff>27214</xdr:rowOff>
    </xdr:to>
    <xdr:sp macro="" textlink="">
      <xdr:nvSpPr>
        <xdr:cNvPr id="23" name="TextBox 22">
          <a:extLst>
            <a:ext uri="{FF2B5EF4-FFF2-40B4-BE49-F238E27FC236}">
              <a16:creationId xmlns:a16="http://schemas.microsoft.com/office/drawing/2014/main" id="{7D430772-3E54-7DBD-16EA-73EE9416B9EB}"/>
            </a:ext>
          </a:extLst>
        </xdr:cNvPr>
        <xdr:cNvSpPr txBox="1"/>
      </xdr:nvSpPr>
      <xdr:spPr>
        <a:xfrm>
          <a:off x="190500" y="2367644"/>
          <a:ext cx="1564820" cy="312963"/>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👘Quantity</a:t>
          </a:r>
        </a:p>
      </xdr:txBody>
    </xdr:sp>
    <xdr:clientData/>
  </xdr:twoCellAnchor>
  <xdr:twoCellAnchor>
    <xdr:from>
      <xdr:col>0</xdr:col>
      <xdr:colOff>190500</xdr:colOff>
      <xdr:row>15</xdr:row>
      <xdr:rowOff>190501</xdr:rowOff>
    </xdr:from>
    <xdr:to>
      <xdr:col>3</xdr:col>
      <xdr:colOff>489856</xdr:colOff>
      <xdr:row>18</xdr:row>
      <xdr:rowOff>27215</xdr:rowOff>
    </xdr:to>
    <xdr:sp macro="" textlink="">
      <xdr:nvSpPr>
        <xdr:cNvPr id="25" name="TextBox 24">
          <a:extLst>
            <a:ext uri="{FF2B5EF4-FFF2-40B4-BE49-F238E27FC236}">
              <a16:creationId xmlns:a16="http://schemas.microsoft.com/office/drawing/2014/main" id="{974F3A62-0327-FB2A-9256-3722F3FEA9A5}"/>
            </a:ext>
          </a:extLst>
        </xdr:cNvPr>
        <xdr:cNvSpPr txBox="1"/>
      </xdr:nvSpPr>
      <xdr:spPr>
        <a:xfrm>
          <a:off x="190500" y="3252108"/>
          <a:ext cx="1605642" cy="449036"/>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a:t>
          </a:r>
          <a:r>
            <a:rPr lang="en-US" sz="1100" baseline="0"/>
            <a:t> Rating</a:t>
          </a:r>
          <a:endParaRPr lang="en-US" sz="1100"/>
        </a:p>
      </xdr:txBody>
    </xdr:sp>
    <xdr:clientData/>
  </xdr:twoCellAnchor>
  <xdr:twoCellAnchor>
    <xdr:from>
      <xdr:col>0</xdr:col>
      <xdr:colOff>190500</xdr:colOff>
      <xdr:row>20</xdr:row>
      <xdr:rowOff>122465</xdr:rowOff>
    </xdr:from>
    <xdr:to>
      <xdr:col>3</xdr:col>
      <xdr:colOff>502228</xdr:colOff>
      <xdr:row>22</xdr:row>
      <xdr:rowOff>136073</xdr:rowOff>
    </xdr:to>
    <xdr:sp macro="" textlink="">
      <xdr:nvSpPr>
        <xdr:cNvPr id="26" name="TextBox 25">
          <a:extLst>
            <a:ext uri="{FF2B5EF4-FFF2-40B4-BE49-F238E27FC236}">
              <a16:creationId xmlns:a16="http://schemas.microsoft.com/office/drawing/2014/main" id="{0C0FBBA7-93DC-6B77-3660-EF32F1ABA737}"/>
            </a:ext>
          </a:extLst>
        </xdr:cNvPr>
        <xdr:cNvSpPr txBox="1"/>
      </xdr:nvSpPr>
      <xdr:spPr>
        <a:xfrm>
          <a:off x="190500" y="4204608"/>
          <a:ext cx="1618014" cy="421822"/>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📅Avg. Days</a:t>
          </a:r>
        </a:p>
      </xdr:txBody>
    </xdr:sp>
    <xdr:clientData/>
  </xdr:twoCellAnchor>
  <xdr:twoCellAnchor>
    <xdr:from>
      <xdr:col>4</xdr:col>
      <xdr:colOff>221673</xdr:colOff>
      <xdr:row>1</xdr:row>
      <xdr:rowOff>174914</xdr:rowOff>
    </xdr:from>
    <xdr:to>
      <xdr:col>11</xdr:col>
      <xdr:colOff>412172</xdr:colOff>
      <xdr:row>15</xdr:row>
      <xdr:rowOff>34636</xdr:rowOff>
    </xdr:to>
    <xdr:graphicFrame macro="">
      <xdr:nvGraphicFramePr>
        <xdr:cNvPr id="27" name="Chart 26">
          <a:extLst>
            <a:ext uri="{FF2B5EF4-FFF2-40B4-BE49-F238E27FC236}">
              <a16:creationId xmlns:a16="http://schemas.microsoft.com/office/drawing/2014/main" id="{7D4EF848-CE94-439F-AED6-0C08B2D10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259773</xdr:colOff>
      <xdr:row>1</xdr:row>
      <xdr:rowOff>155864</xdr:rowOff>
    </xdr:from>
    <xdr:to>
      <xdr:col>19</xdr:col>
      <xdr:colOff>554182</xdr:colOff>
      <xdr:row>15</xdr:row>
      <xdr:rowOff>36369</xdr:rowOff>
    </xdr:to>
    <xdr:sp macro="" textlink="">
      <xdr:nvSpPr>
        <xdr:cNvPr id="35" name="Rectangle 34">
          <a:extLst>
            <a:ext uri="{FF2B5EF4-FFF2-40B4-BE49-F238E27FC236}">
              <a16:creationId xmlns:a16="http://schemas.microsoft.com/office/drawing/2014/main" id="{9AA75248-3A61-8064-9F21-DE667EBA52BD}"/>
            </a:ext>
          </a:extLst>
        </xdr:cNvPr>
        <xdr:cNvSpPr/>
      </xdr:nvSpPr>
      <xdr:spPr>
        <a:xfrm>
          <a:off x="6944591" y="346364"/>
          <a:ext cx="4537364" cy="254750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ysClr val="windowText" lastClr="000000"/>
              </a:solidFill>
            </a:rPr>
            <a:t>How</a:t>
          </a:r>
          <a:r>
            <a:rPr lang="en-US" sz="1400" baseline="0">
              <a:solidFill>
                <a:sysClr val="windowText" lastClr="000000"/>
              </a:solidFill>
            </a:rPr>
            <a:t> they like to buy</a:t>
          </a:r>
          <a:r>
            <a:rPr lang="en-US" sz="1100" baseline="0"/>
            <a:t>?</a:t>
          </a:r>
          <a:endParaRPr lang="en-US" sz="1100"/>
        </a:p>
      </xdr:txBody>
    </xdr:sp>
    <xdr:clientData/>
  </xdr:twoCellAnchor>
  <mc:AlternateContent xmlns:mc="http://schemas.openxmlformats.org/markup-compatibility/2006">
    <mc:Choice xmlns:a14="http://schemas.microsoft.com/office/drawing/2010/main" Requires="a14">
      <xdr:twoCellAnchor editAs="oneCell">
        <xdr:from>
          <xdr:col>13</xdr:col>
          <xdr:colOff>174913</xdr:colOff>
          <xdr:row>5</xdr:row>
          <xdr:rowOff>39833</xdr:rowOff>
        </xdr:from>
        <xdr:to>
          <xdr:col>18</xdr:col>
          <xdr:colOff>393989</xdr:colOff>
          <xdr:row>13</xdr:row>
          <xdr:rowOff>20782</xdr:rowOff>
        </xdr:to>
        <xdr:pic>
          <xdr:nvPicPr>
            <xdr:cNvPr id="34" name="Picture 33">
              <a:extLst>
                <a:ext uri="{FF2B5EF4-FFF2-40B4-BE49-F238E27FC236}">
                  <a16:creationId xmlns:a16="http://schemas.microsoft.com/office/drawing/2014/main" id="{78035BA0-8F0B-0296-F11C-D6A4922A2FA3}"/>
                </a:ext>
              </a:extLst>
            </xdr:cNvPr>
            <xdr:cNvPicPr>
              <a:picLocks noChangeAspect="1" noChangeArrowheads="1"/>
              <a:extLst>
                <a:ext uri="{84589F7E-364E-4C9E-8A38-B11213B215E9}">
                  <a14:cameraTool cellRange="Sheet3!$H$4:$L$9" spid="_x0000_s3114"/>
                </a:ext>
              </a:extLst>
            </xdr:cNvPicPr>
          </xdr:nvPicPr>
          <xdr:blipFill>
            <a:blip xmlns:r="http://schemas.openxmlformats.org/officeDocument/2006/relationships" r:embed="rId2"/>
            <a:srcRect/>
            <a:stretch>
              <a:fillRect/>
            </a:stretch>
          </xdr:blipFill>
          <xdr:spPr bwMode="auto">
            <a:xfrm>
              <a:off x="7465868" y="992333"/>
              <a:ext cx="3249757" cy="150494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432954</xdr:colOff>
      <xdr:row>1</xdr:row>
      <xdr:rowOff>121226</xdr:rowOff>
    </xdr:from>
    <xdr:to>
      <xdr:col>28</xdr:col>
      <xdr:colOff>190499</xdr:colOff>
      <xdr:row>15</xdr:row>
      <xdr:rowOff>19915</xdr:rowOff>
    </xdr:to>
    <xdr:graphicFrame macro="">
      <xdr:nvGraphicFramePr>
        <xdr:cNvPr id="37" name="Chart 36">
          <a:extLst>
            <a:ext uri="{FF2B5EF4-FFF2-40B4-BE49-F238E27FC236}">
              <a16:creationId xmlns:a16="http://schemas.microsoft.com/office/drawing/2014/main" id="{FFE8FA13-6939-49B8-8F4D-0F472F1AB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94960</xdr:colOff>
      <xdr:row>17</xdr:row>
      <xdr:rowOff>72158</xdr:rowOff>
    </xdr:from>
    <xdr:to>
      <xdr:col>11</xdr:col>
      <xdr:colOff>399759</xdr:colOff>
      <xdr:row>43</xdr:row>
      <xdr:rowOff>155864</xdr:rowOff>
    </xdr:to>
    <xdr:graphicFrame macro="">
      <xdr:nvGraphicFramePr>
        <xdr:cNvPr id="38" name="Chart 37">
          <a:extLst>
            <a:ext uri="{FF2B5EF4-FFF2-40B4-BE49-F238E27FC236}">
              <a16:creationId xmlns:a16="http://schemas.microsoft.com/office/drawing/2014/main" id="{6FE91F84-A9B8-486F-AB77-EDA0E3D35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461528</xdr:colOff>
      <xdr:row>32</xdr:row>
      <xdr:rowOff>67830</xdr:rowOff>
    </xdr:from>
    <xdr:to>
      <xdr:col>9</xdr:col>
      <xdr:colOff>207817</xdr:colOff>
      <xdr:row>40</xdr:row>
      <xdr:rowOff>67830</xdr:rowOff>
    </xdr:to>
    <xdr:graphicFrame macro="">
      <xdr:nvGraphicFramePr>
        <xdr:cNvPr id="39" name="Chart 38">
          <a:extLst>
            <a:ext uri="{FF2B5EF4-FFF2-40B4-BE49-F238E27FC236}">
              <a16:creationId xmlns:a16="http://schemas.microsoft.com/office/drawing/2014/main" id="{BEAD0E4A-4CA6-431B-B0AF-D6D21D500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103042</xdr:colOff>
      <xdr:row>17</xdr:row>
      <xdr:rowOff>51954</xdr:rowOff>
    </xdr:from>
    <xdr:to>
      <xdr:col>19</xdr:col>
      <xdr:colOff>604693</xdr:colOff>
      <xdr:row>43</xdr:row>
      <xdr:rowOff>114011</xdr:rowOff>
    </xdr:to>
    <mc:AlternateContent xmlns:mc="http://schemas.openxmlformats.org/markup-compatibility/2006">
      <mc:Choice xmlns:cx4="http://schemas.microsoft.com/office/drawing/2016/5/10/chartex" Requires="cx4">
        <xdr:graphicFrame macro="">
          <xdr:nvGraphicFramePr>
            <xdr:cNvPr id="40" name="Chart 39">
              <a:extLst>
                <a:ext uri="{FF2B5EF4-FFF2-40B4-BE49-F238E27FC236}">
                  <a16:creationId xmlns:a16="http://schemas.microsoft.com/office/drawing/2014/main" id="{765C69AF-D29C-451F-9941-B5AB6CF27F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827692" y="3290454"/>
              <a:ext cx="4768851" cy="501505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225135</xdr:colOff>
      <xdr:row>21</xdr:row>
      <xdr:rowOff>51955</xdr:rowOff>
    </xdr:from>
    <xdr:to>
      <xdr:col>18</xdr:col>
      <xdr:colOff>588818</xdr:colOff>
      <xdr:row>31</xdr:row>
      <xdr:rowOff>28574</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28028670-F08B-4A53-B738-FA9948D31D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88185" y="4052455"/>
              <a:ext cx="1582883" cy="188161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463550</xdr:colOff>
      <xdr:row>15</xdr:row>
      <xdr:rowOff>137102</xdr:rowOff>
    </xdr:from>
    <xdr:to>
      <xdr:col>28</xdr:col>
      <xdr:colOff>206663</xdr:colOff>
      <xdr:row>28</xdr:row>
      <xdr:rowOff>105352</xdr:rowOff>
    </xdr:to>
    <xdr:graphicFrame macro="">
      <xdr:nvGraphicFramePr>
        <xdr:cNvPr id="42" name="Chart 41">
          <a:extLst>
            <a:ext uri="{FF2B5EF4-FFF2-40B4-BE49-F238E27FC236}">
              <a16:creationId xmlns:a16="http://schemas.microsoft.com/office/drawing/2014/main" id="{AF96F57A-373E-45EE-8712-636305A6A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459221</xdr:colOff>
      <xdr:row>29</xdr:row>
      <xdr:rowOff>76199</xdr:rowOff>
    </xdr:from>
    <xdr:to>
      <xdr:col>28</xdr:col>
      <xdr:colOff>116609</xdr:colOff>
      <xdr:row>43</xdr:row>
      <xdr:rowOff>152399</xdr:rowOff>
    </xdr:to>
    <xdr:graphicFrame macro="">
      <xdr:nvGraphicFramePr>
        <xdr:cNvPr id="44" name="Chart 43">
          <a:extLst>
            <a:ext uri="{FF2B5EF4-FFF2-40B4-BE49-F238E27FC236}">
              <a16:creationId xmlns:a16="http://schemas.microsoft.com/office/drawing/2014/main" id="{0990B20E-2D37-4C96-8E12-B9753C780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214415</xdr:colOff>
      <xdr:row>25</xdr:row>
      <xdr:rowOff>60200</xdr:rowOff>
    </xdr:from>
    <xdr:to>
      <xdr:col>4</xdr:col>
      <xdr:colOff>12370</xdr:colOff>
      <xdr:row>35</xdr:row>
      <xdr:rowOff>19791</xdr:rowOff>
    </xdr:to>
    <mc:AlternateContent xmlns:mc="http://schemas.openxmlformats.org/markup-compatibility/2006" xmlns:a14="http://schemas.microsoft.com/office/drawing/2010/main">
      <mc:Choice Requires="a14">
        <xdr:graphicFrame macro="">
          <xdr:nvGraphicFramePr>
            <xdr:cNvPr id="47" name="Order Mode 1">
              <a:extLst>
                <a:ext uri="{FF2B5EF4-FFF2-40B4-BE49-F238E27FC236}">
                  <a16:creationId xmlns:a16="http://schemas.microsoft.com/office/drawing/2014/main" id="{5435D819-AFB1-4611-AF49-E7DC8E85EA94}"/>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214415" y="4822700"/>
              <a:ext cx="1621312" cy="1864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197098</xdr:colOff>
      <xdr:row>35</xdr:row>
      <xdr:rowOff>56489</xdr:rowOff>
    </xdr:from>
    <xdr:to>
      <xdr:col>3</xdr:col>
      <xdr:colOff>566552</xdr:colOff>
      <xdr:row>43</xdr:row>
      <xdr:rowOff>16080</xdr:rowOff>
    </xdr:to>
    <mc:AlternateContent xmlns:mc="http://schemas.openxmlformats.org/markup-compatibility/2006" xmlns:a14="http://schemas.microsoft.com/office/drawing/2010/main">
      <mc:Choice Requires="a14">
        <xdr:graphicFrame macro="">
          <xdr:nvGraphicFramePr>
            <xdr:cNvPr id="48" name="Gender Value">
              <a:extLst>
                <a:ext uri="{FF2B5EF4-FFF2-40B4-BE49-F238E27FC236}">
                  <a16:creationId xmlns:a16="http://schemas.microsoft.com/office/drawing/2014/main" id="{86D82AF6-B9C8-492B-8B59-65CE86FA994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97098" y="6723989"/>
              <a:ext cx="1621311" cy="1483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36284</xdr:colOff>
      <xdr:row>0</xdr:row>
      <xdr:rowOff>55254</xdr:rowOff>
    </xdr:from>
    <xdr:to>
      <xdr:col>3</xdr:col>
      <xdr:colOff>557892</xdr:colOff>
      <xdr:row>2</xdr:row>
      <xdr:rowOff>131576</xdr:rowOff>
    </xdr:to>
    <xdr:pic>
      <xdr:nvPicPr>
        <xdr:cNvPr id="49" name="Picture 48">
          <a:extLst>
            <a:ext uri="{FF2B5EF4-FFF2-40B4-BE49-F238E27FC236}">
              <a16:creationId xmlns:a16="http://schemas.microsoft.com/office/drawing/2014/main" id="{F1C06DCE-C1CF-4780-8393-06152A6909E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36284" y="55254"/>
          <a:ext cx="1773465" cy="4573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438150</xdr:colOff>
      <xdr:row>15</xdr:row>
      <xdr:rowOff>142875</xdr:rowOff>
    </xdr:from>
    <xdr:to>
      <xdr:col>11</xdr:col>
      <xdr:colOff>542925</xdr:colOff>
      <xdr:row>29</xdr:row>
      <xdr:rowOff>142875</xdr:rowOff>
    </xdr:to>
    <mc:AlternateContent xmlns:mc="http://schemas.openxmlformats.org/markup-compatibility/2006" xmlns:a14="http://schemas.microsoft.com/office/drawing/2010/main">
      <mc:Choice Requires="a14">
        <xdr:graphicFrame macro="">
          <xdr:nvGraphicFramePr>
            <xdr:cNvPr id="5" name="Order Mode">
              <a:extLst>
                <a:ext uri="{FF2B5EF4-FFF2-40B4-BE49-F238E27FC236}">
                  <a16:creationId xmlns:a16="http://schemas.microsoft.com/office/drawing/2014/main" id="{777E65B7-736D-9459-660C-70E22774A510}"/>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867275" y="30003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95.040885995368" createdVersion="8" refreshedVersion="8" minRefreshableVersion="3" recordCount="2400" xr:uid="{4CB67211-48F8-4C2D-A696-ED57DD79A580}">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1846576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BDAA5B-56D8-4D69-B522-EAFD3CF1DF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9:C23" firstHeaderRow="0" firstDataRow="1" firstDataCol="1"/>
  <pivotFields count="18">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items count="16">
        <item x="7"/>
        <item x="3"/>
        <item x="1"/>
        <item x="2"/>
        <item x="5"/>
        <item x="0"/>
        <item x="4"/>
        <item x="6"/>
        <item x="9"/>
        <item x="8"/>
        <item x="14"/>
        <item x="11"/>
        <item x="13"/>
        <item x="10"/>
        <item x="12"/>
        <item t="default"/>
      </items>
    </pivotField>
    <pivotField axis="axisRow" showAll="0">
      <items count="14">
        <item x="0"/>
        <item x="1"/>
        <item x="2"/>
        <item x="3"/>
        <item x="4"/>
        <item x="5"/>
        <item x="6"/>
        <item x="7"/>
        <item x="8"/>
        <item x="9"/>
        <item x="10"/>
        <item x="11"/>
        <item x="12"/>
        <item t="default"/>
      </items>
    </pivotField>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64"/>
    <dataField name="Sum of Quantity" fld="2"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07F372-6DA1-4C0A-B9BC-1BE039EE67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dataField="1" showAll="0"/>
    <pivotField showAll="0"/>
    <pivotField showAll="0"/>
    <pivotField dataField="1" showAll="0"/>
    <pivotField showAll="0"/>
    <pivotField showAll="0"/>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Amount" fld="4" baseField="0" baseItem="0"/>
    <dataField name="Sum of Quantity" fld="2"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A6E009-974E-4718-B385-53B9AAEA1134}" name="PivotTable9"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47" firstHeaderRow="0" firstDataRow="1" firstDataCol="1"/>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0"/>
        <item h="1" x="3"/>
        <item h="1" x="4"/>
        <item h="1"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1">
    <field x="11"/>
  </rowFields>
  <rowItems count="44">
    <i>
      <x/>
    </i>
    <i>
      <x v="2"/>
    </i>
    <i>
      <x v="3"/>
    </i>
    <i>
      <x v="5"/>
    </i>
    <i>
      <x v="6"/>
    </i>
    <i>
      <x v="9"/>
    </i>
    <i>
      <x v="10"/>
    </i>
    <i>
      <x v="11"/>
    </i>
    <i>
      <x v="12"/>
    </i>
    <i>
      <x v="14"/>
    </i>
    <i>
      <x v="15"/>
    </i>
    <i>
      <x v="16"/>
    </i>
    <i>
      <x v="18"/>
    </i>
    <i>
      <x v="19"/>
    </i>
    <i>
      <x v="20"/>
    </i>
    <i>
      <x v="22"/>
    </i>
    <i>
      <x v="23"/>
    </i>
    <i>
      <x v="26"/>
    </i>
    <i>
      <x v="27"/>
    </i>
    <i>
      <x v="28"/>
    </i>
    <i>
      <x v="29"/>
    </i>
    <i>
      <x v="30"/>
    </i>
    <i>
      <x v="32"/>
    </i>
    <i>
      <x v="33"/>
    </i>
    <i>
      <x v="35"/>
    </i>
    <i>
      <x v="36"/>
    </i>
    <i>
      <x v="37"/>
    </i>
    <i>
      <x v="38"/>
    </i>
    <i>
      <x v="40"/>
    </i>
    <i>
      <x v="41"/>
    </i>
    <i>
      <x v="42"/>
    </i>
    <i>
      <x v="43"/>
    </i>
    <i>
      <x v="44"/>
    </i>
    <i>
      <x v="46"/>
    </i>
    <i>
      <x v="47"/>
    </i>
    <i>
      <x v="48"/>
    </i>
    <i>
      <x v="49"/>
    </i>
    <i>
      <x v="51"/>
    </i>
    <i>
      <x v="52"/>
    </i>
    <i>
      <x v="53"/>
    </i>
    <i>
      <x v="54"/>
    </i>
    <i>
      <x v="55"/>
    </i>
    <i>
      <x v="56"/>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25C3E-6CC2-4A68-A8B2-03956888594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G25"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h="1" x="1"/>
        <item h="1" x="3"/>
        <item h="1"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5" format="13" series="1">
      <pivotArea type="data" outline="0" fieldPosition="0">
        <references count="2">
          <reference field="4294967294" count="1" selected="0">
            <x v="0"/>
          </reference>
          <reference field="9" count="1" selected="0">
            <x v="0"/>
          </reference>
        </references>
      </pivotArea>
    </chartFormat>
    <chartFormat chart="5" format="14" series="1">
      <pivotArea type="data" outline="0" fieldPosition="0">
        <references count="2">
          <reference field="4294967294" count="1" selected="0">
            <x v="0"/>
          </reference>
          <reference field="9" count="1" selected="0">
            <x v="1"/>
          </reference>
        </references>
      </pivotArea>
    </chartFormat>
    <chartFormat chart="5" format="15" series="1">
      <pivotArea type="data" outline="0" fieldPosition="0">
        <references count="2">
          <reference field="4294967294" count="1" selected="0">
            <x v="0"/>
          </reference>
          <reference field="9" count="1" selected="0">
            <x v="2"/>
          </reference>
        </references>
      </pivotArea>
    </chartFormat>
    <chartFormat chart="5" format="16" series="1">
      <pivotArea type="data" outline="0" fieldPosition="0">
        <references count="2">
          <reference field="4294967294" count="1" selected="0">
            <x v="0"/>
          </reference>
          <reference field="9" count="1" selected="0">
            <x v="3"/>
          </reference>
        </references>
      </pivotArea>
    </chartFormat>
    <chartFormat chart="5"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B54884-3620-4432-ABB3-DD7BE581E10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5">
    <i>
      <x/>
    </i>
    <i>
      <x v="1"/>
    </i>
    <i>
      <x v="2"/>
    </i>
    <i>
      <x v="3"/>
    </i>
    <i>
      <x v="4"/>
    </i>
    <i>
      <x v="5"/>
    </i>
    <i>
      <x v="6"/>
    </i>
    <i>
      <x v="7"/>
    </i>
    <i>
      <x v="8"/>
    </i>
    <i>
      <x v="9"/>
    </i>
    <i>
      <x v="10"/>
    </i>
    <i>
      <x v="11"/>
    </i>
    <i>
      <x v="13"/>
    </i>
    <i>
      <x v="14"/>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98CCE5-6293-464D-B6AF-35F73A4E2D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98DC71-355B-472B-84AE-4C725CB146C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0"/>
    </i>
    <i>
      <x v="4"/>
    </i>
    <i>
      <x v="12"/>
    </i>
    <i>
      <x v="5"/>
    </i>
    <i>
      <x v="11"/>
    </i>
    <i>
      <x v="14"/>
    </i>
    <i>
      <x v="1"/>
    </i>
    <i>
      <x v="17"/>
    </i>
    <i>
      <x v="9"/>
    </i>
    <i>
      <x v="2"/>
    </i>
    <i>
      <x v="3"/>
    </i>
    <i>
      <x v="19"/>
    </i>
    <i>
      <x v="8"/>
    </i>
    <i>
      <x v="15"/>
    </i>
    <i>
      <x/>
    </i>
    <i>
      <x v="7"/>
    </i>
    <i t="grand">
      <x/>
    </i>
  </rowItems>
  <colFields count="1">
    <field x="7"/>
  </colFields>
  <colItems count="5">
    <i>
      <x/>
    </i>
    <i>
      <x v="1"/>
    </i>
    <i>
      <x v="2"/>
    </i>
    <i>
      <x v="3"/>
    </i>
    <i t="grand">
      <x/>
    </i>
  </colItems>
  <dataFields count="1">
    <dataField name="Sum of Quantity" fld="2" baseField="0" baseItem="0"/>
  </dataFields>
  <chartFormats count="4">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1C2EC6-CF92-453D-B578-2F3AA987EF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K3:L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Row" showAll="0">
      <items count="5">
        <item x="0"/>
        <item x="2"/>
        <item x="1"/>
        <item x="3"/>
        <item t="default"/>
      </items>
    </pivotField>
    <pivotField showAll="0">
      <items count="6">
        <item h="1" x="0"/>
        <item h="1" x="3"/>
        <item h="1" x="4"/>
        <item h="1" x="2"/>
        <item x="1"/>
        <item t="default"/>
      </items>
    </pivotField>
    <pivotField showAll="0"/>
    <pivotField showAll="0"/>
    <pivotField showAll="0"/>
    <pivotField showAll="0"/>
    <pivotField showAll="0"/>
    <pivotField showAll="0"/>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0"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AD1D60-B4EA-4556-891C-5E1A8A8B32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h="1" x="0"/>
        <item h="1" x="3"/>
        <item h="1" x="4"/>
        <item h="1" x="2"/>
        <item x="1"/>
        <item t="default"/>
      </items>
    </pivotField>
    <pivotField showAll="0"/>
    <pivotField showAll="0"/>
    <pivotField showAll="0"/>
    <pivotField showAll="0"/>
    <pivotField showAll="0"/>
    <pivotField showAll="0"/>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41FCBA1B-D782-43B2-815E-1C0972079902}" sourceName="Order Mode">
  <pivotTables>
    <pivotTable tabId="12" name="PivotTable15"/>
    <pivotTable tabId="5" name="PivotTable1"/>
    <pivotTable tabId="5" name="PivotTable2"/>
    <pivotTable tabId="8" name="PivotTable6"/>
    <pivotTable tabId="9" name="PivotTable7"/>
    <pivotTable tabId="9" name="PivotTable8"/>
    <pivotTable tabId="10" name="PivotTable9"/>
    <pivotTable tabId="12" name="PivotTable13"/>
  </pivotTables>
  <data>
    <tabular pivotCacheId="1846576816">
      <items count="5">
        <i x="0"/>
        <i x="3"/>
        <i x="4"/>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1C2D9C9F-1907-4512-AA49-0EFB437E8FC6}" sourceName="Gender Value">
  <pivotTables>
    <pivotTable tabId="12" name="PivotTable15"/>
  </pivotTables>
  <data>
    <tabular pivotCacheId="1846576816">
      <items count="4">
        <i x="2" s="1"/>
        <i x="1"/>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A7EF62A7-D4FC-4D61-B7B8-66DF86A6166D}" cache="Slicer_Order_Mode" caption="Order Mode" rowHeight="257175"/>
  <slicer name="Gender Value" xr10:uid="{D3E6B9C8-E077-4B69-8EEF-ACE32DBB2872}" cache="Slicer_Gender_Value" caption="Gender Valu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0C26536-9396-4270-8B39-595F9E62A7DB}" cache="Slicer_Order_Mode" caption="Order Mod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88482-1690-491E-890C-7BB4CCE66016}">
  <dimension ref="A2:K23"/>
  <sheetViews>
    <sheetView workbookViewId="0"/>
  </sheetViews>
  <sheetFormatPr defaultRowHeight="15" x14ac:dyDescent="0.25"/>
  <cols>
    <col min="1" max="1" width="13.140625" bestFit="1" customWidth="1"/>
    <col min="2" max="2" width="14.85546875" customWidth="1"/>
    <col min="3" max="3" width="15.42578125" bestFit="1" customWidth="1"/>
    <col min="4" max="4" width="18.42578125" bestFit="1" customWidth="1"/>
    <col min="5" max="5" width="24.7109375" bestFit="1" customWidth="1"/>
    <col min="8" max="8" width="17" customWidth="1"/>
    <col min="10" max="11" width="11.28515625" customWidth="1"/>
  </cols>
  <sheetData>
    <row r="2" spans="1:11" ht="10.5" customHeight="1" x14ac:dyDescent="0.25">
      <c r="G2" t="s">
        <v>2524</v>
      </c>
    </row>
    <row r="3" spans="1:11" x14ac:dyDescent="0.25">
      <c r="A3" t="s">
        <v>2519</v>
      </c>
      <c r="B3" t="s">
        <v>2521</v>
      </c>
      <c r="C3" t="s">
        <v>2520</v>
      </c>
      <c r="D3" t="s">
        <v>2522</v>
      </c>
      <c r="E3" t="s">
        <v>2523</v>
      </c>
      <c r="G3" t="s">
        <v>2518</v>
      </c>
      <c r="H3" t="s">
        <v>4</v>
      </c>
      <c r="I3" t="s">
        <v>2525</v>
      </c>
      <c r="J3" t="s">
        <v>2507</v>
      </c>
      <c r="K3" t="s">
        <v>2526</v>
      </c>
    </row>
    <row r="4" spans="1:11" x14ac:dyDescent="0.25">
      <c r="A4" s="31">
        <v>569</v>
      </c>
      <c r="B4" s="31">
        <v>152796.40000000017</v>
      </c>
      <c r="C4" s="31">
        <v>2666</v>
      </c>
      <c r="D4" s="31">
        <v>3.9578207381370825</v>
      </c>
      <c r="E4" s="31">
        <v>2.2161687170474518</v>
      </c>
      <c r="G4" t="str">
        <f>TEXT(A4,"#,##")</f>
        <v>569</v>
      </c>
      <c r="H4" t="str">
        <f>TEXT(B4,"$#,##,.0K")</f>
        <v>$152.8K</v>
      </c>
      <c r="I4" t="str">
        <f t="shared" ref="I4" si="0">TEXT(C4,"#,##")</f>
        <v>2,666</v>
      </c>
      <c r="J4" t="str">
        <f>TEXT(D4,"0.0")</f>
        <v>4.0</v>
      </c>
      <c r="K4" t="str">
        <f>TEXT(E4,"0.0")</f>
        <v>2.2</v>
      </c>
    </row>
    <row r="8" spans="1:11" x14ac:dyDescent="0.25">
      <c r="A8" t="s">
        <v>2529</v>
      </c>
    </row>
    <row r="9" spans="1:11" x14ac:dyDescent="0.25">
      <c r="A9" s="5" t="s">
        <v>2527</v>
      </c>
      <c r="B9" t="s">
        <v>2521</v>
      </c>
      <c r="C9" t="s">
        <v>2520</v>
      </c>
    </row>
    <row r="10" spans="1:11" x14ac:dyDescent="0.25">
      <c r="A10" s="6">
        <v>1</v>
      </c>
      <c r="B10" s="7">
        <v>5530.5999999999995</v>
      </c>
      <c r="C10" s="31">
        <v>106</v>
      </c>
    </row>
    <row r="11" spans="1:11" x14ac:dyDescent="0.25">
      <c r="A11" s="6">
        <v>2</v>
      </c>
      <c r="B11" s="7">
        <v>11648.6</v>
      </c>
      <c r="C11" s="31">
        <v>235</v>
      </c>
    </row>
    <row r="12" spans="1:11" x14ac:dyDescent="0.25">
      <c r="A12" s="6">
        <v>3</v>
      </c>
      <c r="B12" s="7">
        <v>14960.699999999999</v>
      </c>
      <c r="C12" s="31">
        <v>239</v>
      </c>
    </row>
    <row r="13" spans="1:11" x14ac:dyDescent="0.25">
      <c r="A13" s="6">
        <v>4</v>
      </c>
      <c r="B13" s="7">
        <v>10358.900000000001</v>
      </c>
      <c r="C13" s="31">
        <v>186</v>
      </c>
    </row>
    <row r="14" spans="1:11" x14ac:dyDescent="0.25">
      <c r="A14" s="6">
        <v>5</v>
      </c>
      <c r="B14" s="7">
        <v>7508.0000000000018</v>
      </c>
      <c r="C14" s="31">
        <v>132</v>
      </c>
    </row>
    <row r="15" spans="1:11" x14ac:dyDescent="0.25">
      <c r="A15" s="6">
        <v>6</v>
      </c>
      <c r="B15" s="7">
        <v>14115.399999999998</v>
      </c>
      <c r="C15" s="31">
        <v>224</v>
      </c>
    </row>
    <row r="16" spans="1:11" x14ac:dyDescent="0.25">
      <c r="A16" s="6">
        <v>7</v>
      </c>
      <c r="B16" s="7">
        <v>12354.4</v>
      </c>
      <c r="C16" s="31">
        <v>226</v>
      </c>
    </row>
    <row r="17" spans="1:3" x14ac:dyDescent="0.25">
      <c r="A17" s="6">
        <v>8</v>
      </c>
      <c r="B17" s="7">
        <v>15048.500000000005</v>
      </c>
      <c r="C17" s="31">
        <v>253</v>
      </c>
    </row>
    <row r="18" spans="1:3" x14ac:dyDescent="0.25">
      <c r="A18" s="6">
        <v>9</v>
      </c>
      <c r="B18" s="7">
        <v>10938.800000000001</v>
      </c>
      <c r="C18" s="31">
        <v>202</v>
      </c>
    </row>
    <row r="19" spans="1:3" x14ac:dyDescent="0.25">
      <c r="A19" s="6">
        <v>10</v>
      </c>
      <c r="B19" s="7">
        <v>14980.4</v>
      </c>
      <c r="C19" s="31">
        <v>217</v>
      </c>
    </row>
    <row r="20" spans="1:3" x14ac:dyDescent="0.25">
      <c r="A20" s="6">
        <v>11</v>
      </c>
      <c r="B20" s="7">
        <v>10512.100000000002</v>
      </c>
      <c r="C20" s="31">
        <v>202</v>
      </c>
    </row>
    <row r="21" spans="1:3" x14ac:dyDescent="0.25">
      <c r="A21" s="6">
        <v>12</v>
      </c>
      <c r="B21" s="7">
        <v>12628</v>
      </c>
      <c r="C21" s="31">
        <v>233</v>
      </c>
    </row>
    <row r="22" spans="1:3" x14ac:dyDescent="0.25">
      <c r="A22" s="6">
        <v>13</v>
      </c>
      <c r="B22" s="7">
        <v>12212.000000000002</v>
      </c>
      <c r="C22" s="31">
        <v>211</v>
      </c>
    </row>
    <row r="23" spans="1:3" x14ac:dyDescent="0.25">
      <c r="A23" s="6" t="s">
        <v>2528</v>
      </c>
      <c r="B23" s="7">
        <v>152796.4</v>
      </c>
      <c r="C23" s="31">
        <v>2666</v>
      </c>
    </row>
  </sheetData>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3E083-86F9-44E8-ACDB-834105823C0D}">
  <dimension ref="A1"/>
  <sheetViews>
    <sheetView showGridLines="0" tabSelected="1" zoomScaleNormal="100" workbookViewId="0">
      <selection activeCell="R49" sqref="R49"/>
    </sheetView>
  </sheetViews>
  <sheetFormatPr defaultRowHeight="15" x14ac:dyDescent="0.25"/>
  <cols>
    <col min="1" max="1" width="6.7109375" customWidth="1"/>
    <col min="2" max="2" width="4" customWidth="1"/>
    <col min="3" max="3" width="7.8554687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41F85-663B-4B14-8711-AB0E8AEB0563}">
  <dimension ref="A2:M63"/>
  <sheetViews>
    <sheetView workbookViewId="0"/>
  </sheetViews>
  <sheetFormatPr defaultRowHeight="15" x14ac:dyDescent="0.25"/>
  <cols>
    <col min="1" max="1" width="21.5703125" bestFit="1" customWidth="1"/>
    <col min="2" max="2" width="15.42578125" bestFit="1" customWidth="1"/>
    <col min="3" max="3" width="14.85546875" customWidth="1"/>
    <col min="6" max="6" width="14.85546875" customWidth="1"/>
    <col min="7" max="7" width="22" customWidth="1"/>
    <col min="8" max="8" width="14.85546875" customWidth="1"/>
    <col min="9" max="9" width="22" customWidth="1"/>
    <col min="10" max="11" width="15.5703125" customWidth="1"/>
    <col min="12" max="14" width="22.7109375" customWidth="1"/>
    <col min="15" max="64" width="22.7109375" bestFit="1" customWidth="1"/>
    <col min="65" max="65" width="11.28515625" bestFit="1" customWidth="1"/>
    <col min="66" max="122" width="22.7109375" bestFit="1" customWidth="1"/>
    <col min="123" max="123" width="20.5703125" bestFit="1" customWidth="1"/>
    <col min="124" max="124" width="19.85546875" bestFit="1" customWidth="1"/>
  </cols>
  <sheetData>
    <row r="2" spans="1:13" ht="15.75" thickBot="1" x14ac:dyDescent="0.3"/>
    <row r="3" spans="1:13" ht="15.75" thickBot="1" x14ac:dyDescent="0.3">
      <c r="A3" s="5" t="s">
        <v>11</v>
      </c>
      <c r="B3" t="s">
        <v>2520</v>
      </c>
      <c r="C3" t="s">
        <v>2521</v>
      </c>
      <c r="E3" s="20" t="s">
        <v>10</v>
      </c>
      <c r="F3" s="20" t="s">
        <v>11</v>
      </c>
      <c r="G3" s="21" t="s">
        <v>2521</v>
      </c>
      <c r="K3" s="11" t="s">
        <v>10</v>
      </c>
      <c r="L3" s="12" t="s">
        <v>11</v>
      </c>
      <c r="M3" s="12" t="s">
        <v>2520</v>
      </c>
    </row>
    <row r="4" spans="1:13" ht="30.75" thickBot="1" x14ac:dyDescent="0.3">
      <c r="A4" t="s">
        <v>115</v>
      </c>
      <c r="B4" s="31">
        <v>129</v>
      </c>
      <c r="C4" s="31">
        <v>7590.1999999999989</v>
      </c>
      <c r="E4" s="22" t="s">
        <v>19</v>
      </c>
      <c r="F4" s="23" t="s">
        <v>115</v>
      </c>
      <c r="G4" s="24">
        <v>31885</v>
      </c>
      <c r="K4" s="13" t="s">
        <v>19</v>
      </c>
      <c r="L4" s="14" t="s">
        <v>115</v>
      </c>
      <c r="M4" s="15">
        <v>579</v>
      </c>
    </row>
    <row r="5" spans="1:13" ht="30.75" thickBot="1" x14ac:dyDescent="0.3">
      <c r="A5" t="s">
        <v>641</v>
      </c>
      <c r="B5" s="31">
        <v>3</v>
      </c>
      <c r="C5" s="31">
        <v>323.39999999999998</v>
      </c>
      <c r="E5" s="22" t="s">
        <v>19</v>
      </c>
      <c r="F5" s="23" t="s">
        <v>20</v>
      </c>
      <c r="G5" s="24">
        <v>10.9</v>
      </c>
      <c r="K5" s="13" t="s">
        <v>19</v>
      </c>
      <c r="L5" s="14" t="s">
        <v>20</v>
      </c>
      <c r="M5" s="15">
        <v>1</v>
      </c>
    </row>
    <row r="6" spans="1:13" ht="30.75" thickBot="1" x14ac:dyDescent="0.3">
      <c r="A6" t="s">
        <v>967</v>
      </c>
      <c r="B6" s="31">
        <v>12</v>
      </c>
      <c r="C6" s="31">
        <v>352.79999999999995</v>
      </c>
      <c r="E6" s="22" t="s">
        <v>19</v>
      </c>
      <c r="F6" s="23" t="s">
        <v>641</v>
      </c>
      <c r="G6" s="24">
        <v>800.3</v>
      </c>
      <c r="K6" s="13" t="s">
        <v>19</v>
      </c>
      <c r="L6" s="14" t="s">
        <v>641</v>
      </c>
      <c r="M6" s="15">
        <v>9</v>
      </c>
    </row>
    <row r="7" spans="1:13" ht="30.75" thickBot="1" x14ac:dyDescent="0.3">
      <c r="A7" t="s">
        <v>1383</v>
      </c>
      <c r="B7" s="31">
        <v>1</v>
      </c>
      <c r="C7" s="31">
        <v>40.299999999999997</v>
      </c>
      <c r="E7" s="22" t="s">
        <v>19</v>
      </c>
      <c r="F7" s="23" t="s">
        <v>967</v>
      </c>
      <c r="G7" s="24">
        <v>1062.5999999999999</v>
      </c>
      <c r="K7" s="13" t="s">
        <v>19</v>
      </c>
      <c r="L7" s="14" t="s">
        <v>967</v>
      </c>
      <c r="M7" s="15">
        <v>35</v>
      </c>
    </row>
    <row r="8" spans="1:13" ht="30.75" thickBot="1" x14ac:dyDescent="0.3">
      <c r="A8" t="s">
        <v>24</v>
      </c>
      <c r="B8" s="31">
        <v>48</v>
      </c>
      <c r="C8" s="31">
        <v>3175.1000000000004</v>
      </c>
      <c r="E8" s="22" t="s">
        <v>19</v>
      </c>
      <c r="F8" s="23" t="s">
        <v>84</v>
      </c>
      <c r="G8" s="24">
        <v>326.2</v>
      </c>
      <c r="K8" s="13" t="s">
        <v>19</v>
      </c>
      <c r="L8" s="14" t="s">
        <v>84</v>
      </c>
      <c r="M8" s="15">
        <v>12</v>
      </c>
    </row>
    <row r="9" spans="1:13" ht="30.75" thickBot="1" x14ac:dyDescent="0.3">
      <c r="A9" t="s">
        <v>28</v>
      </c>
      <c r="B9" s="31">
        <v>46</v>
      </c>
      <c r="C9" s="31">
        <v>2722.7000000000003</v>
      </c>
      <c r="E9" s="22" t="s">
        <v>19</v>
      </c>
      <c r="F9" s="23" t="s">
        <v>1383</v>
      </c>
      <c r="G9" s="24">
        <v>167.5</v>
      </c>
      <c r="K9" s="13" t="s">
        <v>19</v>
      </c>
      <c r="L9" s="14" t="s">
        <v>1383</v>
      </c>
      <c r="M9" s="15">
        <v>4</v>
      </c>
    </row>
    <row r="10" spans="1:13" ht="30.75" thickBot="1" x14ac:dyDescent="0.3">
      <c r="A10" t="s">
        <v>208</v>
      </c>
      <c r="B10" s="31">
        <v>5</v>
      </c>
      <c r="C10" s="31">
        <v>165</v>
      </c>
      <c r="E10" s="22" t="s">
        <v>19</v>
      </c>
      <c r="F10" s="23" t="s">
        <v>24</v>
      </c>
      <c r="G10" s="24">
        <v>16168.7</v>
      </c>
      <c r="K10" s="13" t="s">
        <v>19</v>
      </c>
      <c r="L10" s="14" t="s">
        <v>24</v>
      </c>
      <c r="M10" s="15">
        <v>341</v>
      </c>
    </row>
    <row r="11" spans="1:13" ht="30.75" thickBot="1" x14ac:dyDescent="0.3">
      <c r="A11" t="s">
        <v>587</v>
      </c>
      <c r="B11" s="31">
        <v>3</v>
      </c>
      <c r="C11" s="31">
        <v>227.39999999999998</v>
      </c>
      <c r="E11" s="22" t="s">
        <v>19</v>
      </c>
      <c r="F11" s="23" t="s">
        <v>2204</v>
      </c>
      <c r="G11" s="24">
        <v>322.39999999999998</v>
      </c>
      <c r="K11" s="13" t="s">
        <v>19</v>
      </c>
      <c r="L11" s="14" t="s">
        <v>2204</v>
      </c>
      <c r="M11" s="15">
        <v>13</v>
      </c>
    </row>
    <row r="12" spans="1:13" ht="30.75" thickBot="1" x14ac:dyDescent="0.3">
      <c r="A12" t="s">
        <v>331</v>
      </c>
      <c r="B12" s="31">
        <v>9</v>
      </c>
      <c r="C12" s="31">
        <v>399</v>
      </c>
      <c r="E12" s="22" t="s">
        <v>19</v>
      </c>
      <c r="F12" s="23" t="s">
        <v>437</v>
      </c>
      <c r="G12" s="24">
        <v>2092.8000000000002</v>
      </c>
      <c r="K12" s="13" t="s">
        <v>19</v>
      </c>
      <c r="L12" s="14" t="s">
        <v>437</v>
      </c>
      <c r="M12" s="15">
        <v>31</v>
      </c>
    </row>
    <row r="13" spans="1:13" ht="30.75" thickBot="1" x14ac:dyDescent="0.3">
      <c r="A13" t="s">
        <v>147</v>
      </c>
      <c r="B13" s="31">
        <v>56</v>
      </c>
      <c r="C13" s="31">
        <v>2649.1000000000004</v>
      </c>
      <c r="E13" s="22" t="s">
        <v>19</v>
      </c>
      <c r="F13" s="23" t="s">
        <v>28</v>
      </c>
      <c r="G13" s="24">
        <v>12662.5</v>
      </c>
      <c r="K13" s="13" t="s">
        <v>19</v>
      </c>
      <c r="L13" s="14" t="s">
        <v>28</v>
      </c>
      <c r="M13" s="15">
        <v>279</v>
      </c>
    </row>
    <row r="14" spans="1:13" ht="30.75" thickBot="1" x14ac:dyDescent="0.3">
      <c r="A14" t="s">
        <v>334</v>
      </c>
      <c r="B14" s="31">
        <v>12</v>
      </c>
      <c r="C14" s="31">
        <v>355.1</v>
      </c>
      <c r="E14" s="22" t="s">
        <v>19</v>
      </c>
      <c r="F14" s="23" t="s">
        <v>208</v>
      </c>
      <c r="G14" s="24">
        <v>343.2</v>
      </c>
      <c r="K14" s="13" t="s">
        <v>19</v>
      </c>
      <c r="L14" s="14" t="s">
        <v>208</v>
      </c>
      <c r="M14" s="15">
        <v>9</v>
      </c>
    </row>
    <row r="15" spans="1:13" ht="30.75" thickBot="1" x14ac:dyDescent="0.3">
      <c r="A15" t="s">
        <v>949</v>
      </c>
      <c r="B15" s="31">
        <v>12</v>
      </c>
      <c r="C15" s="31">
        <v>944.9</v>
      </c>
      <c r="E15" s="22" t="s">
        <v>19</v>
      </c>
      <c r="F15" s="23" t="s">
        <v>587</v>
      </c>
      <c r="G15" s="24">
        <v>2188.3000000000002</v>
      </c>
      <c r="K15" s="13" t="s">
        <v>19</v>
      </c>
      <c r="L15" s="14" t="s">
        <v>587</v>
      </c>
      <c r="M15" s="15">
        <v>49</v>
      </c>
    </row>
    <row r="16" spans="1:13" ht="30.75" thickBot="1" x14ac:dyDescent="0.3">
      <c r="A16" t="s">
        <v>33</v>
      </c>
      <c r="B16" s="31">
        <v>836</v>
      </c>
      <c r="C16" s="31">
        <v>50040.600000000013</v>
      </c>
      <c r="E16" s="22" t="s">
        <v>19</v>
      </c>
      <c r="F16" s="23" t="s">
        <v>331</v>
      </c>
      <c r="G16" s="24">
        <v>2661.6</v>
      </c>
      <c r="K16" s="13" t="s">
        <v>19</v>
      </c>
      <c r="L16" s="14" t="s">
        <v>331</v>
      </c>
      <c r="M16" s="15">
        <v>59</v>
      </c>
    </row>
    <row r="17" spans="1:13" ht="30.75" thickBot="1" x14ac:dyDescent="0.3">
      <c r="A17" t="s">
        <v>364</v>
      </c>
      <c r="B17" s="31">
        <v>13</v>
      </c>
      <c r="C17" s="31">
        <v>765.4</v>
      </c>
      <c r="E17" s="22" t="s">
        <v>19</v>
      </c>
      <c r="F17" s="23" t="s">
        <v>86</v>
      </c>
      <c r="G17" s="24">
        <v>887.5</v>
      </c>
      <c r="K17" s="13" t="s">
        <v>19</v>
      </c>
      <c r="L17" s="14" t="s">
        <v>86</v>
      </c>
      <c r="M17" s="15">
        <v>8</v>
      </c>
    </row>
    <row r="18" spans="1:13" ht="30.75" thickBot="1" x14ac:dyDescent="0.3">
      <c r="A18" t="s">
        <v>545</v>
      </c>
      <c r="B18" s="31">
        <v>8</v>
      </c>
      <c r="C18" s="31">
        <v>428.8</v>
      </c>
      <c r="E18" s="22" t="s">
        <v>19</v>
      </c>
      <c r="F18" s="23" t="s">
        <v>147</v>
      </c>
      <c r="G18" s="24">
        <v>11354.2</v>
      </c>
      <c r="K18" s="13" t="s">
        <v>19</v>
      </c>
      <c r="L18" s="14" t="s">
        <v>147</v>
      </c>
      <c r="M18" s="15">
        <v>222</v>
      </c>
    </row>
    <row r="19" spans="1:13" ht="30.75" thickBot="1" x14ac:dyDescent="0.3">
      <c r="A19" t="s">
        <v>258</v>
      </c>
      <c r="B19" s="31">
        <v>6</v>
      </c>
      <c r="C19" s="31">
        <v>101.4</v>
      </c>
      <c r="E19" s="22" t="s">
        <v>19</v>
      </c>
      <c r="F19" s="23" t="s">
        <v>334</v>
      </c>
      <c r="G19" s="24">
        <v>1558.4</v>
      </c>
      <c r="K19" s="13" t="s">
        <v>19</v>
      </c>
      <c r="L19" s="14" t="s">
        <v>334</v>
      </c>
      <c r="M19" s="15">
        <v>36</v>
      </c>
    </row>
    <row r="20" spans="1:13" ht="30.75" thickBot="1" x14ac:dyDescent="0.3">
      <c r="A20" t="s">
        <v>186</v>
      </c>
      <c r="B20" s="31">
        <v>19</v>
      </c>
      <c r="C20" s="31">
        <v>485.5</v>
      </c>
      <c r="E20" s="22" t="s">
        <v>19</v>
      </c>
      <c r="F20" s="23" t="s">
        <v>949</v>
      </c>
      <c r="G20" s="24">
        <v>2223.9</v>
      </c>
      <c r="K20" s="13" t="s">
        <v>19</v>
      </c>
      <c r="L20" s="14" t="s">
        <v>949</v>
      </c>
      <c r="M20" s="15">
        <v>30</v>
      </c>
    </row>
    <row r="21" spans="1:13" ht="30.75" thickBot="1" x14ac:dyDescent="0.3">
      <c r="A21" t="s">
        <v>802</v>
      </c>
      <c r="B21" s="31">
        <v>3</v>
      </c>
      <c r="C21" s="31">
        <v>71.3</v>
      </c>
      <c r="E21" s="22" t="s">
        <v>19</v>
      </c>
      <c r="F21" s="23" t="s">
        <v>1426</v>
      </c>
      <c r="G21" s="24">
        <v>26.2</v>
      </c>
      <c r="K21" s="13" t="s">
        <v>19</v>
      </c>
      <c r="L21" s="14" t="s">
        <v>1426</v>
      </c>
      <c r="M21" s="15">
        <v>1</v>
      </c>
    </row>
    <row r="22" spans="1:13" ht="30.75" thickBot="1" x14ac:dyDescent="0.3">
      <c r="A22" t="s">
        <v>98</v>
      </c>
      <c r="B22" s="31">
        <v>30</v>
      </c>
      <c r="C22" s="31">
        <v>3807.3999999999996</v>
      </c>
      <c r="E22" s="22" t="s">
        <v>19</v>
      </c>
      <c r="F22" s="23" t="s">
        <v>33</v>
      </c>
      <c r="G22" s="24">
        <v>215551.2</v>
      </c>
      <c r="K22" s="13" t="s">
        <v>19</v>
      </c>
      <c r="L22" s="14" t="s">
        <v>33</v>
      </c>
      <c r="M22" s="15">
        <v>3991</v>
      </c>
    </row>
    <row r="23" spans="1:13" ht="30.75" thickBot="1" x14ac:dyDescent="0.3">
      <c r="A23" t="s">
        <v>49</v>
      </c>
      <c r="B23" s="31">
        <v>12</v>
      </c>
      <c r="C23" s="31">
        <v>1167.3</v>
      </c>
      <c r="E23" s="22" t="s">
        <v>19</v>
      </c>
      <c r="F23" s="23" t="s">
        <v>364</v>
      </c>
      <c r="G23" s="24">
        <v>2687.4</v>
      </c>
      <c r="K23" s="13" t="s">
        <v>19</v>
      </c>
      <c r="L23" s="14" t="s">
        <v>364</v>
      </c>
      <c r="M23" s="15">
        <v>45</v>
      </c>
    </row>
    <row r="24" spans="1:13" ht="30.75" thickBot="1" x14ac:dyDescent="0.3">
      <c r="A24" t="s">
        <v>188</v>
      </c>
      <c r="B24" s="31">
        <v>16</v>
      </c>
      <c r="C24" s="31">
        <v>828.1</v>
      </c>
      <c r="E24" s="22" t="s">
        <v>19</v>
      </c>
      <c r="F24" s="23" t="s">
        <v>545</v>
      </c>
      <c r="G24" s="24">
        <v>1463.3</v>
      </c>
      <c r="K24" s="13" t="s">
        <v>19</v>
      </c>
      <c r="L24" s="14" t="s">
        <v>545</v>
      </c>
      <c r="M24" s="15">
        <v>39</v>
      </c>
    </row>
    <row r="25" spans="1:13" ht="30.75" thickBot="1" x14ac:dyDescent="0.3">
      <c r="A25" t="s">
        <v>52</v>
      </c>
      <c r="B25" s="31">
        <v>31</v>
      </c>
      <c r="C25" s="31">
        <v>1874.7999999999997</v>
      </c>
      <c r="E25" s="22" t="s">
        <v>19</v>
      </c>
      <c r="F25" s="23" t="s">
        <v>416</v>
      </c>
      <c r="G25" s="24">
        <v>445.8</v>
      </c>
      <c r="K25" s="13" t="s">
        <v>19</v>
      </c>
      <c r="L25" s="14" t="s">
        <v>416</v>
      </c>
      <c r="M25" s="15">
        <v>6</v>
      </c>
    </row>
    <row r="26" spans="1:13" ht="30.75" thickBot="1" x14ac:dyDescent="0.3">
      <c r="A26" t="s">
        <v>158</v>
      </c>
      <c r="B26" s="31">
        <v>18</v>
      </c>
      <c r="C26" s="31">
        <v>884.2</v>
      </c>
      <c r="E26" s="22" t="s">
        <v>19</v>
      </c>
      <c r="F26" s="23" t="s">
        <v>258</v>
      </c>
      <c r="G26" s="24">
        <v>273.60000000000002</v>
      </c>
      <c r="K26" s="13" t="s">
        <v>19</v>
      </c>
      <c r="L26" s="14" t="s">
        <v>258</v>
      </c>
      <c r="M26" s="15">
        <v>9</v>
      </c>
    </row>
    <row r="27" spans="1:13" ht="30.75" thickBot="1" x14ac:dyDescent="0.3">
      <c r="A27" t="s">
        <v>55</v>
      </c>
      <c r="B27" s="31">
        <v>258</v>
      </c>
      <c r="C27" s="31">
        <v>12845.000000000004</v>
      </c>
      <c r="E27" s="22" t="s">
        <v>19</v>
      </c>
      <c r="F27" s="23" t="s">
        <v>186</v>
      </c>
      <c r="G27" s="24">
        <v>2690.4</v>
      </c>
      <c r="K27" s="13" t="s">
        <v>19</v>
      </c>
      <c r="L27" s="14" t="s">
        <v>186</v>
      </c>
      <c r="M27" s="15">
        <v>60</v>
      </c>
    </row>
    <row r="28" spans="1:13" ht="30.75" thickBot="1" x14ac:dyDescent="0.3">
      <c r="A28" t="s">
        <v>59</v>
      </c>
      <c r="B28" s="31">
        <v>71</v>
      </c>
      <c r="C28" s="31">
        <v>3815.5999999999995</v>
      </c>
      <c r="E28" s="22" t="s">
        <v>19</v>
      </c>
      <c r="F28" s="23" t="s">
        <v>392</v>
      </c>
      <c r="G28" s="24">
        <v>28.4</v>
      </c>
      <c r="K28" s="13" t="s">
        <v>19</v>
      </c>
      <c r="L28" s="14" t="s">
        <v>392</v>
      </c>
      <c r="M28" s="15">
        <v>2</v>
      </c>
    </row>
    <row r="29" spans="1:13" ht="30.75" thickBot="1" x14ac:dyDescent="0.3">
      <c r="A29" t="s">
        <v>62</v>
      </c>
      <c r="B29" s="31">
        <v>326</v>
      </c>
      <c r="C29" s="31">
        <v>18527.999999999996</v>
      </c>
      <c r="E29" s="22" t="s">
        <v>19</v>
      </c>
      <c r="F29" s="23" t="s">
        <v>670</v>
      </c>
      <c r="G29" s="24">
        <v>204.8</v>
      </c>
      <c r="K29" s="13" t="s">
        <v>19</v>
      </c>
      <c r="L29" s="14" t="s">
        <v>670</v>
      </c>
      <c r="M29" s="15">
        <v>4</v>
      </c>
    </row>
    <row r="30" spans="1:13" ht="30.75" thickBot="1" x14ac:dyDescent="0.3">
      <c r="A30" t="s">
        <v>103</v>
      </c>
      <c r="B30" s="31">
        <v>29</v>
      </c>
      <c r="C30" s="31">
        <v>1825.1000000000001</v>
      </c>
      <c r="E30" s="22" t="s">
        <v>19</v>
      </c>
      <c r="F30" s="23" t="s">
        <v>802</v>
      </c>
      <c r="G30" s="24">
        <v>1607.9</v>
      </c>
      <c r="K30" s="13" t="s">
        <v>19</v>
      </c>
      <c r="L30" s="14" t="s">
        <v>802</v>
      </c>
      <c r="M30" s="15">
        <v>31</v>
      </c>
    </row>
    <row r="31" spans="1:13" ht="30.75" thickBot="1" x14ac:dyDescent="0.3">
      <c r="A31" t="s">
        <v>201</v>
      </c>
      <c r="B31" s="31">
        <v>27</v>
      </c>
      <c r="C31" s="31">
        <v>1069.8</v>
      </c>
      <c r="E31" s="22" t="s">
        <v>19</v>
      </c>
      <c r="F31" s="23" t="s">
        <v>98</v>
      </c>
      <c r="G31" s="24">
        <v>6444.9</v>
      </c>
      <c r="K31" s="13" t="s">
        <v>19</v>
      </c>
      <c r="L31" s="14" t="s">
        <v>98</v>
      </c>
      <c r="M31" s="15">
        <v>88</v>
      </c>
    </row>
    <row r="32" spans="1:13" ht="30.75" thickBot="1" x14ac:dyDescent="0.3">
      <c r="A32" t="s">
        <v>72</v>
      </c>
      <c r="B32" s="31">
        <v>95</v>
      </c>
      <c r="C32" s="31">
        <v>4074.2</v>
      </c>
      <c r="E32" s="22" t="s">
        <v>19</v>
      </c>
      <c r="F32" s="23" t="s">
        <v>49</v>
      </c>
      <c r="G32" s="24">
        <v>1809.3</v>
      </c>
      <c r="K32" s="13" t="s">
        <v>19</v>
      </c>
      <c r="L32" s="14" t="s">
        <v>49</v>
      </c>
      <c r="M32" s="15">
        <v>25</v>
      </c>
    </row>
    <row r="33" spans="1:13" ht="30.75" thickBot="1" x14ac:dyDescent="0.3">
      <c r="A33" t="s">
        <v>74</v>
      </c>
      <c r="B33" s="31">
        <v>28</v>
      </c>
      <c r="C33" s="31">
        <v>1354.2</v>
      </c>
      <c r="E33" s="22" t="s">
        <v>19</v>
      </c>
      <c r="F33" s="23" t="s">
        <v>188</v>
      </c>
      <c r="G33" s="24">
        <v>9680.4</v>
      </c>
      <c r="K33" s="13" t="s">
        <v>19</v>
      </c>
      <c r="L33" s="14" t="s">
        <v>188</v>
      </c>
      <c r="M33" s="15">
        <v>178</v>
      </c>
    </row>
    <row r="34" spans="1:13" ht="30.75" thickBot="1" x14ac:dyDescent="0.3">
      <c r="A34" t="s">
        <v>77</v>
      </c>
      <c r="B34" s="31">
        <v>177</v>
      </c>
      <c r="C34" s="31">
        <v>9797.7000000000007</v>
      </c>
      <c r="E34" s="22" t="s">
        <v>19</v>
      </c>
      <c r="F34" s="23" t="s">
        <v>52</v>
      </c>
      <c r="G34" s="24">
        <v>9414.7999999999993</v>
      </c>
      <c r="K34" s="13" t="s">
        <v>19</v>
      </c>
      <c r="L34" s="14" t="s">
        <v>52</v>
      </c>
      <c r="M34" s="15">
        <v>141</v>
      </c>
    </row>
    <row r="35" spans="1:13" ht="30.75" thickBot="1" x14ac:dyDescent="0.3">
      <c r="A35" t="s">
        <v>309</v>
      </c>
      <c r="B35" s="31">
        <v>16</v>
      </c>
      <c r="C35" s="31">
        <v>344</v>
      </c>
      <c r="E35" s="22" t="s">
        <v>19</v>
      </c>
      <c r="F35" s="23" t="s">
        <v>338</v>
      </c>
      <c r="G35" s="24">
        <v>206.1</v>
      </c>
      <c r="K35" s="13" t="s">
        <v>19</v>
      </c>
      <c r="L35" s="14" t="s">
        <v>338</v>
      </c>
      <c r="M35" s="15">
        <v>6</v>
      </c>
    </row>
    <row r="36" spans="1:13" ht="30.75" thickBot="1" x14ac:dyDescent="0.3">
      <c r="A36" t="s">
        <v>1116</v>
      </c>
      <c r="B36" s="31">
        <v>38</v>
      </c>
      <c r="C36" s="31">
        <v>2457.1</v>
      </c>
      <c r="E36" s="22" t="s">
        <v>19</v>
      </c>
      <c r="F36" s="23" t="s">
        <v>158</v>
      </c>
      <c r="G36" s="24">
        <v>7691.3</v>
      </c>
      <c r="K36" s="13" t="s">
        <v>19</v>
      </c>
      <c r="L36" s="14" t="s">
        <v>158</v>
      </c>
      <c r="M36" s="15">
        <v>178</v>
      </c>
    </row>
    <row r="37" spans="1:13" ht="30.75" thickBot="1" x14ac:dyDescent="0.3">
      <c r="A37" t="s">
        <v>268</v>
      </c>
      <c r="B37" s="31">
        <v>2</v>
      </c>
      <c r="C37" s="31">
        <v>103.6</v>
      </c>
      <c r="E37" s="22" t="s">
        <v>19</v>
      </c>
      <c r="F37" s="23" t="s">
        <v>55</v>
      </c>
      <c r="G37" s="24">
        <v>37784.9</v>
      </c>
      <c r="K37" s="13" t="s">
        <v>19</v>
      </c>
      <c r="L37" s="14" t="s">
        <v>55</v>
      </c>
      <c r="M37" s="15">
        <v>699</v>
      </c>
    </row>
    <row r="38" spans="1:13" ht="30.75" thickBot="1" x14ac:dyDescent="0.3">
      <c r="A38" t="s">
        <v>377</v>
      </c>
      <c r="B38" s="31">
        <v>30</v>
      </c>
      <c r="C38" s="31">
        <v>2235</v>
      </c>
      <c r="E38" s="22" t="s">
        <v>19</v>
      </c>
      <c r="F38" s="23" t="s">
        <v>342</v>
      </c>
      <c r="G38" s="24">
        <v>1129.7</v>
      </c>
      <c r="K38" s="13" t="s">
        <v>19</v>
      </c>
      <c r="L38" s="14" t="s">
        <v>342</v>
      </c>
      <c r="M38" s="15">
        <v>23</v>
      </c>
    </row>
    <row r="39" spans="1:13" ht="30.75" thickBot="1" x14ac:dyDescent="0.3">
      <c r="A39" t="s">
        <v>108</v>
      </c>
      <c r="B39" s="31">
        <v>99</v>
      </c>
      <c r="C39" s="31">
        <v>7148.4</v>
      </c>
      <c r="E39" s="22" t="s">
        <v>19</v>
      </c>
      <c r="F39" s="23" t="s">
        <v>59</v>
      </c>
      <c r="G39" s="24">
        <v>20988.9</v>
      </c>
      <c r="K39" s="13" t="s">
        <v>19</v>
      </c>
      <c r="L39" s="14" t="s">
        <v>59</v>
      </c>
      <c r="M39" s="15">
        <v>356</v>
      </c>
    </row>
    <row r="40" spans="1:13" ht="30.75" thickBot="1" x14ac:dyDescent="0.3">
      <c r="A40" t="s">
        <v>110</v>
      </c>
      <c r="B40" s="31">
        <v>47</v>
      </c>
      <c r="C40" s="31">
        <v>2521.4</v>
      </c>
      <c r="E40" s="22" t="s">
        <v>19</v>
      </c>
      <c r="F40" s="23" t="s">
        <v>62</v>
      </c>
      <c r="G40" s="24">
        <v>98367.1</v>
      </c>
      <c r="K40" s="13" t="s">
        <v>19</v>
      </c>
      <c r="L40" s="14" t="s">
        <v>62</v>
      </c>
      <c r="M40" s="15">
        <v>1768</v>
      </c>
    </row>
    <row r="41" spans="1:13" ht="30.75" thickBot="1" x14ac:dyDescent="0.3">
      <c r="A41" t="s">
        <v>79</v>
      </c>
      <c r="B41" s="31">
        <v>6</v>
      </c>
      <c r="C41" s="31">
        <v>323</v>
      </c>
      <c r="E41" s="22" t="s">
        <v>19</v>
      </c>
      <c r="F41" s="23" t="s">
        <v>103</v>
      </c>
      <c r="G41" s="24">
        <v>21911.9</v>
      </c>
      <c r="K41" s="13" t="s">
        <v>19</v>
      </c>
      <c r="L41" s="14" t="s">
        <v>103</v>
      </c>
      <c r="M41" s="15">
        <v>307</v>
      </c>
    </row>
    <row r="42" spans="1:13" ht="30.75" thickBot="1" x14ac:dyDescent="0.3">
      <c r="A42" t="s">
        <v>608</v>
      </c>
      <c r="B42" s="31">
        <v>5</v>
      </c>
      <c r="C42" s="31">
        <v>167.70000000000002</v>
      </c>
      <c r="E42" s="22" t="s">
        <v>19</v>
      </c>
      <c r="F42" s="23" t="s">
        <v>201</v>
      </c>
      <c r="G42" s="24">
        <v>5441.2</v>
      </c>
      <c r="K42" s="13" t="s">
        <v>19</v>
      </c>
      <c r="L42" s="14" t="s">
        <v>201</v>
      </c>
      <c r="M42" s="15">
        <v>117</v>
      </c>
    </row>
    <row r="43" spans="1:13" ht="30.75" thickBot="1" x14ac:dyDescent="0.3">
      <c r="A43" t="s">
        <v>113</v>
      </c>
      <c r="B43" s="31">
        <v>22</v>
      </c>
      <c r="C43" s="31">
        <v>904.30000000000007</v>
      </c>
      <c r="E43" s="22" t="s">
        <v>19</v>
      </c>
      <c r="F43" s="23" t="s">
        <v>429</v>
      </c>
      <c r="G43" s="24">
        <v>392.8</v>
      </c>
      <c r="K43" s="13" t="s">
        <v>19</v>
      </c>
      <c r="L43" s="14" t="s">
        <v>429</v>
      </c>
      <c r="M43" s="15">
        <v>13</v>
      </c>
    </row>
    <row r="44" spans="1:13" ht="30.75" thickBot="1" x14ac:dyDescent="0.3">
      <c r="A44" t="s">
        <v>997</v>
      </c>
      <c r="B44" s="31">
        <v>9</v>
      </c>
      <c r="C44" s="31">
        <v>630</v>
      </c>
      <c r="E44" s="22" t="s">
        <v>19</v>
      </c>
      <c r="F44" s="23" t="s">
        <v>72</v>
      </c>
      <c r="G44" s="24">
        <v>16172</v>
      </c>
      <c r="K44" s="13" t="s">
        <v>19</v>
      </c>
      <c r="L44" s="14" t="s">
        <v>72</v>
      </c>
      <c r="M44" s="15">
        <v>364</v>
      </c>
    </row>
    <row r="45" spans="1:13" ht="30.75" thickBot="1" x14ac:dyDescent="0.3">
      <c r="A45" t="s">
        <v>82</v>
      </c>
      <c r="B45" s="31">
        <v>51</v>
      </c>
      <c r="C45" s="31">
        <v>3212.7</v>
      </c>
      <c r="E45" s="22" t="s">
        <v>19</v>
      </c>
      <c r="F45" s="23" t="s">
        <v>74</v>
      </c>
      <c r="G45" s="24">
        <v>4335</v>
      </c>
      <c r="K45" s="13" t="s">
        <v>19</v>
      </c>
      <c r="L45" s="14" t="s">
        <v>74</v>
      </c>
      <c r="M45" s="15">
        <v>95</v>
      </c>
    </row>
    <row r="46" spans="1:13" ht="30.75" thickBot="1" x14ac:dyDescent="0.3">
      <c r="A46" t="s">
        <v>243</v>
      </c>
      <c r="B46" s="31">
        <v>2</v>
      </c>
      <c r="C46" s="31">
        <v>39.799999999999997</v>
      </c>
      <c r="E46" s="22" t="s">
        <v>19</v>
      </c>
      <c r="F46" s="23" t="s">
        <v>77</v>
      </c>
      <c r="G46" s="24">
        <v>37449</v>
      </c>
      <c r="K46" s="13" t="s">
        <v>19</v>
      </c>
      <c r="L46" s="14" t="s">
        <v>77</v>
      </c>
      <c r="M46" s="15">
        <v>737</v>
      </c>
    </row>
    <row r="47" spans="1:13" ht="30.75" thickBot="1" x14ac:dyDescent="0.3">
      <c r="A47" t="s">
        <v>2528</v>
      </c>
      <c r="B47" s="31">
        <v>2666</v>
      </c>
      <c r="C47" s="31">
        <v>152796.40000000002</v>
      </c>
      <c r="E47" s="22" t="s">
        <v>19</v>
      </c>
      <c r="F47" s="23" t="s">
        <v>309</v>
      </c>
      <c r="G47" s="24">
        <v>2447.5</v>
      </c>
      <c r="K47" s="13" t="s">
        <v>19</v>
      </c>
      <c r="L47" s="14" t="s">
        <v>309</v>
      </c>
      <c r="M47" s="15">
        <v>39</v>
      </c>
    </row>
    <row r="48" spans="1:13" ht="30.75" thickBot="1" x14ac:dyDescent="0.3">
      <c r="E48" s="22" t="s">
        <v>19</v>
      </c>
      <c r="F48" s="23" t="s">
        <v>1116</v>
      </c>
      <c r="G48" s="24">
        <v>3391.1</v>
      </c>
      <c r="K48" s="13" t="s">
        <v>19</v>
      </c>
      <c r="L48" s="14" t="s">
        <v>1116</v>
      </c>
      <c r="M48" s="15">
        <v>56</v>
      </c>
    </row>
    <row r="49" spans="5:13" ht="30.75" thickBot="1" x14ac:dyDescent="0.3">
      <c r="E49" s="22" t="s">
        <v>19</v>
      </c>
      <c r="F49" s="23" t="s">
        <v>700</v>
      </c>
      <c r="G49" s="24">
        <v>30.8</v>
      </c>
      <c r="K49" s="13" t="s">
        <v>19</v>
      </c>
      <c r="L49" s="14" t="s">
        <v>700</v>
      </c>
      <c r="M49" s="15">
        <v>2</v>
      </c>
    </row>
    <row r="50" spans="5:13" ht="30.75" thickBot="1" x14ac:dyDescent="0.3">
      <c r="E50" s="22" t="s">
        <v>19</v>
      </c>
      <c r="F50" s="23" t="s">
        <v>268</v>
      </c>
      <c r="G50" s="24">
        <v>332.3</v>
      </c>
      <c r="K50" s="13" t="s">
        <v>19</v>
      </c>
      <c r="L50" s="14" t="s">
        <v>268</v>
      </c>
      <c r="M50" s="15">
        <v>8</v>
      </c>
    </row>
    <row r="51" spans="5:13" ht="30.75" thickBot="1" x14ac:dyDescent="0.3">
      <c r="E51" s="22" t="s">
        <v>19</v>
      </c>
      <c r="F51" s="23" t="s">
        <v>377</v>
      </c>
      <c r="G51" s="24">
        <v>3176</v>
      </c>
      <c r="K51" s="13" t="s">
        <v>19</v>
      </c>
      <c r="L51" s="14" t="s">
        <v>377</v>
      </c>
      <c r="M51" s="15">
        <v>52</v>
      </c>
    </row>
    <row r="52" spans="5:13" ht="30.75" thickBot="1" x14ac:dyDescent="0.3">
      <c r="E52" s="22" t="s">
        <v>19</v>
      </c>
      <c r="F52" s="23" t="s">
        <v>108</v>
      </c>
      <c r="G52" s="24">
        <v>20939.599999999999</v>
      </c>
      <c r="K52" s="13" t="s">
        <v>19</v>
      </c>
      <c r="L52" s="14" t="s">
        <v>108</v>
      </c>
      <c r="M52" s="15">
        <v>295</v>
      </c>
    </row>
    <row r="53" spans="5:13" ht="30.75" thickBot="1" x14ac:dyDescent="0.3">
      <c r="E53" s="22" t="s">
        <v>19</v>
      </c>
      <c r="F53" s="23" t="s">
        <v>110</v>
      </c>
      <c r="G53" s="24">
        <v>10185.9</v>
      </c>
      <c r="K53" s="13" t="s">
        <v>19</v>
      </c>
      <c r="L53" s="14" t="s">
        <v>110</v>
      </c>
      <c r="M53" s="15">
        <v>195</v>
      </c>
    </row>
    <row r="54" spans="5:13" ht="30.75" thickBot="1" x14ac:dyDescent="0.3">
      <c r="E54" s="22" t="s">
        <v>19</v>
      </c>
      <c r="F54" s="23" t="s">
        <v>292</v>
      </c>
      <c r="G54" s="24">
        <v>958.7</v>
      </c>
      <c r="K54" s="13" t="s">
        <v>19</v>
      </c>
      <c r="L54" s="14" t="s">
        <v>292</v>
      </c>
      <c r="M54" s="15">
        <v>20</v>
      </c>
    </row>
    <row r="55" spans="5:13" ht="30.75" thickBot="1" x14ac:dyDescent="0.3">
      <c r="E55" s="22" t="s">
        <v>19</v>
      </c>
      <c r="F55" s="23" t="s">
        <v>79</v>
      </c>
      <c r="G55" s="24">
        <v>323</v>
      </c>
      <c r="K55" s="13" t="s">
        <v>19</v>
      </c>
      <c r="L55" s="14" t="s">
        <v>79</v>
      </c>
      <c r="M55" s="15">
        <v>6</v>
      </c>
    </row>
    <row r="56" spans="5:13" ht="30.75" thickBot="1" x14ac:dyDescent="0.3">
      <c r="E56" s="22" t="s">
        <v>19</v>
      </c>
      <c r="F56" s="23" t="s">
        <v>608</v>
      </c>
      <c r="G56" s="24">
        <v>167.7</v>
      </c>
      <c r="K56" s="13" t="s">
        <v>19</v>
      </c>
      <c r="L56" s="14" t="s">
        <v>608</v>
      </c>
      <c r="M56" s="15">
        <v>5</v>
      </c>
    </row>
    <row r="57" spans="5:13" ht="30.75" thickBot="1" x14ac:dyDescent="0.3">
      <c r="E57" s="22" t="s">
        <v>19</v>
      </c>
      <c r="F57" s="23" t="s">
        <v>113</v>
      </c>
      <c r="G57" s="24">
        <v>3978.5</v>
      </c>
      <c r="K57" s="13" t="s">
        <v>19</v>
      </c>
      <c r="L57" s="14" t="s">
        <v>113</v>
      </c>
      <c r="M57" s="15">
        <v>94</v>
      </c>
    </row>
    <row r="58" spans="5:13" ht="30.75" thickBot="1" x14ac:dyDescent="0.3">
      <c r="E58" s="22" t="s">
        <v>19</v>
      </c>
      <c r="F58" s="23" t="s">
        <v>997</v>
      </c>
      <c r="G58" s="24">
        <v>1405</v>
      </c>
      <c r="K58" s="13" t="s">
        <v>19</v>
      </c>
      <c r="L58" s="14" t="s">
        <v>997</v>
      </c>
      <c r="M58" s="15">
        <v>28</v>
      </c>
    </row>
    <row r="59" spans="5:13" ht="30.75" thickBot="1" x14ac:dyDescent="0.3">
      <c r="E59" s="22" t="s">
        <v>19</v>
      </c>
      <c r="F59" s="23" t="s">
        <v>82</v>
      </c>
      <c r="G59" s="24">
        <v>9869.1</v>
      </c>
      <c r="K59" s="13" t="s">
        <v>19</v>
      </c>
      <c r="L59" s="14" t="s">
        <v>82</v>
      </c>
      <c r="M59" s="15">
        <v>179</v>
      </c>
    </row>
    <row r="60" spans="5:13" ht="30.75" thickBot="1" x14ac:dyDescent="0.3">
      <c r="E60" s="22" t="s">
        <v>19</v>
      </c>
      <c r="F60" s="23" t="s">
        <v>243</v>
      </c>
      <c r="G60" s="24">
        <v>615.29999999999995</v>
      </c>
      <c r="K60" s="13" t="s">
        <v>19</v>
      </c>
      <c r="L60" s="14" t="s">
        <v>243</v>
      </c>
      <c r="M60" s="15">
        <v>15</v>
      </c>
    </row>
    <row r="61" spans="5:13" ht="30.75" thickBot="1" x14ac:dyDescent="0.3">
      <c r="E61" s="25" t="s">
        <v>19</v>
      </c>
      <c r="F61" s="26" t="s">
        <v>1911</v>
      </c>
      <c r="G61" s="27">
        <v>285</v>
      </c>
      <c r="K61" s="13" t="s">
        <v>19</v>
      </c>
      <c r="L61" s="14" t="s">
        <v>1911</v>
      </c>
      <c r="M61" s="15">
        <v>3</v>
      </c>
    </row>
    <row r="62" spans="5:13" ht="15.75" thickBot="1" x14ac:dyDescent="0.3">
      <c r="E62" s="29" t="s">
        <v>2528</v>
      </c>
      <c r="F62" s="30"/>
      <c r="G62" s="28">
        <v>649019.80000000005</v>
      </c>
      <c r="K62" s="16" t="s">
        <v>2528</v>
      </c>
      <c r="L62" s="17"/>
      <c r="M62" s="18">
        <v>11997</v>
      </c>
    </row>
    <row r="63" spans="5:13" ht="15.75" thickBot="1" x14ac:dyDescent="0.3">
      <c r="K63" s="19"/>
      <c r="L63" s="19"/>
      <c r="M63" s="19"/>
    </row>
  </sheetData>
  <mergeCells count="1">
    <mergeCell ref="E62:F62"/>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C64EC-2B80-445E-98D9-3F0C37691435}">
  <dimension ref="A3:G25"/>
  <sheetViews>
    <sheetView workbookViewId="0"/>
  </sheetViews>
  <sheetFormatPr defaultRowHeight="15" x14ac:dyDescent="0.25"/>
  <cols>
    <col min="1" max="1" width="13.5703125" bestFit="1" customWidth="1"/>
    <col min="2" max="2" width="16.28515625" bestFit="1" customWidth="1"/>
    <col min="3" max="4" width="3" bestFit="1" customWidth="1"/>
    <col min="5" max="5" width="4" bestFit="1" customWidth="1"/>
    <col min="6" max="6" width="3" bestFit="1" customWidth="1"/>
    <col min="7" max="7" width="11.28515625" customWidth="1"/>
    <col min="8" max="10" width="8.28515625" customWidth="1"/>
    <col min="11" max="32" width="9.28515625" customWidth="1"/>
    <col min="33" max="41" width="8.7109375" customWidth="1"/>
    <col min="42" max="60" width="9.7109375" customWidth="1"/>
    <col min="61" max="69" width="8.7109375" customWidth="1"/>
    <col min="70" max="89" width="9.7109375" customWidth="1"/>
    <col min="90" max="90" width="11.28515625" customWidth="1"/>
  </cols>
  <sheetData>
    <row r="3" spans="1:2" x14ac:dyDescent="0.25">
      <c r="A3" s="5" t="s">
        <v>2527</v>
      </c>
      <c r="B3" t="s">
        <v>2519</v>
      </c>
    </row>
    <row r="4" spans="1:2" x14ac:dyDescent="0.25">
      <c r="A4" s="6">
        <v>0</v>
      </c>
      <c r="B4" s="31">
        <v>49</v>
      </c>
    </row>
    <row r="5" spans="1:2" x14ac:dyDescent="0.25">
      <c r="A5" s="6">
        <v>1</v>
      </c>
      <c r="B5" s="31">
        <v>208</v>
      </c>
    </row>
    <row r="6" spans="1:2" x14ac:dyDescent="0.25">
      <c r="A6" s="6">
        <v>2</v>
      </c>
      <c r="B6" s="31">
        <v>140</v>
      </c>
    </row>
    <row r="7" spans="1:2" x14ac:dyDescent="0.25">
      <c r="A7" s="6">
        <v>3</v>
      </c>
      <c r="B7" s="31">
        <v>79</v>
      </c>
    </row>
    <row r="8" spans="1:2" x14ac:dyDescent="0.25">
      <c r="A8" s="6">
        <v>4</v>
      </c>
      <c r="B8" s="31">
        <v>45</v>
      </c>
    </row>
    <row r="9" spans="1:2" x14ac:dyDescent="0.25">
      <c r="A9" s="6">
        <v>5</v>
      </c>
      <c r="B9" s="31">
        <v>15</v>
      </c>
    </row>
    <row r="10" spans="1:2" x14ac:dyDescent="0.25">
      <c r="A10" s="6">
        <v>6</v>
      </c>
      <c r="B10" s="31">
        <v>10</v>
      </c>
    </row>
    <row r="11" spans="1:2" x14ac:dyDescent="0.25">
      <c r="A11" s="6">
        <v>7</v>
      </c>
      <c r="B11" s="31">
        <v>9</v>
      </c>
    </row>
    <row r="12" spans="1:2" x14ac:dyDescent="0.25">
      <c r="A12" s="6">
        <v>8</v>
      </c>
      <c r="B12" s="31">
        <v>2</v>
      </c>
    </row>
    <row r="13" spans="1:2" x14ac:dyDescent="0.25">
      <c r="A13" s="6">
        <v>9</v>
      </c>
      <c r="B13" s="31">
        <v>2</v>
      </c>
    </row>
    <row r="14" spans="1:2" x14ac:dyDescent="0.25">
      <c r="A14" s="6">
        <v>10</v>
      </c>
      <c r="B14" s="31">
        <v>2</v>
      </c>
    </row>
    <row r="15" spans="1:2" x14ac:dyDescent="0.25">
      <c r="A15" s="6">
        <v>11</v>
      </c>
      <c r="B15" s="31">
        <v>2</v>
      </c>
    </row>
    <row r="16" spans="1:2" x14ac:dyDescent="0.25">
      <c r="A16" s="6">
        <v>13</v>
      </c>
      <c r="B16" s="31">
        <v>2</v>
      </c>
    </row>
    <row r="17" spans="1:7" x14ac:dyDescent="0.25">
      <c r="A17" s="6">
        <v>14</v>
      </c>
      <c r="B17" s="31">
        <v>4</v>
      </c>
    </row>
    <row r="18" spans="1:7" x14ac:dyDescent="0.25">
      <c r="A18" s="6" t="s">
        <v>2528</v>
      </c>
      <c r="B18" s="31">
        <v>569</v>
      </c>
    </row>
    <row r="20" spans="1:7" x14ac:dyDescent="0.25">
      <c r="A20" s="5" t="s">
        <v>2519</v>
      </c>
      <c r="B20" s="5" t="s">
        <v>2530</v>
      </c>
    </row>
    <row r="21" spans="1:7" x14ac:dyDescent="0.25">
      <c r="A21" s="5" t="s">
        <v>2527</v>
      </c>
      <c r="B21">
        <v>1</v>
      </c>
      <c r="C21">
        <v>2</v>
      </c>
      <c r="D21">
        <v>3</v>
      </c>
      <c r="E21">
        <v>4</v>
      </c>
      <c r="F21">
        <v>5</v>
      </c>
      <c r="G21" t="s">
        <v>2528</v>
      </c>
    </row>
    <row r="22" spans="1:7" x14ac:dyDescent="0.25">
      <c r="A22" s="6" t="s">
        <v>2538</v>
      </c>
      <c r="B22" s="31"/>
      <c r="C22" s="31">
        <v>5</v>
      </c>
      <c r="D22" s="31">
        <v>23</v>
      </c>
      <c r="E22" s="31">
        <v>41</v>
      </c>
      <c r="F22" s="31">
        <v>34</v>
      </c>
      <c r="G22" s="31">
        <v>103</v>
      </c>
    </row>
    <row r="23" spans="1:7" x14ac:dyDescent="0.25">
      <c r="A23" s="6" t="s">
        <v>2539</v>
      </c>
      <c r="B23" s="31"/>
      <c r="C23" s="31">
        <v>11</v>
      </c>
      <c r="D23" s="31">
        <v>20</v>
      </c>
      <c r="E23" s="31">
        <v>38</v>
      </c>
      <c r="F23" s="31">
        <v>26</v>
      </c>
      <c r="G23" s="31">
        <v>95</v>
      </c>
    </row>
    <row r="24" spans="1:7" x14ac:dyDescent="0.25">
      <c r="A24" s="6" t="s">
        <v>2540</v>
      </c>
      <c r="B24" s="31">
        <v>1</v>
      </c>
      <c r="C24" s="31">
        <v>4</v>
      </c>
      <c r="D24" s="31">
        <v>15</v>
      </c>
      <c r="E24" s="31">
        <v>36</v>
      </c>
      <c r="F24" s="31">
        <v>37</v>
      </c>
      <c r="G24" s="31">
        <v>93</v>
      </c>
    </row>
    <row r="25" spans="1:7" x14ac:dyDescent="0.25">
      <c r="A25" s="6" t="s">
        <v>2528</v>
      </c>
      <c r="B25" s="31">
        <v>1</v>
      </c>
      <c r="C25" s="31">
        <v>20</v>
      </c>
      <c r="D25" s="31">
        <v>58</v>
      </c>
      <c r="E25" s="31">
        <v>115</v>
      </c>
      <c r="F25" s="31">
        <v>97</v>
      </c>
      <c r="G25" s="31">
        <v>291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heetViews>
  <sheetFormatPr defaultRowHeight="15" x14ac:dyDescent="0.25"/>
  <cols>
    <col min="2" max="2" width="19.140625" customWidth="1"/>
    <col min="3" max="3" width="8.140625" customWidth="1"/>
    <col min="4" max="4" width="9.140625" customWidth="1"/>
    <col min="5" max="5" width="7.42578125" customWidth="1"/>
    <col min="6" max="6" width="10" customWidth="1"/>
    <col min="7" max="7" width="9.42578125" customWidth="1"/>
    <col min="8" max="8" width="15.7109375" customWidth="1"/>
    <col min="9" max="9" width="10.7109375" customWidth="1"/>
    <col min="10" max="10" width="7.7109375" customWidth="1"/>
    <col min="11" max="11" width="8.7109375" customWidth="1"/>
    <col min="12" max="12" width="19.7109375" customWidth="1"/>
    <col min="13" max="13" width="13.28515625" customWidth="1"/>
    <col min="14" max="14" width="9.28515625" customWidth="1"/>
    <col min="15" max="15" width="12.140625" customWidth="1"/>
  </cols>
  <sheetData>
    <row r="1" spans="1:15" x14ac:dyDescent="0.25">
      <c r="A1" t="s">
        <v>0</v>
      </c>
      <c r="B1" t="s">
        <v>1</v>
      </c>
      <c r="C1" t="s">
        <v>2</v>
      </c>
      <c r="D1" t="s">
        <v>3</v>
      </c>
      <c r="E1" t="s">
        <v>4</v>
      </c>
      <c r="F1" t="s">
        <v>5</v>
      </c>
      <c r="G1" t="s">
        <v>6</v>
      </c>
      <c r="H1" t="s">
        <v>7</v>
      </c>
      <c r="I1" t="s">
        <v>8</v>
      </c>
      <c r="J1" t="s">
        <v>9</v>
      </c>
      <c r="K1" t="s">
        <v>10</v>
      </c>
      <c r="L1" t="s">
        <v>11</v>
      </c>
      <c r="M1" s="2" t="s">
        <v>12</v>
      </c>
      <c r="N1" s="2" t="s">
        <v>13</v>
      </c>
      <c r="O1" s="2" t="s">
        <v>14</v>
      </c>
    </row>
    <row r="2" spans="1:15" x14ac:dyDescent="0.2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2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2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2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2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2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2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2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2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2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2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2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2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2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2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EF8E-54E6-44E5-8979-C2810E7CCBB2}">
  <dimension ref="A2:L10"/>
  <sheetViews>
    <sheetView workbookViewId="0"/>
  </sheetViews>
  <sheetFormatPr defaultRowHeight="15" x14ac:dyDescent="0.25"/>
  <cols>
    <col min="1" max="1" width="14.85546875" customWidth="1"/>
    <col min="2" max="2" width="16.85546875" customWidth="1"/>
    <col min="3" max="3" width="7.140625" customWidth="1"/>
    <col min="4" max="4" width="6.140625" customWidth="1"/>
    <col min="5" max="5" width="9.28515625" customWidth="1"/>
    <col min="6" max="6" width="11.28515625" customWidth="1"/>
    <col min="8" max="8" width="13.85546875" customWidth="1"/>
  </cols>
  <sheetData>
    <row r="2" spans="1:12" x14ac:dyDescent="0.25">
      <c r="H2" t="s">
        <v>2535</v>
      </c>
    </row>
    <row r="3" spans="1:12" x14ac:dyDescent="0.25">
      <c r="A3" s="5" t="s">
        <v>2521</v>
      </c>
      <c r="B3" s="5" t="s">
        <v>2530</v>
      </c>
    </row>
    <row r="4" spans="1:12" ht="15.75" thickBot="1" x14ac:dyDescent="0.3">
      <c r="A4" s="5" t="s">
        <v>2527</v>
      </c>
      <c r="B4" t="s">
        <v>2531</v>
      </c>
      <c r="C4" t="s">
        <v>2532</v>
      </c>
      <c r="D4" t="s">
        <v>2533</v>
      </c>
      <c r="E4" t="s">
        <v>2534</v>
      </c>
      <c r="F4" t="s">
        <v>2528</v>
      </c>
      <c r="I4" t="str">
        <f t="shared" ref="I4:L9" si="0">B4</f>
        <v>Female</v>
      </c>
      <c r="J4" t="str">
        <f t="shared" si="0"/>
        <v>Male</v>
      </c>
      <c r="K4" t="str">
        <f t="shared" si="0"/>
        <v>Other</v>
      </c>
      <c r="L4" t="str">
        <f t="shared" si="0"/>
        <v>Unknown</v>
      </c>
    </row>
    <row r="5" spans="1:12" ht="16.5" thickTop="1" thickBot="1" x14ac:dyDescent="0.3">
      <c r="A5" s="6" t="s">
        <v>18</v>
      </c>
      <c r="B5" s="8">
        <v>0.18961825201634841</v>
      </c>
      <c r="C5" s="8">
        <v>0.12262322351336576</v>
      </c>
      <c r="D5" s="8">
        <v>1.060537752469185E-2</v>
      </c>
      <c r="E5" s="8">
        <v>3.0599220547662797E-2</v>
      </c>
      <c r="F5" s="8">
        <v>0.35344607360206881</v>
      </c>
      <c r="H5" s="9" t="str">
        <f>A5</f>
        <v>App</v>
      </c>
      <c r="I5" s="10">
        <f t="shared" si="0"/>
        <v>0.18961825201634841</v>
      </c>
      <c r="J5" s="10">
        <f t="shared" si="0"/>
        <v>0.12262322351336576</v>
      </c>
      <c r="K5" s="10">
        <f t="shared" si="0"/>
        <v>1.060537752469185E-2</v>
      </c>
      <c r="L5" s="10">
        <f t="shared" si="0"/>
        <v>3.0599220547662797E-2</v>
      </c>
    </row>
    <row r="6" spans="1:12" ht="16.5" thickTop="1" thickBot="1" x14ac:dyDescent="0.3">
      <c r="A6" s="6" t="s">
        <v>51</v>
      </c>
      <c r="B6" s="8">
        <v>5.0283982091147303E-2</v>
      </c>
      <c r="C6" s="8">
        <v>4.3060781812819873E-2</v>
      </c>
      <c r="D6" s="8">
        <v>1.5320025675641944E-3</v>
      </c>
      <c r="E6" s="8">
        <v>1.7794988689097006E-2</v>
      </c>
      <c r="F6" s="8">
        <v>0.11267175516062837</v>
      </c>
      <c r="H6" s="9" t="str">
        <f>A6</f>
        <v>Instagram</v>
      </c>
      <c r="I6" s="10">
        <f t="shared" si="0"/>
        <v>5.0283982091147303E-2</v>
      </c>
      <c r="J6" s="10">
        <f t="shared" si="0"/>
        <v>4.3060781812819873E-2</v>
      </c>
      <c r="K6" s="10">
        <f t="shared" si="0"/>
        <v>1.5320025675641944E-3</v>
      </c>
      <c r="L6" s="10">
        <f t="shared" si="0"/>
        <v>1.7794988689097006E-2</v>
      </c>
    </row>
    <row r="7" spans="1:12" ht="16.5" thickTop="1" thickBot="1" x14ac:dyDescent="0.3">
      <c r="A7" s="6" t="s">
        <v>70</v>
      </c>
      <c r="B7" s="8">
        <v>6.3496059750411282E-2</v>
      </c>
      <c r="C7" s="8">
        <v>4.6071629863988765E-2</v>
      </c>
      <c r="D7" s="8">
        <v>2.306247051322625E-3</v>
      </c>
      <c r="E7" s="8">
        <v>3.8927934093844286E-3</v>
      </c>
      <c r="F7" s="8">
        <v>0.11576673007510711</v>
      </c>
      <c r="H7" s="9" t="str">
        <f>A7</f>
        <v>Partner App</v>
      </c>
      <c r="I7" s="10">
        <f t="shared" si="0"/>
        <v>6.3496059750411282E-2</v>
      </c>
      <c r="J7" s="10">
        <f t="shared" si="0"/>
        <v>4.6071629863988765E-2</v>
      </c>
      <c r="K7" s="10">
        <f t="shared" si="0"/>
        <v>2.306247051322625E-3</v>
      </c>
      <c r="L7" s="10">
        <f t="shared" si="0"/>
        <v>3.8927934093844286E-3</v>
      </c>
    </row>
    <row r="8" spans="1:12" ht="16.5" thickTop="1" thickBot="1" x14ac:dyDescent="0.3">
      <c r="A8" s="6" t="s">
        <v>40</v>
      </c>
      <c r="B8" s="8">
        <v>9.6337892927149532E-2</v>
      </c>
      <c r="C8" s="8">
        <v>6.7920115842382611E-2</v>
      </c>
      <c r="D8" s="8">
        <v>5.4979832664581261E-3</v>
      </c>
      <c r="E8" s="8">
        <v>1.2933041488102518E-2</v>
      </c>
      <c r="F8" s="8">
        <v>0.1826890335240928</v>
      </c>
      <c r="H8" s="9" t="str">
        <f>A8</f>
        <v>Target.com</v>
      </c>
      <c r="I8" s="10">
        <f t="shared" si="0"/>
        <v>9.6337892927149532E-2</v>
      </c>
      <c r="J8" s="10">
        <f t="shared" si="0"/>
        <v>6.7920115842382611E-2</v>
      </c>
      <c r="K8" s="10">
        <f t="shared" si="0"/>
        <v>5.4979832664581261E-3</v>
      </c>
      <c r="L8" s="10">
        <f t="shared" si="0"/>
        <v>1.2933041488102518E-2</v>
      </c>
    </row>
    <row r="9" spans="1:12" ht="16.5" thickTop="1" thickBot="1" x14ac:dyDescent="0.3">
      <c r="A9" s="6" t="s">
        <v>35</v>
      </c>
      <c r="B9" s="8">
        <v>0.12522098709469262</v>
      </c>
      <c r="C9" s="8">
        <v>9.1492740283116228E-2</v>
      </c>
      <c r="D9" s="8">
        <v>6.3042760790965081E-3</v>
      </c>
      <c r="E9" s="8">
        <v>1.2408404181197551E-2</v>
      </c>
      <c r="F9" s="8">
        <v>0.23542640763810288</v>
      </c>
      <c r="H9" s="9" t="str">
        <f>A9</f>
        <v>Website</v>
      </c>
      <c r="I9" s="10">
        <f t="shared" si="0"/>
        <v>0.12522098709469262</v>
      </c>
      <c r="J9" s="10">
        <f t="shared" si="0"/>
        <v>9.1492740283116228E-2</v>
      </c>
      <c r="K9" s="10">
        <f t="shared" si="0"/>
        <v>6.3042760790965081E-3</v>
      </c>
      <c r="L9" s="10">
        <f t="shared" si="0"/>
        <v>1.2408404181197551E-2</v>
      </c>
    </row>
    <row r="10" spans="1:12" ht="15.75" thickTop="1" x14ac:dyDescent="0.25">
      <c r="A10" s="6" t="s">
        <v>2528</v>
      </c>
      <c r="B10" s="8">
        <v>0.52495717387974916</v>
      </c>
      <c r="C10" s="8">
        <v>0.3711684913156732</v>
      </c>
      <c r="D10" s="8">
        <v>2.6245886489133303E-2</v>
      </c>
      <c r="E10" s="8">
        <v>7.7628448315444312E-2</v>
      </c>
      <c r="F10" s="8">
        <v>1</v>
      </c>
    </row>
  </sheetData>
  <conditionalFormatting sqref="H4:L9">
    <cfRule type="colorScale" priority="1">
      <colorScale>
        <cfvo type="min"/>
        <cfvo type="percentile" val="50"/>
        <cfvo type="max"/>
        <color rgb="FFF8696B"/>
        <color rgb="FFFCFCFF"/>
        <color rgb="FF5A8AC6"/>
      </colorScale>
    </cfRule>
  </conditionalFormatting>
  <conditionalFormatting sqref="L6">
    <cfRule type="colorScale" priority="2">
      <colorScale>
        <cfvo type="min"/>
        <cfvo type="percentile" val="50"/>
        <cfvo type="max"/>
        <color rgb="FFF8696B"/>
        <color rgb="FFFCFCFF"/>
        <color rgb="FF5A8AC6"/>
      </colorScale>
    </cfRule>
  </conditionalFormatting>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B715-3DE4-4B4F-85D6-F2428A89447B}">
  <dimension ref="A3:L25"/>
  <sheetViews>
    <sheetView workbookViewId="0"/>
  </sheetViews>
  <sheetFormatPr defaultRowHeight="15" x14ac:dyDescent="0.25"/>
  <cols>
    <col min="1" max="1" width="21.140625" bestFit="1" customWidth="1"/>
    <col min="2" max="2" width="16.28515625" bestFit="1" customWidth="1"/>
    <col min="3" max="4" width="5" bestFit="1" customWidth="1"/>
    <col min="5" max="5" width="3" bestFit="1" customWidth="1"/>
    <col min="6" max="6" width="11.28515625" customWidth="1"/>
    <col min="11" max="11" width="13.140625" bestFit="1" customWidth="1"/>
    <col min="12" max="12" width="15.42578125" bestFit="1" customWidth="1"/>
    <col min="13" max="13" width="5" customWidth="1"/>
    <col min="14" max="14" width="5" bestFit="1" customWidth="1"/>
    <col min="15" max="15" width="4" bestFit="1" customWidth="1"/>
    <col min="16" max="16" width="11.28515625" bestFit="1" customWidth="1"/>
  </cols>
  <sheetData>
    <row r="3" spans="1:12" x14ac:dyDescent="0.25">
      <c r="A3" s="5" t="s">
        <v>2520</v>
      </c>
      <c r="B3" s="5" t="s">
        <v>2530</v>
      </c>
      <c r="K3" s="5" t="s">
        <v>2527</v>
      </c>
      <c r="L3" t="s">
        <v>2520</v>
      </c>
    </row>
    <row r="4" spans="1:12" x14ac:dyDescent="0.25">
      <c r="A4" s="5" t="s">
        <v>2527</v>
      </c>
      <c r="C4" t="s">
        <v>27</v>
      </c>
      <c r="D4" t="s">
        <v>23</v>
      </c>
      <c r="E4" t="s">
        <v>89</v>
      </c>
      <c r="F4" t="s">
        <v>2528</v>
      </c>
      <c r="K4" s="6"/>
      <c r="L4" s="31">
        <v>134</v>
      </c>
    </row>
    <row r="5" spans="1:12" x14ac:dyDescent="0.25">
      <c r="A5" s="6" t="s">
        <v>44</v>
      </c>
      <c r="B5" s="31">
        <v>10</v>
      </c>
      <c r="C5" s="31">
        <v>157</v>
      </c>
      <c r="D5" s="31">
        <v>220</v>
      </c>
      <c r="E5" s="31">
        <v>12</v>
      </c>
      <c r="F5" s="31">
        <v>399</v>
      </c>
      <c r="K5" s="6" t="s">
        <v>27</v>
      </c>
      <c r="L5" s="31">
        <v>1312</v>
      </c>
    </row>
    <row r="6" spans="1:12" x14ac:dyDescent="0.25">
      <c r="A6" s="6" t="s">
        <v>39</v>
      </c>
      <c r="B6" s="31">
        <v>12</v>
      </c>
      <c r="C6" s="31">
        <v>175</v>
      </c>
      <c r="D6" s="31">
        <v>187</v>
      </c>
      <c r="E6" s="31">
        <v>8</v>
      </c>
      <c r="F6" s="31">
        <v>382</v>
      </c>
      <c r="K6" s="6" t="s">
        <v>23</v>
      </c>
      <c r="L6" s="31">
        <v>1148</v>
      </c>
    </row>
    <row r="7" spans="1:12" x14ac:dyDescent="0.25">
      <c r="A7" s="6" t="s">
        <v>26</v>
      </c>
      <c r="B7" s="31">
        <v>27</v>
      </c>
      <c r="C7" s="31">
        <v>177</v>
      </c>
      <c r="D7" s="31">
        <v>80</v>
      </c>
      <c r="E7" s="31"/>
      <c r="F7" s="31">
        <v>284</v>
      </c>
      <c r="K7" s="6" t="s">
        <v>89</v>
      </c>
      <c r="L7" s="31">
        <v>72</v>
      </c>
    </row>
    <row r="8" spans="1:12" x14ac:dyDescent="0.25">
      <c r="A8" s="6" t="s">
        <v>22</v>
      </c>
      <c r="B8" s="31"/>
      <c r="C8" s="31">
        <v>146</v>
      </c>
      <c r="D8" s="31">
        <v>98</v>
      </c>
      <c r="E8" s="31">
        <v>6</v>
      </c>
      <c r="F8" s="31">
        <v>250</v>
      </c>
      <c r="K8" s="6" t="s">
        <v>2528</v>
      </c>
      <c r="L8" s="31">
        <v>2666</v>
      </c>
    </row>
    <row r="9" spans="1:12" x14ac:dyDescent="0.25">
      <c r="A9" s="6" t="s">
        <v>135</v>
      </c>
      <c r="B9" s="31"/>
      <c r="C9" s="31">
        <v>42</v>
      </c>
      <c r="D9" s="31">
        <v>82</v>
      </c>
      <c r="E9" s="31">
        <v>13</v>
      </c>
      <c r="F9" s="31">
        <v>137</v>
      </c>
    </row>
    <row r="10" spans="1:12" x14ac:dyDescent="0.25">
      <c r="A10" s="6" t="s">
        <v>32</v>
      </c>
      <c r="B10" s="31">
        <v>6</v>
      </c>
      <c r="C10" s="31">
        <v>72</v>
      </c>
      <c r="D10" s="31">
        <v>52</v>
      </c>
      <c r="E10" s="31"/>
      <c r="F10" s="31">
        <v>130</v>
      </c>
    </row>
    <row r="11" spans="1:12" x14ac:dyDescent="0.25">
      <c r="A11" s="6" t="s">
        <v>16</v>
      </c>
      <c r="B11" s="31">
        <v>10</v>
      </c>
      <c r="C11" s="31">
        <v>68</v>
      </c>
      <c r="D11" s="31">
        <v>48</v>
      </c>
      <c r="E11" s="31"/>
      <c r="F11" s="31">
        <v>126</v>
      </c>
    </row>
    <row r="12" spans="1:12" x14ac:dyDescent="0.25">
      <c r="A12" s="6" t="s">
        <v>42</v>
      </c>
      <c r="B12" s="31"/>
      <c r="C12" s="31">
        <v>55</v>
      </c>
      <c r="D12" s="31">
        <v>54</v>
      </c>
      <c r="E12" s="31">
        <v>5</v>
      </c>
      <c r="F12" s="31">
        <v>114</v>
      </c>
    </row>
    <row r="13" spans="1:12" x14ac:dyDescent="0.25">
      <c r="A13" s="6" t="s">
        <v>37</v>
      </c>
      <c r="B13" s="31">
        <v>3</v>
      </c>
      <c r="C13" s="31">
        <v>53</v>
      </c>
      <c r="D13" s="31">
        <v>45</v>
      </c>
      <c r="E13" s="31">
        <v>6</v>
      </c>
      <c r="F13" s="31">
        <v>107</v>
      </c>
    </row>
    <row r="14" spans="1:12" x14ac:dyDescent="0.25">
      <c r="A14" s="6" t="s">
        <v>46</v>
      </c>
      <c r="B14" s="31">
        <v>17</v>
      </c>
      <c r="C14" s="31">
        <v>57</v>
      </c>
      <c r="D14" s="31">
        <v>31</v>
      </c>
      <c r="E14" s="31"/>
      <c r="F14" s="31">
        <v>105</v>
      </c>
    </row>
    <row r="15" spans="1:12" x14ac:dyDescent="0.25">
      <c r="A15" s="6" t="s">
        <v>54</v>
      </c>
      <c r="B15" s="31">
        <v>4</v>
      </c>
      <c r="C15" s="31">
        <v>57</v>
      </c>
      <c r="D15" s="31">
        <v>41</v>
      </c>
      <c r="E15" s="31"/>
      <c r="F15" s="31">
        <v>102</v>
      </c>
    </row>
    <row r="16" spans="1:12" x14ac:dyDescent="0.25">
      <c r="A16" s="6" t="s">
        <v>76</v>
      </c>
      <c r="B16" s="31">
        <v>6</v>
      </c>
      <c r="C16" s="31">
        <v>34</v>
      </c>
      <c r="D16" s="31">
        <v>50</v>
      </c>
      <c r="E16" s="31"/>
      <c r="F16" s="31">
        <v>90</v>
      </c>
    </row>
    <row r="17" spans="1:6" x14ac:dyDescent="0.25">
      <c r="A17" s="6" t="s">
        <v>67</v>
      </c>
      <c r="B17" s="31"/>
      <c r="C17" s="31">
        <v>53</v>
      </c>
      <c r="D17" s="31">
        <v>34</v>
      </c>
      <c r="E17" s="31"/>
      <c r="F17" s="31">
        <v>87</v>
      </c>
    </row>
    <row r="18" spans="1:6" x14ac:dyDescent="0.25">
      <c r="A18" s="6" t="s">
        <v>69</v>
      </c>
      <c r="B18" s="31">
        <v>10</v>
      </c>
      <c r="C18" s="31">
        <v>42</v>
      </c>
      <c r="D18" s="31">
        <v>29</v>
      </c>
      <c r="E18" s="31">
        <v>4</v>
      </c>
      <c r="F18" s="31">
        <v>85</v>
      </c>
    </row>
    <row r="19" spans="1:6" x14ac:dyDescent="0.25">
      <c r="A19" s="6" t="s">
        <v>123</v>
      </c>
      <c r="B19" s="31">
        <v>2</v>
      </c>
      <c r="C19" s="31">
        <v>31</v>
      </c>
      <c r="D19" s="31">
        <v>26</v>
      </c>
      <c r="E19" s="31">
        <v>15</v>
      </c>
      <c r="F19" s="31">
        <v>74</v>
      </c>
    </row>
    <row r="20" spans="1:6" x14ac:dyDescent="0.25">
      <c r="A20" s="6" t="s">
        <v>30</v>
      </c>
      <c r="B20" s="31">
        <v>7</v>
      </c>
      <c r="C20" s="31">
        <v>44</v>
      </c>
      <c r="D20" s="31">
        <v>14</v>
      </c>
      <c r="E20" s="31"/>
      <c r="F20" s="31">
        <v>65</v>
      </c>
    </row>
    <row r="21" spans="1:6" x14ac:dyDescent="0.25">
      <c r="A21" s="6" t="s">
        <v>146</v>
      </c>
      <c r="B21" s="31">
        <v>5</v>
      </c>
      <c r="C21" s="31">
        <v>11</v>
      </c>
      <c r="D21" s="31">
        <v>20</v>
      </c>
      <c r="E21" s="31">
        <v>3</v>
      </c>
      <c r="F21" s="31">
        <v>39</v>
      </c>
    </row>
    <row r="22" spans="1:6" x14ac:dyDescent="0.25">
      <c r="A22" s="6" t="s">
        <v>128</v>
      </c>
      <c r="B22" s="31">
        <v>15</v>
      </c>
      <c r="C22" s="31">
        <v>13</v>
      </c>
      <c r="D22" s="31">
        <v>9</v>
      </c>
      <c r="E22" s="31"/>
      <c r="F22" s="31">
        <v>37</v>
      </c>
    </row>
    <row r="23" spans="1:6" x14ac:dyDescent="0.25">
      <c r="A23" s="6" t="s">
        <v>81</v>
      </c>
      <c r="B23" s="31"/>
      <c r="C23" s="31">
        <v>16</v>
      </c>
      <c r="D23" s="31">
        <v>16</v>
      </c>
      <c r="E23" s="31"/>
      <c r="F23" s="31">
        <v>32</v>
      </c>
    </row>
    <row r="24" spans="1:6" x14ac:dyDescent="0.25">
      <c r="A24" s="6" t="s">
        <v>171</v>
      </c>
      <c r="B24" s="31"/>
      <c r="C24" s="31">
        <v>9</v>
      </c>
      <c r="D24" s="31">
        <v>12</v>
      </c>
      <c r="E24" s="31"/>
      <c r="F24" s="31">
        <v>21</v>
      </c>
    </row>
    <row r="25" spans="1:6" x14ac:dyDescent="0.25">
      <c r="A25" s="6" t="s">
        <v>2528</v>
      </c>
      <c r="B25" s="31">
        <v>134</v>
      </c>
      <c r="C25" s="31">
        <v>1312</v>
      </c>
      <c r="D25" s="31">
        <v>1148</v>
      </c>
      <c r="E25" s="31">
        <v>72</v>
      </c>
      <c r="F25" s="31">
        <v>2666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37647-72DB-4F9D-8232-2AAD790166A6}">
  <dimension ref="A3:B11"/>
  <sheetViews>
    <sheetView workbookViewId="0"/>
  </sheetViews>
  <sheetFormatPr defaultRowHeight="15" x14ac:dyDescent="0.25"/>
  <cols>
    <col min="1" max="1" width="13.140625" bestFit="1" customWidth="1"/>
    <col min="2" max="2" width="13.5703125" bestFit="1" customWidth="1"/>
  </cols>
  <sheetData>
    <row r="3" spans="1:2" x14ac:dyDescent="0.25">
      <c r="A3" s="5" t="s">
        <v>2527</v>
      </c>
      <c r="B3" t="s">
        <v>2519</v>
      </c>
    </row>
    <row r="4" spans="1:2" x14ac:dyDescent="0.25">
      <c r="A4" s="6">
        <v>1</v>
      </c>
      <c r="B4" s="31">
        <v>86</v>
      </c>
    </row>
    <row r="5" spans="1:2" x14ac:dyDescent="0.25">
      <c r="A5" s="6">
        <v>2</v>
      </c>
      <c r="B5" s="31">
        <v>139</v>
      </c>
    </row>
    <row r="6" spans="1:2" x14ac:dyDescent="0.25">
      <c r="A6" s="6">
        <v>3</v>
      </c>
      <c r="B6" s="31">
        <v>86</v>
      </c>
    </row>
    <row r="7" spans="1:2" x14ac:dyDescent="0.25">
      <c r="A7" s="6">
        <v>4</v>
      </c>
      <c r="B7" s="31">
        <v>65</v>
      </c>
    </row>
    <row r="8" spans="1:2" x14ac:dyDescent="0.25">
      <c r="A8" s="6">
        <v>5</v>
      </c>
      <c r="B8" s="31">
        <v>45</v>
      </c>
    </row>
    <row r="9" spans="1:2" x14ac:dyDescent="0.25">
      <c r="A9" s="6" t="s">
        <v>2536</v>
      </c>
      <c r="B9" s="31">
        <v>98</v>
      </c>
    </row>
    <row r="10" spans="1:2" x14ac:dyDescent="0.25">
      <c r="A10" s="6" t="s">
        <v>2537</v>
      </c>
      <c r="B10" s="31">
        <v>50</v>
      </c>
    </row>
    <row r="11" spans="1:2" x14ac:dyDescent="0.25">
      <c r="A11" s="6" t="s">
        <v>2528</v>
      </c>
      <c r="B11" s="31">
        <v>569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heetViews>
  <sheetFormatPr defaultRowHeight="15" x14ac:dyDescent="0.25"/>
  <cols>
    <col min="1" max="1" width="3.7109375" customWidth="1"/>
    <col min="2" max="2" width="52.7109375" customWidth="1"/>
  </cols>
  <sheetData>
    <row r="2" spans="2:2" x14ac:dyDescent="0.25">
      <c r="B2" s="3" t="s">
        <v>2503</v>
      </c>
    </row>
    <row r="3" spans="2:2" x14ac:dyDescent="0.25">
      <c r="B3" s="4" t="s">
        <v>2504</v>
      </c>
    </row>
    <row r="4" spans="2:2" x14ac:dyDescent="0.25">
      <c r="B4" s="4" t="s">
        <v>2505</v>
      </c>
    </row>
    <row r="5" spans="2:2" x14ac:dyDescent="0.25">
      <c r="B5" s="4" t="s">
        <v>2506</v>
      </c>
    </row>
    <row r="6" spans="2:2" x14ac:dyDescent="0.25">
      <c r="B6" s="4" t="s">
        <v>2507</v>
      </c>
    </row>
    <row r="7" spans="2:2" x14ac:dyDescent="0.25">
      <c r="B7" s="4" t="s">
        <v>2508</v>
      </c>
    </row>
    <row r="10" spans="2:2" x14ac:dyDescent="0.25">
      <c r="B10" s="3" t="s">
        <v>2509</v>
      </c>
    </row>
    <row r="11" spans="2:2" x14ac:dyDescent="0.25">
      <c r="B11" t="s">
        <v>2510</v>
      </c>
    </row>
    <row r="12" spans="2:2" x14ac:dyDescent="0.25">
      <c r="B12" t="s">
        <v>2511</v>
      </c>
    </row>
    <row r="13" spans="2:2" x14ac:dyDescent="0.25">
      <c r="B13" t="s">
        <v>2512</v>
      </c>
    </row>
    <row r="14" spans="2:2" x14ac:dyDescent="0.25">
      <c r="B14" t="s">
        <v>2513</v>
      </c>
    </row>
    <row r="15" spans="2:2" x14ac:dyDescent="0.25">
      <c r="B15" t="s">
        <v>2514</v>
      </c>
    </row>
    <row r="16" spans="2:2" x14ac:dyDescent="0.25">
      <c r="B16" t="s">
        <v>2515</v>
      </c>
    </row>
    <row r="17" spans="2:2" x14ac:dyDescent="0.25">
      <c r="B17" t="s">
        <v>2516</v>
      </c>
    </row>
    <row r="18" spans="2:2" x14ac:dyDescent="0.25">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pivot</vt:lpstr>
      <vt:lpstr>Dashboard</vt:lpstr>
      <vt:lpstr>Sheet6</vt:lpstr>
      <vt:lpstr>Sheet8</vt:lpstr>
      <vt:lpstr>Data</vt:lpstr>
      <vt:lpstr>Sheet3</vt:lpstr>
      <vt:lpstr>Sheet5</vt:lpstr>
      <vt:lpstr>Sheet4</vt:lpstr>
      <vt:lpstr>Questions &amp; KPIs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admin</cp:lastModifiedBy>
  <dcterms:created xsi:type="dcterms:W3CDTF">2025-06-13T02:42:26Z</dcterms:created>
  <dcterms:modified xsi:type="dcterms:W3CDTF">2026-01-16T21:44:05Z</dcterms:modified>
</cp:coreProperties>
</file>