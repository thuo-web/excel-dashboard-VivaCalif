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Ex2.xml" ContentType="application/vnd.ms-office.chartex+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C:\Users\user\Desktop\"/>
    </mc:Choice>
  </mc:AlternateContent>
  <xr:revisionPtr revIDLastSave="0" documentId="13_ncr:1_{A6BCABCC-9C50-40A5-A5A3-43C8AD5E08F0}" xr6:coauthVersionLast="47" xr6:coauthVersionMax="47" xr10:uidLastSave="{00000000-0000-0000-0000-000000000000}"/>
  <bookViews>
    <workbookView xWindow="-120" yWindow="-120" windowWidth="24240" windowHeight="13140" firstSheet="1" activeTab="1" xr2:uid="{346724B3-1C49-40AE-AA36-C77CF5D6DD09}"/>
  </bookViews>
  <sheets>
    <sheet name="pivot" sheetId="5" r:id="rId1"/>
    <sheet name="Dashboard" sheetId="6" r:id="rId2"/>
    <sheet name="Sheet6" sheetId="10" r:id="rId3"/>
    <sheet name="Sheet8" sheetId="12" r:id="rId4"/>
    <sheet name="Data" sheetId="1" r:id="rId5"/>
    <sheet name="Sheet3" sheetId="7" r:id="rId6"/>
    <sheet name="Sheet5" sheetId="9" r:id="rId7"/>
    <sheet name="Sheet4" sheetId="8" r:id="rId8"/>
    <sheet name="Questions &amp; KPIs" sheetId="2" r:id="rId9"/>
    <sheet name="Logo &amp; Colors" sheetId="4" r:id="rId10"/>
  </sheets>
  <definedNames>
    <definedName name="_xlchart.v5.0" hidden="1">Sheet6!$K$3:$L$3</definedName>
    <definedName name="_xlchart.v5.1" hidden="1">Sheet6!$K$4:$L$62</definedName>
    <definedName name="_xlchart.v5.2" hidden="1">Sheet6!$M$3</definedName>
    <definedName name="_xlchart.v5.3" hidden="1">Sheet6!$M$4:$M$62</definedName>
    <definedName name="_xlchart.v5.4" hidden="1">Sheet6!$E$3:$F$3</definedName>
    <definedName name="_xlchart.v5.5" hidden="1">Sheet6!$E$4:$F$62</definedName>
    <definedName name="_xlchart.v5.6" hidden="1">Sheet6!$G$3</definedName>
    <definedName name="_xlchart.v5.7" hidden="1">Sheet6!$G$4:$G$62</definedName>
    <definedName name="_xlnm.Print_Area" localSheetId="1">Dashboard!$A$1:$AV$52</definedName>
    <definedName name="Slicer_Gender_Value">#N/A</definedName>
    <definedName name="Slicer_Order_Mode">#N/A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7" l="1"/>
  <c r="I5" i="7"/>
  <c r="J4" i="7"/>
  <c r="K4" i="7"/>
  <c r="L4" i="7"/>
  <c r="J5" i="7"/>
  <c r="K5" i="7"/>
  <c r="L5" i="7"/>
  <c r="H6" i="7"/>
  <c r="I6" i="7"/>
  <c r="J6" i="7"/>
  <c r="K6" i="7"/>
  <c r="L6" i="7"/>
  <c r="H7" i="7"/>
  <c r="I7" i="7"/>
  <c r="J7" i="7"/>
  <c r="K7" i="7"/>
  <c r="L7" i="7"/>
  <c r="H8" i="7"/>
  <c r="I8" i="7"/>
  <c r="J8" i="7"/>
  <c r="K8" i="7"/>
  <c r="L8" i="7"/>
  <c r="H9" i="7"/>
  <c r="I9" i="7"/>
  <c r="J9" i="7"/>
  <c r="K9" i="7"/>
  <c r="L9" i="7"/>
  <c r="H5" i="7"/>
  <c r="K4" i="5"/>
  <c r="J4" i="5"/>
  <c r="H4" i="5"/>
  <c r="I4" i="5"/>
  <c r="G4" i="5"/>
  <c r="O2401" i="1" a="1"/>
  <c r="O2401" i="1" s="1"/>
  <c r="N2401" i="1"/>
  <c r="M2401" i="1"/>
  <c r="O2400" i="1" a="1"/>
  <c r="O2400" i="1" s="1"/>
  <c r="N2400" i="1"/>
  <c r="M2400" i="1"/>
  <c r="O2399" i="1" a="1"/>
  <c r="O2399" i="1" s="1"/>
  <c r="N2399" i="1"/>
  <c r="M2399" i="1"/>
  <c r="O2398" i="1"/>
  <c r="O2398" i="1" a="1"/>
  <c r="N2398" i="1"/>
  <c r="M2398" i="1"/>
  <c r="O2397" i="1"/>
  <c r="O2397" i="1" a="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c r="O2390" i="1" a="1"/>
  <c r="N2390" i="1"/>
  <c r="M2390" i="1"/>
  <c r="O2389" i="1" a="1"/>
  <c r="O2389" i="1" s="1"/>
  <c r="N2389" i="1"/>
  <c r="M2389" i="1"/>
  <c r="O2388" i="1"/>
  <c r="O2388" i="1" a="1"/>
  <c r="N2388" i="1"/>
  <c r="M2388" i="1"/>
  <c r="O2387" i="1" a="1"/>
  <c r="O2387" i="1" s="1"/>
  <c r="N2387" i="1"/>
  <c r="M2387" i="1"/>
  <c r="O2386" i="1" a="1"/>
  <c r="O2386" i="1" s="1"/>
  <c r="N2386" i="1"/>
  <c r="M2386" i="1"/>
  <c r="O2385" i="1"/>
  <c r="O2385" i="1" a="1"/>
  <c r="N2385" i="1"/>
  <c r="M2385" i="1"/>
  <c r="O2384" i="1"/>
  <c r="O2384" i="1" a="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c r="O2377" i="1" a="1"/>
  <c r="N2377" i="1"/>
  <c r="M2377" i="1"/>
  <c r="O2376" i="1" a="1"/>
  <c r="O2376" i="1" s="1"/>
  <c r="N2376" i="1"/>
  <c r="M2376" i="1"/>
  <c r="O2375" i="1"/>
  <c r="O2375" i="1" a="1"/>
  <c r="N2375" i="1"/>
  <c r="M2375" i="1"/>
  <c r="O2374" i="1" a="1"/>
  <c r="O2374" i="1" s="1"/>
  <c r="N2374" i="1"/>
  <c r="M2374" i="1"/>
  <c r="O2373" i="1" a="1"/>
  <c r="O2373" i="1" s="1"/>
  <c r="N2373" i="1"/>
  <c r="M2373" i="1"/>
  <c r="O2372" i="1"/>
  <c r="O2372" i="1" a="1"/>
  <c r="N2372" i="1"/>
  <c r="M2372" i="1"/>
  <c r="O2371" i="1" a="1"/>
  <c r="O2371" i="1" s="1"/>
  <c r="N2371" i="1"/>
  <c r="M2371" i="1"/>
  <c r="O2370" i="1" a="1"/>
  <c r="O2370" i="1" s="1"/>
  <c r="N2370" i="1"/>
  <c r="M2370" i="1"/>
  <c r="O2369" i="1" a="1"/>
  <c r="O2369" i="1" s="1"/>
  <c r="N2369" i="1"/>
  <c r="M2369" i="1"/>
  <c r="O2368" i="1"/>
  <c r="O2368" i="1" a="1"/>
  <c r="N2368" i="1"/>
  <c r="M2368" i="1"/>
  <c r="O2367" i="1"/>
  <c r="O2367" i="1" a="1"/>
  <c r="N2367" i="1"/>
  <c r="M2367" i="1"/>
  <c r="O2366" i="1" a="1"/>
  <c r="O2366" i="1" s="1"/>
  <c r="N2366" i="1"/>
  <c r="M2366" i="1"/>
  <c r="O2365" i="1" a="1"/>
  <c r="O2365" i="1" s="1"/>
  <c r="N2365" i="1"/>
  <c r="M2365" i="1"/>
  <c r="O2364" i="1"/>
  <c r="O2364" i="1" a="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c r="O2358" i="1" a="1"/>
  <c r="N2358" i="1"/>
  <c r="M2358" i="1"/>
  <c r="O2357" i="1" a="1"/>
  <c r="O2357" i="1" s="1"/>
  <c r="N2357" i="1"/>
  <c r="M2357" i="1"/>
  <c r="O2356" i="1"/>
  <c r="O2356" i="1" a="1"/>
  <c r="N2356" i="1"/>
  <c r="M2356" i="1"/>
  <c r="O2355" i="1"/>
  <c r="O2355" i="1" a="1"/>
  <c r="N2355" i="1"/>
  <c r="M2355" i="1"/>
  <c r="O2354" i="1" a="1"/>
  <c r="O2354" i="1" s="1"/>
  <c r="N2354" i="1"/>
  <c r="M2354" i="1"/>
  <c r="O2353" i="1" a="1"/>
  <c r="O2353" i="1" s="1"/>
  <c r="N2353" i="1"/>
  <c r="M2353" i="1"/>
  <c r="O2352" i="1" a="1"/>
  <c r="O2352" i="1" s="1"/>
  <c r="N2352" i="1"/>
  <c r="M2352" i="1"/>
  <c r="O2351" i="1" a="1"/>
  <c r="O2351" i="1" s="1"/>
  <c r="N2351" i="1"/>
  <c r="M2351" i="1"/>
  <c r="O2350" i="1"/>
  <c r="O2350" i="1" a="1"/>
  <c r="N2350" i="1"/>
  <c r="M2350" i="1"/>
  <c r="O2349" i="1"/>
  <c r="O2349" i="1" a="1"/>
  <c r="N2349" i="1"/>
  <c r="M2349" i="1"/>
  <c r="O2348" i="1" a="1"/>
  <c r="O2348" i="1" s="1"/>
  <c r="N2348" i="1"/>
  <c r="M2348" i="1"/>
  <c r="O2347" i="1" a="1"/>
  <c r="O2347" i="1" s="1"/>
  <c r="N2347" i="1"/>
  <c r="M2347" i="1"/>
  <c r="O2346" i="1"/>
  <c r="O2346" i="1" a="1"/>
  <c r="N2346" i="1"/>
  <c r="M2346" i="1"/>
  <c r="O2345" i="1" a="1"/>
  <c r="O2345" i="1" s="1"/>
  <c r="N2345" i="1"/>
  <c r="M2345" i="1"/>
  <c r="O2344" i="1" a="1"/>
  <c r="O2344" i="1" s="1"/>
  <c r="N2344" i="1"/>
  <c r="M2344" i="1"/>
  <c r="O2343" i="1"/>
  <c r="O2343" i="1" a="1"/>
  <c r="N2343" i="1"/>
  <c r="M2343" i="1"/>
  <c r="O2342" i="1" a="1"/>
  <c r="O2342" i="1" s="1"/>
  <c r="N2342" i="1"/>
  <c r="M2342" i="1"/>
  <c r="O2341" i="1" a="1"/>
  <c r="O2341" i="1" s="1"/>
  <c r="N2341" i="1"/>
  <c r="M2341" i="1"/>
  <c r="O2340" i="1" a="1"/>
  <c r="O2340" i="1" s="1"/>
  <c r="N2340" i="1"/>
  <c r="M2340" i="1"/>
  <c r="O2339" i="1"/>
  <c r="O2339" i="1" a="1"/>
  <c r="N2339" i="1"/>
  <c r="M2339" i="1"/>
  <c r="O2338" i="1" a="1"/>
  <c r="O2338" i="1" s="1"/>
  <c r="N2338" i="1"/>
  <c r="M2338" i="1"/>
  <c r="O2337" i="1" a="1"/>
  <c r="O2337" i="1" s="1"/>
  <c r="N2337" i="1"/>
  <c r="M2337" i="1"/>
  <c r="O2336" i="1" a="1"/>
  <c r="O2336" i="1" s="1"/>
  <c r="N2336" i="1"/>
  <c r="M2336" i="1"/>
  <c r="O2335" i="1"/>
  <c r="O2335" i="1" a="1"/>
  <c r="N2335" i="1"/>
  <c r="M2335" i="1"/>
  <c r="O2334" i="1" a="1"/>
  <c r="O2334" i="1" s="1"/>
  <c r="N2334" i="1"/>
  <c r="M2334" i="1"/>
  <c r="O2333" i="1" a="1"/>
  <c r="O2333" i="1" s="1"/>
  <c r="N2333" i="1"/>
  <c r="M2333" i="1"/>
  <c r="O2332" i="1"/>
  <c r="O2332" i="1" a="1"/>
  <c r="N2332" i="1"/>
  <c r="M2332" i="1"/>
  <c r="O2331" i="1" a="1"/>
  <c r="O2331" i="1" s="1"/>
  <c r="N2331" i="1"/>
  <c r="M2331" i="1"/>
  <c r="O2330" i="1" a="1"/>
  <c r="O2330" i="1" s="1"/>
  <c r="N2330" i="1"/>
  <c r="M2330" i="1"/>
  <c r="O2329" i="1"/>
  <c r="O2329" i="1" a="1"/>
  <c r="N2329" i="1"/>
  <c r="M2329" i="1"/>
  <c r="O2328" i="1" a="1"/>
  <c r="O2328" i="1" s="1"/>
  <c r="N2328" i="1"/>
  <c r="M2328" i="1"/>
  <c r="O2327" i="1"/>
  <c r="O2327" i="1" a="1"/>
  <c r="N2327" i="1"/>
  <c r="M2327" i="1"/>
  <c r="O2326" i="1"/>
  <c r="O2326" i="1" a="1"/>
  <c r="N2326" i="1"/>
  <c r="M2326" i="1"/>
  <c r="O2325" i="1" a="1"/>
  <c r="O2325" i="1" s="1"/>
  <c r="N2325" i="1"/>
  <c r="M2325" i="1"/>
  <c r="O2324" i="1" a="1"/>
  <c r="O2324" i="1" s="1"/>
  <c r="N2324" i="1"/>
  <c r="M2324" i="1"/>
  <c r="O2323" i="1"/>
  <c r="O2323" i="1" a="1"/>
  <c r="N2323" i="1"/>
  <c r="M2323" i="1"/>
  <c r="O2322" i="1" a="1"/>
  <c r="O2322" i="1" s="1"/>
  <c r="N2322" i="1"/>
  <c r="M2322" i="1"/>
  <c r="O2321" i="1"/>
  <c r="O2321" i="1" a="1"/>
  <c r="N2321" i="1"/>
  <c r="M2321" i="1"/>
  <c r="O2320" i="1" a="1"/>
  <c r="O2320" i="1" s="1"/>
  <c r="N2320" i="1"/>
  <c r="M2320" i="1"/>
  <c r="O2319" i="1"/>
  <c r="O2319" i="1" a="1"/>
  <c r="N2319" i="1"/>
  <c r="M2319" i="1"/>
  <c r="O2318" i="1" a="1"/>
  <c r="O2318" i="1" s="1"/>
  <c r="N2318" i="1"/>
  <c r="M2318" i="1"/>
  <c r="O2317" i="1" a="1"/>
  <c r="O2317" i="1" s="1"/>
  <c r="N2317" i="1"/>
  <c r="M2317" i="1"/>
  <c r="O2316" i="1"/>
  <c r="O2316" i="1" a="1"/>
  <c r="N2316" i="1"/>
  <c r="M2316" i="1"/>
  <c r="O2315" i="1" a="1"/>
  <c r="O2315" i="1" s="1"/>
  <c r="N2315" i="1"/>
  <c r="M2315" i="1"/>
  <c r="O2314" i="1"/>
  <c r="O2314" i="1" a="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c r="O2308" i="1" a="1"/>
  <c r="N2308" i="1"/>
  <c r="M2308" i="1"/>
  <c r="O2307" i="1" a="1"/>
  <c r="O2307" i="1" s="1"/>
  <c r="N2307" i="1"/>
  <c r="M2307" i="1"/>
  <c r="O2306" i="1"/>
  <c r="O2306" i="1" a="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c r="O2300" i="1" a="1"/>
  <c r="N2300" i="1"/>
  <c r="M2300" i="1"/>
  <c r="O2299" i="1" a="1"/>
  <c r="O2299" i="1" s="1"/>
  <c r="N2299" i="1"/>
  <c r="M2299" i="1"/>
  <c r="O2298" i="1"/>
  <c r="O2298" i="1" a="1"/>
  <c r="N2298" i="1"/>
  <c r="M2298" i="1"/>
  <c r="O2297" i="1"/>
  <c r="O2297" i="1" a="1"/>
  <c r="N2297" i="1"/>
  <c r="M2297" i="1"/>
  <c r="O2296" i="1" a="1"/>
  <c r="O2296" i="1" s="1"/>
  <c r="N2296" i="1"/>
  <c r="M2296" i="1"/>
  <c r="O2295" i="1"/>
  <c r="O2295" i="1" a="1"/>
  <c r="N2295" i="1"/>
  <c r="M2295" i="1"/>
  <c r="O2294" i="1"/>
  <c r="O2294" i="1" a="1"/>
  <c r="N2294" i="1"/>
  <c r="M2294" i="1"/>
  <c r="O2293" i="1" a="1"/>
  <c r="O2293" i="1" s="1"/>
  <c r="N2293" i="1"/>
  <c r="M2293" i="1"/>
  <c r="O2292" i="1"/>
  <c r="O2292" i="1" a="1"/>
  <c r="N2292" i="1"/>
  <c r="M2292" i="1"/>
  <c r="O2291" i="1"/>
  <c r="O2291" i="1" a="1"/>
  <c r="N2291" i="1"/>
  <c r="M2291" i="1"/>
  <c r="O2290" i="1"/>
  <c r="O2290" i="1" a="1"/>
  <c r="N2290" i="1"/>
  <c r="M2290" i="1"/>
  <c r="O2289" i="1" a="1"/>
  <c r="O2289" i="1" s="1"/>
  <c r="N2289" i="1"/>
  <c r="M2289" i="1"/>
  <c r="O2288" i="1"/>
  <c r="O2288" i="1" a="1"/>
  <c r="N2288" i="1"/>
  <c r="M2288" i="1"/>
  <c r="O2287" i="1"/>
  <c r="O2287" i="1" a="1"/>
  <c r="N2287" i="1"/>
  <c r="M2287" i="1"/>
  <c r="O2286" i="1"/>
  <c r="O2286" i="1" a="1"/>
  <c r="N2286" i="1"/>
  <c r="M2286" i="1"/>
  <c r="O2285" i="1"/>
  <c r="O2285" i="1" a="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c r="O2279" i="1" a="1"/>
  <c r="N2279" i="1"/>
  <c r="M2279" i="1"/>
  <c r="O2278" i="1" a="1"/>
  <c r="O2278" i="1" s="1"/>
  <c r="N2278" i="1"/>
  <c r="M2278" i="1"/>
  <c r="O2277" i="1"/>
  <c r="O2277" i="1" a="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c r="O2271" i="1" a="1"/>
  <c r="N2271" i="1"/>
  <c r="M2271" i="1"/>
  <c r="O2270" i="1" a="1"/>
  <c r="O2270" i="1" s="1"/>
  <c r="N2270" i="1"/>
  <c r="M2270" i="1"/>
  <c r="O2269" i="1"/>
  <c r="O2269" i="1" a="1"/>
  <c r="N2269" i="1"/>
  <c r="M2269" i="1"/>
  <c r="O2268" i="1" a="1"/>
  <c r="O2268" i="1" s="1"/>
  <c r="N2268" i="1"/>
  <c r="M2268" i="1"/>
  <c r="O2267" i="1" a="1"/>
  <c r="O2267" i="1" s="1"/>
  <c r="N2267" i="1"/>
  <c r="M2267" i="1"/>
  <c r="O2266" i="1"/>
  <c r="O2266" i="1" a="1"/>
  <c r="N2266" i="1"/>
  <c r="M2266" i="1"/>
  <c r="O2265" i="1"/>
  <c r="O2265" i="1" a="1"/>
  <c r="N2265" i="1"/>
  <c r="M2265" i="1"/>
  <c r="O2264" i="1" a="1"/>
  <c r="O2264" i="1" s="1"/>
  <c r="N2264" i="1"/>
  <c r="M2264" i="1"/>
  <c r="O2263" i="1"/>
  <c r="O2263" i="1" a="1"/>
  <c r="N2263" i="1"/>
  <c r="M2263" i="1"/>
  <c r="O2262" i="1" a="1"/>
  <c r="O2262" i="1" s="1"/>
  <c r="N2262" i="1"/>
  <c r="M2262" i="1"/>
  <c r="O2261" i="1" a="1"/>
  <c r="O2261" i="1" s="1"/>
  <c r="N2261" i="1"/>
  <c r="M2261" i="1"/>
  <c r="O2260" i="1" a="1"/>
  <c r="O2260" i="1" s="1"/>
  <c r="N2260" i="1"/>
  <c r="M2260" i="1"/>
  <c r="O2259" i="1" a="1"/>
  <c r="O2259" i="1" s="1"/>
  <c r="N2259" i="1"/>
  <c r="M2259" i="1"/>
  <c r="O2258" i="1"/>
  <c r="O2258" i="1" a="1"/>
  <c r="N2258" i="1"/>
  <c r="M2258" i="1"/>
  <c r="O2257" i="1" a="1"/>
  <c r="O2257" i="1" s="1"/>
  <c r="N2257" i="1"/>
  <c r="M2257" i="1"/>
  <c r="O2256" i="1"/>
  <c r="O2256" i="1" a="1"/>
  <c r="N2256" i="1"/>
  <c r="M2256" i="1"/>
  <c r="O2255" i="1" a="1"/>
  <c r="O2255" i="1" s="1"/>
  <c r="N2255" i="1"/>
  <c r="M2255" i="1"/>
  <c r="O2254" i="1" a="1"/>
  <c r="O2254" i="1" s="1"/>
  <c r="N2254" i="1"/>
  <c r="M2254" i="1"/>
  <c r="O2253" i="1" a="1"/>
  <c r="O2253" i="1" s="1"/>
  <c r="N2253" i="1"/>
  <c r="M2253" i="1"/>
  <c r="O2252" i="1"/>
  <c r="O2252" i="1" a="1"/>
  <c r="N2252" i="1"/>
  <c r="M2252" i="1"/>
  <c r="O2251" i="1" a="1"/>
  <c r="O2251" i="1" s="1"/>
  <c r="N2251" i="1"/>
  <c r="M2251" i="1"/>
  <c r="O2250" i="1"/>
  <c r="O2250" i="1" a="1"/>
  <c r="N2250" i="1"/>
  <c r="M2250" i="1"/>
  <c r="O2249" i="1" a="1"/>
  <c r="O2249" i="1" s="1"/>
  <c r="N2249" i="1"/>
  <c r="M2249" i="1"/>
  <c r="O2248" i="1"/>
  <c r="O2248" i="1" a="1"/>
  <c r="N2248" i="1"/>
  <c r="M2248" i="1"/>
  <c r="O2247" i="1" a="1"/>
  <c r="O2247" i="1" s="1"/>
  <c r="N2247" i="1"/>
  <c r="M2247" i="1"/>
  <c r="O2246" i="1"/>
  <c r="O2246" i="1" a="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c r="O2239" i="1" a="1"/>
  <c r="N2239" i="1"/>
  <c r="M2239" i="1"/>
  <c r="O2238" i="1" a="1"/>
  <c r="O2238" i="1" s="1"/>
  <c r="N2238" i="1"/>
  <c r="M2238" i="1"/>
  <c r="O2237" i="1"/>
  <c r="O2237" i="1" a="1"/>
  <c r="N2237" i="1"/>
  <c r="M2237" i="1"/>
  <c r="O2236" i="1" a="1"/>
  <c r="O2236" i="1" s="1"/>
  <c r="N2236" i="1"/>
  <c r="M2236" i="1"/>
  <c r="O2235" i="1"/>
  <c r="O2235" i="1" a="1"/>
  <c r="N2235" i="1"/>
  <c r="M2235" i="1"/>
  <c r="O2234" i="1"/>
  <c r="O2234" i="1" a="1"/>
  <c r="N2234" i="1"/>
  <c r="M2234" i="1"/>
  <c r="O2233" i="1" a="1"/>
  <c r="O2233" i="1" s="1"/>
  <c r="N2233" i="1"/>
  <c r="M2233" i="1"/>
  <c r="O2232" i="1"/>
  <c r="O2232" i="1" a="1"/>
  <c r="N2232" i="1"/>
  <c r="M2232" i="1"/>
  <c r="O2231" i="1" a="1"/>
  <c r="O2231" i="1" s="1"/>
  <c r="N2231" i="1"/>
  <c r="M2231" i="1"/>
  <c r="O2230" i="1" a="1"/>
  <c r="O2230" i="1" s="1"/>
  <c r="N2230" i="1"/>
  <c r="M2230" i="1"/>
  <c r="O2229" i="1" a="1"/>
  <c r="O2229" i="1" s="1"/>
  <c r="N2229" i="1"/>
  <c r="M2229" i="1"/>
  <c r="O2228" i="1" a="1"/>
  <c r="O2228" i="1" s="1"/>
  <c r="N2228" i="1"/>
  <c r="M2228" i="1"/>
  <c r="O2227" i="1"/>
  <c r="O2227" i="1" a="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c r="O2220" i="1" a="1"/>
  <c r="N2220" i="1"/>
  <c r="M2220" i="1"/>
  <c r="O2219" i="1" a="1"/>
  <c r="O2219" i="1" s="1"/>
  <c r="N2219" i="1"/>
  <c r="M2219" i="1"/>
  <c r="O2218" i="1"/>
  <c r="O2218" i="1" a="1"/>
  <c r="N2218" i="1"/>
  <c r="M2218" i="1"/>
  <c r="O2217" i="1"/>
  <c r="O2217" i="1" a="1"/>
  <c r="N2217" i="1"/>
  <c r="M2217" i="1"/>
  <c r="O2216" i="1" a="1"/>
  <c r="O2216" i="1" s="1"/>
  <c r="N2216" i="1"/>
  <c r="M2216" i="1"/>
  <c r="O2215" i="1" a="1"/>
  <c r="O2215" i="1" s="1"/>
  <c r="N2215" i="1"/>
  <c r="M2215" i="1"/>
  <c r="O2214" i="1" a="1"/>
  <c r="O2214" i="1" s="1"/>
  <c r="N2214" i="1"/>
  <c r="M2214" i="1"/>
  <c r="O2213" i="1"/>
  <c r="O2213" i="1" a="1"/>
  <c r="N2213" i="1"/>
  <c r="M2213" i="1"/>
  <c r="O2212" i="1" a="1"/>
  <c r="O2212" i="1" s="1"/>
  <c r="N2212" i="1"/>
  <c r="M2212" i="1"/>
  <c r="O2211" i="1" a="1"/>
  <c r="O2211" i="1" s="1"/>
  <c r="N2211" i="1"/>
  <c r="M2211" i="1"/>
  <c r="O2210" i="1" a="1"/>
  <c r="O2210" i="1" s="1"/>
  <c r="N2210" i="1"/>
  <c r="M2210" i="1"/>
  <c r="O2209" i="1"/>
  <c r="O2209" i="1" a="1"/>
  <c r="N2209" i="1"/>
  <c r="M2209" i="1"/>
  <c r="O2208" i="1"/>
  <c r="O2208" i="1" a="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c r="O2200" i="1" a="1"/>
  <c r="N2200" i="1"/>
  <c r="M2200" i="1"/>
  <c r="O2199" i="1"/>
  <c r="O2199" i="1" a="1"/>
  <c r="N2199" i="1"/>
  <c r="M2199" i="1"/>
  <c r="O2198" i="1" a="1"/>
  <c r="O2198" i="1" s="1"/>
  <c r="N2198" i="1"/>
  <c r="M2198" i="1"/>
  <c r="O2197" i="1"/>
  <c r="O2197" i="1" a="1"/>
  <c r="N2197" i="1"/>
  <c r="M2197" i="1"/>
  <c r="O2196" i="1" a="1"/>
  <c r="O2196" i="1" s="1"/>
  <c r="N2196" i="1"/>
  <c r="M2196" i="1"/>
  <c r="O2195" i="1" a="1"/>
  <c r="O2195" i="1" s="1"/>
  <c r="N2195" i="1"/>
  <c r="M2195" i="1"/>
  <c r="O2194" i="1"/>
  <c r="O2194" i="1" a="1"/>
  <c r="N2194" i="1"/>
  <c r="M2194" i="1"/>
  <c r="O2193" i="1" a="1"/>
  <c r="O2193" i="1" s="1"/>
  <c r="N2193" i="1"/>
  <c r="M2193" i="1"/>
  <c r="O2192" i="1"/>
  <c r="O2192" i="1" a="1"/>
  <c r="N2192" i="1"/>
  <c r="M2192" i="1"/>
  <c r="O2191" i="1" a="1"/>
  <c r="O2191" i="1" s="1"/>
  <c r="N2191" i="1"/>
  <c r="M2191" i="1"/>
  <c r="O2190" i="1" a="1"/>
  <c r="O2190" i="1" s="1"/>
  <c r="N2190" i="1"/>
  <c r="M2190" i="1"/>
  <c r="O2189" i="1"/>
  <c r="O2189" i="1" a="1"/>
  <c r="N2189" i="1"/>
  <c r="M2189" i="1"/>
  <c r="O2188" i="1"/>
  <c r="O2188" i="1" a="1"/>
  <c r="N2188" i="1"/>
  <c r="M2188" i="1"/>
  <c r="O2187" i="1" a="1"/>
  <c r="O2187" i="1" s="1"/>
  <c r="N2187" i="1"/>
  <c r="M2187" i="1"/>
  <c r="O2186" i="1" a="1"/>
  <c r="O2186" i="1" s="1"/>
  <c r="N2186" i="1"/>
  <c r="M2186" i="1"/>
  <c r="O2185" i="1" a="1"/>
  <c r="O2185" i="1" s="1"/>
  <c r="N2185" i="1"/>
  <c r="M2185" i="1"/>
  <c r="O2184" i="1" a="1"/>
  <c r="O2184" i="1" s="1"/>
  <c r="N2184" i="1"/>
  <c r="M2184" i="1"/>
  <c r="O2183" i="1"/>
  <c r="O2183" i="1" a="1"/>
  <c r="N2183" i="1"/>
  <c r="M2183" i="1"/>
  <c r="O2182" i="1" a="1"/>
  <c r="O2182" i="1" s="1"/>
  <c r="N2182" i="1"/>
  <c r="M2182" i="1"/>
  <c r="O2181" i="1" a="1"/>
  <c r="O2181" i="1" s="1"/>
  <c r="N2181" i="1"/>
  <c r="M2181" i="1"/>
  <c r="O2180" i="1" a="1"/>
  <c r="O2180" i="1" s="1"/>
  <c r="N2180" i="1"/>
  <c r="M2180" i="1"/>
  <c r="O2179" i="1"/>
  <c r="O2179" i="1" a="1"/>
  <c r="N2179" i="1"/>
  <c r="M2179" i="1"/>
  <c r="O2178" i="1" a="1"/>
  <c r="O2178" i="1" s="1"/>
  <c r="N2178" i="1"/>
  <c r="M2178" i="1"/>
  <c r="O2177" i="1" a="1"/>
  <c r="O2177" i="1" s="1"/>
  <c r="N2177" i="1"/>
  <c r="M2177" i="1"/>
  <c r="O2176" i="1"/>
  <c r="O2176" i="1" a="1"/>
  <c r="N2176" i="1"/>
  <c r="M2176" i="1"/>
  <c r="O2175" i="1" a="1"/>
  <c r="O2175" i="1" s="1"/>
  <c r="N2175" i="1"/>
  <c r="M2175" i="1"/>
  <c r="O2174" i="1"/>
  <c r="O2174" i="1" a="1"/>
  <c r="N2174" i="1"/>
  <c r="M2174" i="1"/>
  <c r="O2173" i="1" a="1"/>
  <c r="O2173" i="1" s="1"/>
  <c r="N2173" i="1"/>
  <c r="M2173" i="1"/>
  <c r="O2172" i="1" a="1"/>
  <c r="O2172" i="1" s="1"/>
  <c r="N2172" i="1"/>
  <c r="M2172" i="1"/>
  <c r="O2171" i="1"/>
  <c r="O2171" i="1" a="1"/>
  <c r="N2171" i="1"/>
  <c r="M2171" i="1"/>
  <c r="O2170" i="1" a="1"/>
  <c r="O2170" i="1" s="1"/>
  <c r="N2170" i="1"/>
  <c r="M2170" i="1"/>
  <c r="O2169" i="1" a="1"/>
  <c r="O2169" i="1" s="1"/>
  <c r="N2169" i="1"/>
  <c r="M2169" i="1"/>
  <c r="O2168" i="1"/>
  <c r="O2168" i="1" a="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c r="O2159" i="1" a="1"/>
  <c r="N2159" i="1"/>
  <c r="M2159" i="1"/>
  <c r="O2158" i="1" a="1"/>
  <c r="O2158" i="1" s="1"/>
  <c r="N2158" i="1"/>
  <c r="M2158" i="1"/>
  <c r="O2157" i="1" a="1"/>
  <c r="O2157" i="1" s="1"/>
  <c r="N2157" i="1"/>
  <c r="M2157" i="1"/>
  <c r="O2156" i="1" a="1"/>
  <c r="O2156" i="1" s="1"/>
  <c r="N2156" i="1"/>
  <c r="M2156" i="1"/>
  <c r="O2155" i="1"/>
  <c r="O2155" i="1" a="1"/>
  <c r="N2155" i="1"/>
  <c r="M2155" i="1"/>
  <c r="O2154" i="1"/>
  <c r="O2154" i="1" a="1"/>
  <c r="N2154" i="1"/>
  <c r="M2154" i="1"/>
  <c r="O2153" i="1" a="1"/>
  <c r="O2153" i="1" s="1"/>
  <c r="N2153" i="1"/>
  <c r="M2153" i="1"/>
  <c r="O2152" i="1"/>
  <c r="O2152" i="1" a="1"/>
  <c r="N2152" i="1"/>
  <c r="M2152" i="1"/>
  <c r="O2151" i="1"/>
  <c r="O2151" i="1" a="1"/>
  <c r="N2151" i="1"/>
  <c r="M2151" i="1"/>
  <c r="O2150" i="1"/>
  <c r="O2150" i="1" a="1"/>
  <c r="N2150" i="1"/>
  <c r="M2150" i="1"/>
  <c r="O2149" i="1" a="1"/>
  <c r="O2149" i="1" s="1"/>
  <c r="N2149" i="1"/>
  <c r="M2149" i="1"/>
  <c r="O2148" i="1"/>
  <c r="O2148" i="1" a="1"/>
  <c r="N2148" i="1"/>
  <c r="M2148" i="1"/>
  <c r="O2147" i="1"/>
  <c r="O2147" i="1" a="1"/>
  <c r="N2147" i="1"/>
  <c r="M2147" i="1"/>
  <c r="O2146" i="1" a="1"/>
  <c r="O2146" i="1" s="1"/>
  <c r="N2146" i="1"/>
  <c r="M2146" i="1"/>
  <c r="O2145" i="1" a="1"/>
  <c r="O2145" i="1" s="1"/>
  <c r="N2145" i="1"/>
  <c r="M2145" i="1"/>
  <c r="O2144" i="1"/>
  <c r="O2144" i="1" a="1"/>
  <c r="N2144" i="1"/>
  <c r="M2144" i="1"/>
  <c r="O2143" i="1" a="1"/>
  <c r="O2143" i="1" s="1"/>
  <c r="N2143" i="1"/>
  <c r="M2143" i="1"/>
  <c r="O2142" i="1" a="1"/>
  <c r="O2142" i="1" s="1"/>
  <c r="N2142" i="1"/>
  <c r="M2142" i="1"/>
  <c r="O2141" i="1" a="1"/>
  <c r="O2141" i="1" s="1"/>
  <c r="N2141" i="1"/>
  <c r="M2141" i="1"/>
  <c r="O2140" i="1" a="1"/>
  <c r="O2140" i="1" s="1"/>
  <c r="N2140" i="1"/>
  <c r="M2140" i="1"/>
  <c r="O2139" i="1"/>
  <c r="O2139" i="1" a="1"/>
  <c r="N2139" i="1"/>
  <c r="M2139" i="1"/>
  <c r="O2138" i="1"/>
  <c r="O2138" i="1" a="1"/>
  <c r="N2138" i="1"/>
  <c r="M2138" i="1"/>
  <c r="O2137" i="1" a="1"/>
  <c r="O2137" i="1" s="1"/>
  <c r="N2137" i="1"/>
  <c r="M2137" i="1"/>
  <c r="O2136" i="1"/>
  <c r="O2136" i="1" a="1"/>
  <c r="N2136" i="1"/>
  <c r="M2136" i="1"/>
  <c r="O2135" i="1" a="1"/>
  <c r="O2135" i="1" s="1"/>
  <c r="N2135" i="1"/>
  <c r="M2135" i="1"/>
  <c r="O2134" i="1" a="1"/>
  <c r="O2134" i="1" s="1"/>
  <c r="N2134" i="1"/>
  <c r="M2134" i="1"/>
  <c r="O2133" i="1"/>
  <c r="O2133" i="1" a="1"/>
  <c r="N2133" i="1"/>
  <c r="M2133" i="1"/>
  <c r="O2132" i="1" a="1"/>
  <c r="O2132" i="1" s="1"/>
  <c r="N2132" i="1"/>
  <c r="M2132" i="1"/>
  <c r="O2131" i="1" a="1"/>
  <c r="O2131" i="1" s="1"/>
  <c r="N2131" i="1"/>
  <c r="M2131" i="1"/>
  <c r="O2130" i="1"/>
  <c r="O2130" i="1" a="1"/>
  <c r="N2130" i="1"/>
  <c r="M2130" i="1"/>
  <c r="O2129" i="1" a="1"/>
  <c r="O2129" i="1" s="1"/>
  <c r="N2129" i="1"/>
  <c r="M2129" i="1"/>
  <c r="O2128" i="1" a="1"/>
  <c r="O2128" i="1" s="1"/>
  <c r="N2128" i="1"/>
  <c r="M2128" i="1"/>
  <c r="O2127" i="1" a="1"/>
  <c r="O2127" i="1" s="1"/>
  <c r="N2127" i="1"/>
  <c r="M2127" i="1"/>
  <c r="O2126" i="1" a="1"/>
  <c r="O2126" i="1" s="1"/>
  <c r="N2126" i="1"/>
  <c r="M2126" i="1"/>
  <c r="O2125" i="1"/>
  <c r="O2125" i="1" a="1"/>
  <c r="N2125" i="1"/>
  <c r="M2125" i="1"/>
  <c r="O2124" i="1"/>
  <c r="O2124" i="1" a="1"/>
  <c r="N2124" i="1"/>
  <c r="M2124" i="1"/>
  <c r="O2123" i="1"/>
  <c r="O2123" i="1" a="1"/>
  <c r="N2123" i="1"/>
  <c r="M2123" i="1"/>
  <c r="O2122" i="1" a="1"/>
  <c r="O2122" i="1" s="1"/>
  <c r="N2122" i="1"/>
  <c r="M2122" i="1"/>
  <c r="O2121" i="1" a="1"/>
  <c r="O2121" i="1" s="1"/>
  <c r="N2121" i="1"/>
  <c r="M2121" i="1"/>
  <c r="O2120" i="1"/>
  <c r="O2120" i="1" a="1"/>
  <c r="N2120" i="1"/>
  <c r="M2120" i="1"/>
  <c r="O2119" i="1"/>
  <c r="O2119" i="1" a="1"/>
  <c r="N2119" i="1"/>
  <c r="M2119" i="1"/>
  <c r="O2118" i="1"/>
  <c r="O2118" i="1" a="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c r="O2112" i="1" a="1"/>
  <c r="N2112" i="1"/>
  <c r="M2112" i="1"/>
  <c r="O2111" i="1" a="1"/>
  <c r="O2111" i="1" s="1"/>
  <c r="N2111" i="1"/>
  <c r="M2111" i="1"/>
  <c r="O2110" i="1"/>
  <c r="O2110" i="1" a="1"/>
  <c r="N2110" i="1"/>
  <c r="M2110" i="1"/>
  <c r="O2109" i="1"/>
  <c r="O2109" i="1" a="1"/>
  <c r="N2109" i="1"/>
  <c r="M2109" i="1"/>
  <c r="O2108" i="1" a="1"/>
  <c r="O2108" i="1" s="1"/>
  <c r="N2108" i="1"/>
  <c r="M2108" i="1"/>
  <c r="O2107" i="1" a="1"/>
  <c r="O2107" i="1" s="1"/>
  <c r="N2107" i="1"/>
  <c r="M2107" i="1"/>
  <c r="O2106" i="1" a="1"/>
  <c r="O2106" i="1" s="1"/>
  <c r="N2106" i="1"/>
  <c r="M2106" i="1"/>
  <c r="O2105" i="1" a="1"/>
  <c r="O2105" i="1" s="1"/>
  <c r="N2105" i="1"/>
  <c r="M2105" i="1"/>
  <c r="O2104" i="1"/>
  <c r="O2104" i="1" a="1"/>
  <c r="N2104" i="1"/>
  <c r="M2104" i="1"/>
  <c r="O2103" i="1" a="1"/>
  <c r="O2103" i="1" s="1"/>
  <c r="N2103" i="1"/>
  <c r="M2103" i="1"/>
  <c r="O2102" i="1" a="1"/>
  <c r="O2102" i="1" s="1"/>
  <c r="N2102" i="1"/>
  <c r="M2102" i="1"/>
  <c r="O2101" i="1"/>
  <c r="O2101" i="1" a="1"/>
  <c r="N2101" i="1"/>
  <c r="M2101" i="1"/>
  <c r="O2100" i="1" a="1"/>
  <c r="O2100" i="1" s="1"/>
  <c r="N2100" i="1"/>
  <c r="M2100" i="1"/>
  <c r="O2099" i="1"/>
  <c r="O2099" i="1" a="1"/>
  <c r="N2099" i="1"/>
  <c r="M2099" i="1"/>
  <c r="O2098" i="1"/>
  <c r="O2098" i="1" a="1"/>
  <c r="N2098" i="1"/>
  <c r="M2098" i="1"/>
  <c r="O2097" i="1" a="1"/>
  <c r="O2097" i="1" s="1"/>
  <c r="N2097" i="1"/>
  <c r="M2097" i="1"/>
  <c r="O2096" i="1"/>
  <c r="O2096" i="1" a="1"/>
  <c r="N2096" i="1"/>
  <c r="M2096" i="1"/>
  <c r="O2095" i="1"/>
  <c r="O2095" i="1" a="1"/>
  <c r="N2095" i="1"/>
  <c r="M2095" i="1"/>
  <c r="O2094" i="1" a="1"/>
  <c r="O2094" i="1" s="1"/>
  <c r="N2094" i="1"/>
  <c r="M2094" i="1"/>
  <c r="O2093" i="1" a="1"/>
  <c r="O2093" i="1" s="1"/>
  <c r="N2093" i="1"/>
  <c r="M2093" i="1"/>
  <c r="O2092" i="1"/>
  <c r="O2092" i="1" a="1"/>
  <c r="N2092" i="1"/>
  <c r="M2092" i="1"/>
  <c r="O2091" i="1"/>
  <c r="O2091" i="1" a="1"/>
  <c r="N2091" i="1"/>
  <c r="M2091" i="1"/>
  <c r="O2090" i="1"/>
  <c r="O2090" i="1" a="1"/>
  <c r="N2090" i="1"/>
  <c r="M2090" i="1"/>
  <c r="O2089" i="1"/>
  <c r="O2089" i="1" a="1"/>
  <c r="N2089" i="1"/>
  <c r="M2089" i="1"/>
  <c r="O2088" i="1" a="1"/>
  <c r="O2088" i="1" s="1"/>
  <c r="N2088" i="1"/>
  <c r="M2088" i="1"/>
  <c r="O2087" i="1" a="1"/>
  <c r="O2087" i="1" s="1"/>
  <c r="N2087" i="1"/>
  <c r="M2087" i="1"/>
  <c r="O2086" i="1" a="1"/>
  <c r="O2086" i="1" s="1"/>
  <c r="N2086" i="1"/>
  <c r="M2086" i="1"/>
  <c r="O2085" i="1"/>
  <c r="O2085" i="1" a="1"/>
  <c r="N2085" i="1"/>
  <c r="M2085" i="1"/>
  <c r="O2084" i="1" a="1"/>
  <c r="O2084" i="1" s="1"/>
  <c r="N2084" i="1"/>
  <c r="M2084" i="1"/>
  <c r="O2083" i="1"/>
  <c r="O2083" i="1" a="1"/>
  <c r="N2083" i="1"/>
  <c r="M2083" i="1"/>
  <c r="O2082" i="1"/>
  <c r="O2082" i="1" a="1"/>
  <c r="N2082" i="1"/>
  <c r="M2082" i="1"/>
  <c r="O2081" i="1"/>
  <c r="O2081" i="1" a="1"/>
  <c r="N2081" i="1"/>
  <c r="M2081" i="1"/>
  <c r="O2080" i="1"/>
  <c r="O2080" i="1" a="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c r="O2071" i="1" a="1"/>
  <c r="N2071" i="1"/>
  <c r="M2071" i="1"/>
  <c r="O2070" i="1"/>
  <c r="O2070" i="1" a="1"/>
  <c r="N2070" i="1"/>
  <c r="M2070" i="1"/>
  <c r="O2069" i="1"/>
  <c r="O2069" i="1" a="1"/>
  <c r="N2069" i="1"/>
  <c r="M2069" i="1"/>
  <c r="O2068" i="1"/>
  <c r="O2068" i="1" a="1"/>
  <c r="N2068" i="1"/>
  <c r="M2068" i="1"/>
  <c r="O2067" i="1"/>
  <c r="O2067" i="1" a="1"/>
  <c r="N2067" i="1"/>
  <c r="M2067" i="1"/>
  <c r="O2066" i="1"/>
  <c r="O2066" i="1" a="1"/>
  <c r="N2066" i="1"/>
  <c r="M2066" i="1"/>
  <c r="O2065" i="1" a="1"/>
  <c r="O2065" i="1" s="1"/>
  <c r="N2065" i="1"/>
  <c r="M2065" i="1"/>
  <c r="O2064" i="1" a="1"/>
  <c r="O2064" i="1" s="1"/>
  <c r="N2064" i="1"/>
  <c r="M2064" i="1"/>
  <c r="O2063" i="1" a="1"/>
  <c r="O2063" i="1" s="1"/>
  <c r="N2063" i="1"/>
  <c r="M2063" i="1"/>
  <c r="O2062" i="1" a="1"/>
  <c r="O2062" i="1" s="1"/>
  <c r="N2062" i="1"/>
  <c r="M2062" i="1"/>
  <c r="O2061" i="1"/>
  <c r="O2061" i="1" a="1"/>
  <c r="N2061" i="1"/>
  <c r="M2061" i="1"/>
  <c r="O2060" i="1"/>
  <c r="O2060" i="1" a="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c r="O2053" i="1" a="1"/>
  <c r="N2053" i="1"/>
  <c r="M2053" i="1"/>
  <c r="O2052" i="1"/>
  <c r="O2052" i="1" a="1"/>
  <c r="N2052" i="1"/>
  <c r="M2052" i="1"/>
  <c r="O2051" i="1" a="1"/>
  <c r="O2051" i="1" s="1"/>
  <c r="N2051" i="1"/>
  <c r="M2051" i="1"/>
  <c r="O2050" i="1"/>
  <c r="O2050" i="1" a="1"/>
  <c r="N2050" i="1"/>
  <c r="M2050" i="1"/>
  <c r="O2049" i="1" a="1"/>
  <c r="O2049" i="1" s="1"/>
  <c r="N2049" i="1"/>
  <c r="M2049" i="1"/>
  <c r="O2048" i="1" a="1"/>
  <c r="O2048" i="1" s="1"/>
  <c r="N2048" i="1"/>
  <c r="M2048" i="1"/>
  <c r="O2047" i="1"/>
  <c r="O2047" i="1" a="1"/>
  <c r="N2047" i="1"/>
  <c r="M2047" i="1"/>
  <c r="O2046" i="1" a="1"/>
  <c r="O2046" i="1" s="1"/>
  <c r="N2046" i="1"/>
  <c r="M2046" i="1"/>
  <c r="O2045" i="1" a="1"/>
  <c r="O2045" i="1" s="1"/>
  <c r="N2045" i="1"/>
  <c r="M2045" i="1"/>
  <c r="O2044" i="1" a="1"/>
  <c r="O2044" i="1" s="1"/>
  <c r="N2044" i="1"/>
  <c r="M2044" i="1"/>
  <c r="O2043" i="1"/>
  <c r="O2043" i="1" a="1"/>
  <c r="N2043" i="1"/>
  <c r="M2043" i="1"/>
  <c r="O2042" i="1"/>
  <c r="O2042" i="1" a="1"/>
  <c r="N2042" i="1"/>
  <c r="M2042" i="1"/>
  <c r="O2041" i="1"/>
  <c r="O2041" i="1" a="1"/>
  <c r="N2041" i="1"/>
  <c r="M2041" i="1"/>
  <c r="O2040" i="1" a="1"/>
  <c r="O2040" i="1" s="1"/>
  <c r="N2040" i="1"/>
  <c r="M2040" i="1"/>
  <c r="O2039" i="1" a="1"/>
  <c r="O2039" i="1" s="1"/>
  <c r="N2039" i="1"/>
  <c r="M2039" i="1"/>
  <c r="O2038" i="1"/>
  <c r="O2038" i="1" a="1"/>
  <c r="N2038" i="1"/>
  <c r="M2038" i="1"/>
  <c r="O2037" i="1" a="1"/>
  <c r="O2037" i="1" s="1"/>
  <c r="N2037" i="1"/>
  <c r="M2037" i="1"/>
  <c r="O2036" i="1"/>
  <c r="O2036" i="1" a="1"/>
  <c r="N2036" i="1"/>
  <c r="M2036" i="1"/>
  <c r="O2035" i="1" a="1"/>
  <c r="O2035" i="1" s="1"/>
  <c r="N2035" i="1"/>
  <c r="M2035" i="1"/>
  <c r="O2034" i="1" a="1"/>
  <c r="O2034" i="1" s="1"/>
  <c r="N2034" i="1"/>
  <c r="M2034" i="1"/>
  <c r="O2033" i="1" a="1"/>
  <c r="O2033" i="1" s="1"/>
  <c r="N2033" i="1"/>
  <c r="M2033" i="1"/>
  <c r="O2032" i="1" a="1"/>
  <c r="O2032" i="1" s="1"/>
  <c r="N2032" i="1"/>
  <c r="M2032" i="1"/>
  <c r="O2031" i="1"/>
  <c r="O2031" i="1" a="1"/>
  <c r="N2031" i="1"/>
  <c r="M2031" i="1"/>
  <c r="O2030" i="1" a="1"/>
  <c r="O2030" i="1" s="1"/>
  <c r="N2030" i="1"/>
  <c r="M2030" i="1"/>
  <c r="O2029" i="1"/>
  <c r="O2029" i="1" a="1"/>
  <c r="N2029" i="1"/>
  <c r="M2029" i="1"/>
  <c r="O2028" i="1" a="1"/>
  <c r="O2028" i="1" s="1"/>
  <c r="N2028" i="1"/>
  <c r="M2028" i="1"/>
  <c r="O2027" i="1"/>
  <c r="O2027" i="1" a="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c r="O2021" i="1" a="1"/>
  <c r="N2021" i="1"/>
  <c r="M2021" i="1"/>
  <c r="O2020" i="1" a="1"/>
  <c r="O2020" i="1" s="1"/>
  <c r="N2020" i="1"/>
  <c r="M2020" i="1"/>
  <c r="O2019" i="1" a="1"/>
  <c r="O2019" i="1" s="1"/>
  <c r="N2019" i="1"/>
  <c r="M2019" i="1"/>
  <c r="O2018" i="1"/>
  <c r="O2018" i="1" a="1"/>
  <c r="N2018" i="1"/>
  <c r="M2018" i="1"/>
  <c r="O2017" i="1"/>
  <c r="O2017" i="1" a="1"/>
  <c r="N2017" i="1"/>
  <c r="M2017" i="1"/>
  <c r="O2016" i="1" a="1"/>
  <c r="O2016" i="1" s="1"/>
  <c r="N2016" i="1"/>
  <c r="M2016" i="1"/>
  <c r="O2015" i="1"/>
  <c r="O2015" i="1" a="1"/>
  <c r="N2015" i="1"/>
  <c r="M2015" i="1"/>
  <c r="O2014" i="1"/>
  <c r="O2014" i="1" a="1"/>
  <c r="N2014" i="1"/>
  <c r="M2014" i="1"/>
  <c r="O2013" i="1"/>
  <c r="O2013" i="1" a="1"/>
  <c r="N2013" i="1"/>
  <c r="M2013" i="1"/>
  <c r="O2012" i="1"/>
  <c r="O2012" i="1" a="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c r="O2005" i="1" a="1"/>
  <c r="N2005" i="1"/>
  <c r="M2005" i="1"/>
  <c r="O2004" i="1" a="1"/>
  <c r="O2004" i="1" s="1"/>
  <c r="N2004" i="1"/>
  <c r="M2004" i="1"/>
  <c r="O2003" i="1" a="1"/>
  <c r="O2003" i="1" s="1"/>
  <c r="N2003" i="1"/>
  <c r="M2003" i="1"/>
  <c r="O2002" i="1" a="1"/>
  <c r="O2002" i="1" s="1"/>
  <c r="N2002" i="1"/>
  <c r="M2002" i="1"/>
  <c r="O2001" i="1"/>
  <c r="O2001" i="1" a="1"/>
  <c r="N2001" i="1"/>
  <c r="M2001" i="1"/>
  <c r="O2000" i="1"/>
  <c r="O2000" i="1" a="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c r="O1992" i="1" a="1"/>
  <c r="N1992" i="1"/>
  <c r="M1992" i="1"/>
  <c r="O1991" i="1"/>
  <c r="O1991" i="1" a="1"/>
  <c r="N1991" i="1"/>
  <c r="M1991" i="1"/>
  <c r="O1990" i="1" a="1"/>
  <c r="O1990" i="1" s="1"/>
  <c r="N1990" i="1"/>
  <c r="M1990" i="1"/>
  <c r="O1989" i="1" a="1"/>
  <c r="O1989" i="1" s="1"/>
  <c r="N1989" i="1"/>
  <c r="M1989" i="1"/>
  <c r="O1988" i="1" a="1"/>
  <c r="O1988" i="1" s="1"/>
  <c r="N1988" i="1"/>
  <c r="M1988" i="1"/>
  <c r="O1987" i="1"/>
  <c r="O1987" i="1" a="1"/>
  <c r="N1987" i="1"/>
  <c r="M1987" i="1"/>
  <c r="O1986" i="1"/>
  <c r="O1986" i="1" a="1"/>
  <c r="N1986" i="1"/>
  <c r="M1986" i="1"/>
  <c r="O1985" i="1"/>
  <c r="O1985" i="1" a="1"/>
  <c r="N1985" i="1"/>
  <c r="M1985" i="1"/>
  <c r="O1984" i="1" a="1"/>
  <c r="O1984" i="1" s="1"/>
  <c r="N1984" i="1"/>
  <c r="M1984" i="1"/>
  <c r="O1983" i="1"/>
  <c r="O1983" i="1" a="1"/>
  <c r="N1983" i="1"/>
  <c r="M1983" i="1"/>
  <c r="O1982" i="1"/>
  <c r="O1982" i="1" a="1"/>
  <c r="N1982" i="1"/>
  <c r="M1982" i="1"/>
  <c r="O1981" i="1" a="1"/>
  <c r="O1981" i="1" s="1"/>
  <c r="N1981" i="1"/>
  <c r="M1981" i="1"/>
  <c r="O1980" i="1"/>
  <c r="O1980" i="1" a="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c r="O1973" i="1" a="1"/>
  <c r="N1973" i="1"/>
  <c r="M1973" i="1"/>
  <c r="O1972" i="1"/>
  <c r="O1972" i="1" a="1"/>
  <c r="N1972" i="1"/>
  <c r="M1972" i="1"/>
  <c r="O1971" i="1"/>
  <c r="O1971" i="1" a="1"/>
  <c r="N1971" i="1"/>
  <c r="M1971" i="1"/>
  <c r="O1970" i="1" a="1"/>
  <c r="O1970" i="1" s="1"/>
  <c r="N1970" i="1"/>
  <c r="M1970" i="1"/>
  <c r="O1969" i="1"/>
  <c r="O1969" i="1" a="1"/>
  <c r="N1969" i="1"/>
  <c r="M1969" i="1"/>
  <c r="O1968" i="1" a="1"/>
  <c r="O1968" i="1" s="1"/>
  <c r="N1968" i="1"/>
  <c r="M1968" i="1"/>
  <c r="O1967" i="1" a="1"/>
  <c r="O1967" i="1" s="1"/>
  <c r="N1967" i="1"/>
  <c r="M1967" i="1"/>
  <c r="O1966" i="1" a="1"/>
  <c r="O1966" i="1" s="1"/>
  <c r="N1966" i="1"/>
  <c r="M1966" i="1"/>
  <c r="O1965" i="1" a="1"/>
  <c r="O1965" i="1" s="1"/>
  <c r="N1965" i="1"/>
  <c r="M1965" i="1"/>
  <c r="O1964" i="1"/>
  <c r="O1964" i="1" a="1"/>
  <c r="N1964" i="1"/>
  <c r="M1964" i="1"/>
  <c r="O1963" i="1"/>
  <c r="O1963" i="1" a="1"/>
  <c r="N1963" i="1"/>
  <c r="M1963" i="1"/>
  <c r="O1962" i="1"/>
  <c r="O1962" i="1" a="1"/>
  <c r="N1962" i="1"/>
  <c r="M1962" i="1"/>
  <c r="O1961" i="1" a="1"/>
  <c r="O1961" i="1" s="1"/>
  <c r="N1961" i="1"/>
  <c r="M1961" i="1"/>
  <c r="O1960" i="1" a="1"/>
  <c r="O1960" i="1" s="1"/>
  <c r="N1960" i="1"/>
  <c r="M1960" i="1"/>
  <c r="O1959" i="1" a="1"/>
  <c r="O1959" i="1" s="1"/>
  <c r="N1959" i="1"/>
  <c r="M1959" i="1"/>
  <c r="O1958" i="1" a="1"/>
  <c r="O1958" i="1" s="1"/>
  <c r="N1958" i="1"/>
  <c r="M1958" i="1"/>
  <c r="O1957" i="1"/>
  <c r="O1957" i="1" a="1"/>
  <c r="N1957" i="1"/>
  <c r="M1957" i="1"/>
  <c r="O1956" i="1"/>
  <c r="O1956" i="1" a="1"/>
  <c r="N1956" i="1"/>
  <c r="M1956" i="1"/>
  <c r="O1955" i="1" a="1"/>
  <c r="O1955" i="1" s="1"/>
  <c r="N1955" i="1"/>
  <c r="M1955" i="1"/>
  <c r="O1954" i="1"/>
  <c r="O1954" i="1" a="1"/>
  <c r="N1954" i="1"/>
  <c r="M1954" i="1"/>
  <c r="O1953" i="1" a="1"/>
  <c r="O1953" i="1" s="1"/>
  <c r="N1953" i="1"/>
  <c r="M1953" i="1"/>
  <c r="O1952" i="1"/>
  <c r="O1952" i="1" a="1"/>
  <c r="N1952" i="1"/>
  <c r="M1952" i="1"/>
  <c r="O1951" i="1"/>
  <c r="O1951" i="1" a="1"/>
  <c r="N1951" i="1"/>
  <c r="M1951" i="1"/>
  <c r="O1950" i="1" a="1"/>
  <c r="O1950" i="1" s="1"/>
  <c r="N1950" i="1"/>
  <c r="M1950" i="1"/>
  <c r="O1949" i="1" a="1"/>
  <c r="O1949" i="1" s="1"/>
  <c r="N1949" i="1"/>
  <c r="M1949" i="1"/>
  <c r="O1948" i="1"/>
  <c r="O1948" i="1" a="1"/>
  <c r="N1948" i="1"/>
  <c r="M1948" i="1"/>
  <c r="O1947" i="1"/>
  <c r="O1947" i="1" a="1"/>
  <c r="N1947" i="1"/>
  <c r="M1947" i="1"/>
  <c r="O1946" i="1" a="1"/>
  <c r="O1946" i="1" s="1"/>
  <c r="N1946" i="1"/>
  <c r="M1946" i="1"/>
  <c r="O1945" i="1"/>
  <c r="O1945" i="1" a="1"/>
  <c r="N1945" i="1"/>
  <c r="M1945" i="1"/>
  <c r="O1944" i="1"/>
  <c r="O1944" i="1" a="1"/>
  <c r="N1944" i="1"/>
  <c r="M1944" i="1"/>
  <c r="O1943" i="1"/>
  <c r="O1943" i="1" a="1"/>
  <c r="N1943" i="1"/>
  <c r="M1943" i="1"/>
  <c r="O1942" i="1" a="1"/>
  <c r="O1942" i="1" s="1"/>
  <c r="N1942" i="1"/>
  <c r="M1942" i="1"/>
  <c r="O1941" i="1" a="1"/>
  <c r="O1941" i="1" s="1"/>
  <c r="N1941" i="1"/>
  <c r="M1941" i="1"/>
  <c r="O1940" i="1" a="1"/>
  <c r="O1940" i="1" s="1"/>
  <c r="N1940" i="1"/>
  <c r="M1940" i="1"/>
  <c r="O1939" i="1" a="1"/>
  <c r="O1939" i="1" s="1"/>
  <c r="N1939" i="1"/>
  <c r="M1939" i="1"/>
  <c r="O1938" i="1"/>
  <c r="O1938" i="1" a="1"/>
  <c r="N1938" i="1"/>
  <c r="M1938" i="1"/>
  <c r="O1937" i="1"/>
  <c r="O1937" i="1" a="1"/>
  <c r="N1937" i="1"/>
  <c r="M1937" i="1"/>
  <c r="O1936" i="1" a="1"/>
  <c r="O1936" i="1" s="1"/>
  <c r="N1936" i="1"/>
  <c r="M1936" i="1"/>
  <c r="O1935" i="1" a="1"/>
  <c r="O1935" i="1" s="1"/>
  <c r="N1935" i="1"/>
  <c r="M1935" i="1"/>
  <c r="O1934" i="1"/>
  <c r="O1934" i="1" a="1"/>
  <c r="N1934" i="1"/>
  <c r="M1934" i="1"/>
  <c r="O1933" i="1" a="1"/>
  <c r="O1933" i="1" s="1"/>
  <c r="N1933" i="1"/>
  <c r="M1933" i="1"/>
  <c r="O1932" i="1" a="1"/>
  <c r="O1932" i="1" s="1"/>
  <c r="N1932" i="1"/>
  <c r="M1932" i="1"/>
  <c r="O1931" i="1" a="1"/>
  <c r="O1931" i="1" s="1"/>
  <c r="N1931" i="1"/>
  <c r="M1931" i="1"/>
  <c r="O1930" i="1"/>
  <c r="O1930" i="1" a="1"/>
  <c r="N1930" i="1"/>
  <c r="M1930" i="1"/>
  <c r="O1929" i="1"/>
  <c r="O1929" i="1" a="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c r="O1922" i="1" a="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c r="O1914" i="1" a="1"/>
  <c r="N1914" i="1"/>
  <c r="M1914" i="1"/>
  <c r="O1913" i="1" a="1"/>
  <c r="O1913" i="1" s="1"/>
  <c r="N1913" i="1"/>
  <c r="M1913" i="1"/>
  <c r="O1912" i="1" a="1"/>
  <c r="O1912" i="1" s="1"/>
  <c r="N1912" i="1"/>
  <c r="M1912" i="1"/>
  <c r="O1911" i="1" a="1"/>
  <c r="O1911" i="1" s="1"/>
  <c r="N1911" i="1"/>
  <c r="M1911" i="1"/>
  <c r="O1910" i="1" a="1"/>
  <c r="O1910" i="1" s="1"/>
  <c r="N1910" i="1"/>
  <c r="M1910" i="1"/>
  <c r="O1909" i="1"/>
  <c r="O1909" i="1" a="1"/>
  <c r="N1909" i="1"/>
  <c r="M1909" i="1"/>
  <c r="O1908" i="1"/>
  <c r="O1908" i="1" a="1"/>
  <c r="N1908" i="1"/>
  <c r="M1908" i="1"/>
  <c r="O1907" i="1" a="1"/>
  <c r="O1907" i="1" s="1"/>
  <c r="N1907" i="1"/>
  <c r="M1907" i="1"/>
  <c r="O1906" i="1" a="1"/>
  <c r="O1906" i="1" s="1"/>
  <c r="N1906" i="1"/>
  <c r="M1906" i="1"/>
  <c r="O1905" i="1"/>
  <c r="O1905" i="1" a="1"/>
  <c r="N1905" i="1"/>
  <c r="M1905" i="1"/>
  <c r="O1904" i="1" a="1"/>
  <c r="O1904" i="1" s="1"/>
  <c r="N1904" i="1"/>
  <c r="M1904" i="1"/>
  <c r="O1903" i="1"/>
  <c r="O1903" i="1" a="1"/>
  <c r="N1903" i="1"/>
  <c r="M1903" i="1"/>
  <c r="O1902" i="1"/>
  <c r="O1902" i="1" a="1"/>
  <c r="N1902" i="1"/>
  <c r="M1902" i="1"/>
  <c r="O1901" i="1" a="1"/>
  <c r="O1901" i="1" s="1"/>
  <c r="N1901" i="1"/>
  <c r="M1901" i="1"/>
  <c r="O1900" i="1" a="1"/>
  <c r="O1900" i="1" s="1"/>
  <c r="N1900" i="1"/>
  <c r="M1900" i="1"/>
  <c r="O1899" i="1"/>
  <c r="O1899" i="1" a="1"/>
  <c r="N1899" i="1"/>
  <c r="M1899" i="1"/>
  <c r="O1898" i="1" a="1"/>
  <c r="O1898" i="1" s="1"/>
  <c r="N1898" i="1"/>
  <c r="M1898" i="1"/>
  <c r="O1897" i="1" a="1"/>
  <c r="O1897" i="1" s="1"/>
  <c r="N1897" i="1"/>
  <c r="M1897" i="1"/>
  <c r="O1896" i="1" a="1"/>
  <c r="O1896" i="1" s="1"/>
  <c r="N1896" i="1"/>
  <c r="M1896" i="1"/>
  <c r="O1895" i="1" a="1"/>
  <c r="O1895" i="1" s="1"/>
  <c r="N1895" i="1"/>
  <c r="M1895" i="1"/>
  <c r="O1894" i="1"/>
  <c r="O1894" i="1" a="1"/>
  <c r="N1894" i="1"/>
  <c r="M1894" i="1"/>
  <c r="O1893" i="1"/>
  <c r="O1893" i="1" a="1"/>
  <c r="N1893" i="1"/>
  <c r="M1893" i="1"/>
  <c r="O1892" i="1" a="1"/>
  <c r="O1892" i="1" s="1"/>
  <c r="N1892" i="1"/>
  <c r="M1892" i="1"/>
  <c r="O1891" i="1" a="1"/>
  <c r="O1891" i="1" s="1"/>
  <c r="N1891" i="1"/>
  <c r="M1891" i="1"/>
  <c r="O1890" i="1" a="1"/>
  <c r="O1890" i="1" s="1"/>
  <c r="N1890" i="1"/>
  <c r="M1890" i="1"/>
  <c r="O1889" i="1"/>
  <c r="O1889" i="1" a="1"/>
  <c r="N1889" i="1"/>
  <c r="M1889" i="1"/>
  <c r="O1888" i="1" a="1"/>
  <c r="O1888" i="1" s="1"/>
  <c r="N1888" i="1"/>
  <c r="M1888" i="1"/>
  <c r="O1887" i="1" a="1"/>
  <c r="O1887" i="1" s="1"/>
  <c r="N1887" i="1"/>
  <c r="M1887" i="1"/>
  <c r="O1886" i="1"/>
  <c r="O1886" i="1" a="1"/>
  <c r="N1886" i="1"/>
  <c r="M1886" i="1"/>
  <c r="O1885" i="1"/>
  <c r="O1885" i="1" a="1"/>
  <c r="N1885" i="1"/>
  <c r="M1885" i="1"/>
  <c r="O1884" i="1"/>
  <c r="O1884" i="1" a="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c r="O1877" i="1" a="1"/>
  <c r="N1877" i="1"/>
  <c r="M1877" i="1"/>
  <c r="O1876" i="1" a="1"/>
  <c r="O1876" i="1" s="1"/>
  <c r="N1876" i="1"/>
  <c r="M1876" i="1"/>
  <c r="O1875" i="1" a="1"/>
  <c r="O1875" i="1" s="1"/>
  <c r="N1875" i="1"/>
  <c r="M1875" i="1"/>
  <c r="O1874" i="1"/>
  <c r="O1874" i="1" a="1"/>
  <c r="N1874" i="1"/>
  <c r="M1874" i="1"/>
  <c r="O1873" i="1"/>
  <c r="O1873" i="1" a="1"/>
  <c r="N1873" i="1"/>
  <c r="M1873" i="1"/>
  <c r="O1872" i="1" a="1"/>
  <c r="O1872" i="1" s="1"/>
  <c r="N1872" i="1"/>
  <c r="M1872" i="1"/>
  <c r="O1871" i="1" a="1"/>
  <c r="O1871" i="1" s="1"/>
  <c r="N1871" i="1"/>
  <c r="M1871" i="1"/>
  <c r="O1870" i="1" a="1"/>
  <c r="O1870" i="1" s="1"/>
  <c r="N1870" i="1"/>
  <c r="M1870" i="1"/>
  <c r="O1869" i="1" a="1"/>
  <c r="O1869" i="1" s="1"/>
  <c r="N1869" i="1"/>
  <c r="M1869" i="1"/>
  <c r="O1868" i="1"/>
  <c r="O1868" i="1" a="1"/>
  <c r="N1868" i="1"/>
  <c r="M1868" i="1"/>
  <c r="O1867" i="1" a="1"/>
  <c r="O1867" i="1" s="1"/>
  <c r="N1867" i="1"/>
  <c r="M1867" i="1"/>
  <c r="O1866" i="1" a="1"/>
  <c r="O1866" i="1" s="1"/>
  <c r="N1866" i="1"/>
  <c r="M1866" i="1"/>
  <c r="O1865" i="1" a="1"/>
  <c r="O1865" i="1" s="1"/>
  <c r="N1865" i="1"/>
  <c r="M1865" i="1"/>
  <c r="O1864" i="1"/>
  <c r="O1864" i="1" a="1"/>
  <c r="N1864" i="1"/>
  <c r="M1864" i="1"/>
  <c r="O1863" i="1" a="1"/>
  <c r="O1863" i="1" s="1"/>
  <c r="N1863" i="1"/>
  <c r="M1863" i="1"/>
  <c r="O1862" i="1" a="1"/>
  <c r="O1862" i="1" s="1"/>
  <c r="N1862" i="1"/>
  <c r="M1862" i="1"/>
  <c r="O1861" i="1" a="1"/>
  <c r="O1861" i="1" s="1"/>
  <c r="N1861" i="1"/>
  <c r="M1861" i="1"/>
  <c r="O1860" i="1"/>
  <c r="O1860" i="1" a="1"/>
  <c r="N1860" i="1"/>
  <c r="M1860" i="1"/>
  <c r="O1859" i="1" a="1"/>
  <c r="O1859" i="1" s="1"/>
  <c r="N1859" i="1"/>
  <c r="M1859" i="1"/>
  <c r="O1858" i="1" a="1"/>
  <c r="O1858" i="1" s="1"/>
  <c r="N1858" i="1"/>
  <c r="M1858" i="1"/>
  <c r="O1857" i="1" a="1"/>
  <c r="O1857" i="1" s="1"/>
  <c r="N1857" i="1"/>
  <c r="M1857" i="1"/>
  <c r="O1856" i="1"/>
  <c r="O1856" i="1" a="1"/>
  <c r="N1856" i="1"/>
  <c r="M1856" i="1"/>
  <c r="O1855" i="1" a="1"/>
  <c r="O1855" i="1" s="1"/>
  <c r="N1855" i="1"/>
  <c r="M1855" i="1"/>
  <c r="O1854" i="1"/>
  <c r="O1854" i="1" a="1"/>
  <c r="N1854" i="1"/>
  <c r="M1854" i="1"/>
  <c r="O1853" i="1" a="1"/>
  <c r="O1853" i="1" s="1"/>
  <c r="N1853" i="1"/>
  <c r="M1853" i="1"/>
  <c r="O1852" i="1" a="1"/>
  <c r="O1852" i="1" s="1"/>
  <c r="N1852" i="1"/>
  <c r="M1852" i="1"/>
  <c r="O1851" i="1"/>
  <c r="O1851" i="1" a="1"/>
  <c r="N1851" i="1"/>
  <c r="M1851" i="1"/>
  <c r="O1850" i="1" a="1"/>
  <c r="O1850" i="1" s="1"/>
  <c r="N1850" i="1"/>
  <c r="M1850" i="1"/>
  <c r="O1849" i="1" a="1"/>
  <c r="O1849" i="1" s="1"/>
  <c r="N1849" i="1"/>
  <c r="M1849" i="1"/>
  <c r="O1848" i="1" a="1"/>
  <c r="O1848" i="1" s="1"/>
  <c r="N1848" i="1"/>
  <c r="M1848" i="1"/>
  <c r="O1847" i="1" a="1"/>
  <c r="O1847" i="1" s="1"/>
  <c r="N1847" i="1"/>
  <c r="M1847" i="1"/>
  <c r="O1846" i="1"/>
  <c r="O1846" i="1" a="1"/>
  <c r="N1846" i="1"/>
  <c r="M1846" i="1"/>
  <c r="O1845" i="1"/>
  <c r="O1845" i="1" a="1"/>
  <c r="N1845" i="1"/>
  <c r="M1845" i="1"/>
  <c r="O1844" i="1" a="1"/>
  <c r="O1844" i="1" s="1"/>
  <c r="N1844" i="1"/>
  <c r="M1844" i="1"/>
  <c r="O1843" i="1" a="1"/>
  <c r="O1843" i="1" s="1"/>
  <c r="N1843" i="1"/>
  <c r="M1843" i="1"/>
  <c r="O1842" i="1"/>
  <c r="O1842" i="1" a="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c r="O1836" i="1" a="1"/>
  <c r="N1836" i="1"/>
  <c r="M1836" i="1"/>
  <c r="O1835" i="1"/>
  <c r="O1835" i="1" a="1"/>
  <c r="N1835" i="1"/>
  <c r="M1835" i="1"/>
  <c r="O1834" i="1" a="1"/>
  <c r="O1834" i="1" s="1"/>
  <c r="N1834" i="1"/>
  <c r="M1834" i="1"/>
  <c r="O1833" i="1"/>
  <c r="O1833" i="1" a="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c r="O1825" i="1" a="1"/>
  <c r="N1825" i="1"/>
  <c r="M1825" i="1"/>
  <c r="O1824" i="1" a="1"/>
  <c r="O1824" i="1" s="1"/>
  <c r="N1824" i="1"/>
  <c r="M1824" i="1"/>
  <c r="O1823" i="1" a="1"/>
  <c r="O1823" i="1" s="1"/>
  <c r="N1823" i="1"/>
  <c r="M1823" i="1"/>
  <c r="O1822" i="1" a="1"/>
  <c r="O1822" i="1" s="1"/>
  <c r="N1822" i="1"/>
  <c r="M1822" i="1"/>
  <c r="O1821" i="1"/>
  <c r="O1821" i="1" a="1"/>
  <c r="N1821" i="1"/>
  <c r="M1821" i="1"/>
  <c r="O1820" i="1" a="1"/>
  <c r="O1820" i="1" s="1"/>
  <c r="N1820" i="1"/>
  <c r="M1820" i="1"/>
  <c r="O1819" i="1" a="1"/>
  <c r="O1819" i="1" s="1"/>
  <c r="N1819" i="1"/>
  <c r="M1819" i="1"/>
  <c r="O1818" i="1"/>
  <c r="O1818" i="1" a="1"/>
  <c r="N1818" i="1"/>
  <c r="M1818" i="1"/>
  <c r="O1817" i="1"/>
  <c r="O1817" i="1" a="1"/>
  <c r="N1817" i="1"/>
  <c r="M1817" i="1"/>
  <c r="O1816" i="1"/>
  <c r="O1816" i="1" a="1"/>
  <c r="N1816" i="1"/>
  <c r="M1816" i="1"/>
  <c r="O1815" i="1"/>
  <c r="O1815" i="1" a="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c r="O1809" i="1" a="1"/>
  <c r="N1809" i="1"/>
  <c r="M1809" i="1"/>
  <c r="O1808" i="1" a="1"/>
  <c r="O1808" i="1" s="1"/>
  <c r="N1808" i="1"/>
  <c r="M1808" i="1"/>
  <c r="O1807" i="1" a="1"/>
  <c r="O1807" i="1" s="1"/>
  <c r="N1807" i="1"/>
  <c r="M1807" i="1"/>
  <c r="O1806" i="1"/>
  <c r="O1806" i="1" a="1"/>
  <c r="N1806" i="1"/>
  <c r="M1806" i="1"/>
  <c r="O1805" i="1" a="1"/>
  <c r="O1805" i="1" s="1"/>
  <c r="N1805" i="1"/>
  <c r="M1805" i="1"/>
  <c r="O1804" i="1"/>
  <c r="O1804" i="1" a="1"/>
  <c r="N1804" i="1"/>
  <c r="M1804" i="1"/>
  <c r="O1803" i="1"/>
  <c r="O1803" i="1" a="1"/>
  <c r="N1803" i="1"/>
  <c r="M1803" i="1"/>
  <c r="O1802" i="1" a="1"/>
  <c r="O1802" i="1" s="1"/>
  <c r="N1802" i="1"/>
  <c r="M1802" i="1"/>
  <c r="O1801" i="1"/>
  <c r="O1801" i="1" a="1"/>
  <c r="N1801" i="1"/>
  <c r="M1801" i="1"/>
  <c r="O1800" i="1" a="1"/>
  <c r="O1800" i="1" s="1"/>
  <c r="N1800" i="1"/>
  <c r="M1800" i="1"/>
  <c r="O1799" i="1"/>
  <c r="O1799" i="1" a="1"/>
  <c r="N1799" i="1"/>
  <c r="M1799" i="1"/>
  <c r="O1798" i="1" a="1"/>
  <c r="O1798" i="1" s="1"/>
  <c r="N1798" i="1"/>
  <c r="M1798" i="1"/>
  <c r="O1797" i="1"/>
  <c r="O1797" i="1" a="1"/>
  <c r="N1797" i="1"/>
  <c r="M1797" i="1"/>
  <c r="O1796" i="1"/>
  <c r="O1796" i="1" a="1"/>
  <c r="N1796" i="1"/>
  <c r="M1796" i="1"/>
  <c r="O1795" i="1"/>
  <c r="O1795" i="1" a="1"/>
  <c r="N1795" i="1"/>
  <c r="M1795" i="1"/>
  <c r="O1794" i="1" a="1"/>
  <c r="O1794" i="1" s="1"/>
  <c r="N1794" i="1"/>
  <c r="M1794" i="1"/>
  <c r="O1793" i="1"/>
  <c r="O1793" i="1" a="1"/>
  <c r="N1793" i="1"/>
  <c r="M1793" i="1"/>
  <c r="O1792" i="1"/>
  <c r="O1792" i="1" a="1"/>
  <c r="N1792" i="1"/>
  <c r="M1792" i="1"/>
  <c r="O1791" i="1" a="1"/>
  <c r="O1791" i="1" s="1"/>
  <c r="N1791" i="1"/>
  <c r="M1791" i="1"/>
  <c r="O1790" i="1" a="1"/>
  <c r="O1790" i="1" s="1"/>
  <c r="N1790" i="1"/>
  <c r="M1790" i="1"/>
  <c r="O1789" i="1"/>
  <c r="O1789" i="1" a="1"/>
  <c r="N1789" i="1"/>
  <c r="M1789" i="1"/>
  <c r="O1788" i="1" a="1"/>
  <c r="O1788" i="1" s="1"/>
  <c r="N1788" i="1"/>
  <c r="M1788" i="1"/>
  <c r="O1787" i="1" a="1"/>
  <c r="O1787" i="1" s="1"/>
  <c r="N1787" i="1"/>
  <c r="M1787" i="1"/>
  <c r="O1786" i="1" a="1"/>
  <c r="O1786" i="1" s="1"/>
  <c r="N1786" i="1"/>
  <c r="M1786" i="1"/>
  <c r="O1785" i="1"/>
  <c r="O1785" i="1" a="1"/>
  <c r="N1785" i="1"/>
  <c r="M1785" i="1"/>
  <c r="O1784" i="1" a="1"/>
  <c r="O1784" i="1" s="1"/>
  <c r="N1784" i="1"/>
  <c r="M1784" i="1"/>
  <c r="O1783" i="1"/>
  <c r="O1783" i="1" a="1"/>
  <c r="N1783" i="1"/>
  <c r="M1783" i="1"/>
  <c r="O1782" i="1" a="1"/>
  <c r="O1782" i="1" s="1"/>
  <c r="N1782" i="1"/>
  <c r="M1782" i="1"/>
  <c r="O1781" i="1" a="1"/>
  <c r="O1781" i="1" s="1"/>
  <c r="N1781" i="1"/>
  <c r="M1781" i="1"/>
  <c r="O1780" i="1" a="1"/>
  <c r="O1780" i="1" s="1"/>
  <c r="N1780" i="1"/>
  <c r="M1780" i="1"/>
  <c r="O1779" i="1" a="1"/>
  <c r="O1779" i="1" s="1"/>
  <c r="N1779" i="1"/>
  <c r="M1779" i="1"/>
  <c r="O1778" i="1"/>
  <c r="O1778" i="1" a="1"/>
  <c r="N1778" i="1"/>
  <c r="M1778" i="1"/>
  <c r="O1777" i="1" a="1"/>
  <c r="O1777" i="1" s="1"/>
  <c r="N1777" i="1"/>
  <c r="M1777" i="1"/>
  <c r="O1776" i="1" a="1"/>
  <c r="O1776" i="1" s="1"/>
  <c r="N1776" i="1"/>
  <c r="M1776" i="1"/>
  <c r="O1775" i="1" a="1"/>
  <c r="O1775" i="1" s="1"/>
  <c r="N1775" i="1"/>
  <c r="M1775" i="1"/>
  <c r="O1774" i="1"/>
  <c r="O1774" i="1" a="1"/>
  <c r="N1774" i="1"/>
  <c r="M1774" i="1"/>
  <c r="O1773" i="1" a="1"/>
  <c r="O1773" i="1" s="1"/>
  <c r="N1773" i="1"/>
  <c r="M1773" i="1"/>
  <c r="O1772" i="1" a="1"/>
  <c r="O1772" i="1" s="1"/>
  <c r="N1772" i="1"/>
  <c r="M1772" i="1"/>
  <c r="O1771" i="1"/>
  <c r="O1771" i="1" a="1"/>
  <c r="N1771" i="1"/>
  <c r="M1771" i="1"/>
  <c r="O1770" i="1" a="1"/>
  <c r="O1770" i="1" s="1"/>
  <c r="N1770" i="1"/>
  <c r="M1770" i="1"/>
  <c r="O1769" i="1" a="1"/>
  <c r="O1769" i="1" s="1"/>
  <c r="N1769" i="1"/>
  <c r="M1769" i="1"/>
  <c r="O1768" i="1"/>
  <c r="O1768" i="1" a="1"/>
  <c r="N1768" i="1"/>
  <c r="M1768" i="1"/>
  <c r="O1767" i="1"/>
  <c r="O1767" i="1" a="1"/>
  <c r="N1767" i="1"/>
  <c r="M1767" i="1"/>
  <c r="O1766" i="1" a="1"/>
  <c r="O1766" i="1" s="1"/>
  <c r="N1766" i="1"/>
  <c r="M1766" i="1"/>
  <c r="O1765" i="1"/>
  <c r="O1765" i="1" a="1"/>
  <c r="N1765" i="1"/>
  <c r="M1765" i="1"/>
  <c r="O1764" i="1"/>
  <c r="O1764" i="1" a="1"/>
  <c r="N1764" i="1"/>
  <c r="M1764" i="1"/>
  <c r="O1763" i="1" a="1"/>
  <c r="O1763" i="1" s="1"/>
  <c r="N1763" i="1"/>
  <c r="M1763" i="1"/>
  <c r="O1762" i="1" a="1"/>
  <c r="O1762" i="1" s="1"/>
  <c r="N1762" i="1"/>
  <c r="M1762" i="1"/>
  <c r="O1761" i="1" a="1"/>
  <c r="O1761" i="1" s="1"/>
  <c r="N1761" i="1"/>
  <c r="M1761" i="1"/>
  <c r="O1760" i="1"/>
  <c r="O1760" i="1" a="1"/>
  <c r="N1760" i="1"/>
  <c r="M1760" i="1"/>
  <c r="O1759" i="1" a="1"/>
  <c r="O1759" i="1" s="1"/>
  <c r="N1759" i="1"/>
  <c r="M1759" i="1"/>
  <c r="O1758" i="1" a="1"/>
  <c r="O1758" i="1" s="1"/>
  <c r="N1758" i="1"/>
  <c r="M1758" i="1"/>
  <c r="O1757" i="1"/>
  <c r="O1757" i="1" a="1"/>
  <c r="N1757" i="1"/>
  <c r="M1757" i="1"/>
  <c r="O1756" i="1" a="1"/>
  <c r="O1756" i="1" s="1"/>
  <c r="N1756" i="1"/>
  <c r="M1756" i="1"/>
  <c r="O1755" i="1"/>
  <c r="O1755" i="1" a="1"/>
  <c r="N1755" i="1"/>
  <c r="M1755" i="1"/>
  <c r="O1754" i="1"/>
  <c r="O1754" i="1" a="1"/>
  <c r="N1754" i="1"/>
  <c r="M1754" i="1"/>
  <c r="O1753" i="1" a="1"/>
  <c r="O1753" i="1" s="1"/>
  <c r="N1753" i="1"/>
  <c r="M1753" i="1"/>
  <c r="O1752" i="1" a="1"/>
  <c r="O1752" i="1" s="1"/>
  <c r="N1752" i="1"/>
  <c r="M1752" i="1"/>
  <c r="O1751" i="1"/>
  <c r="O1751" i="1" a="1"/>
  <c r="N1751" i="1"/>
  <c r="M1751" i="1"/>
  <c r="O1750" i="1"/>
  <c r="O1750" i="1" a="1"/>
  <c r="N1750" i="1"/>
  <c r="M1750" i="1"/>
  <c r="O1749" i="1" a="1"/>
  <c r="O1749" i="1" s="1"/>
  <c r="N1749" i="1"/>
  <c r="M1749" i="1"/>
  <c r="O1748" i="1" a="1"/>
  <c r="O1748" i="1" s="1"/>
  <c r="N1748" i="1"/>
  <c r="M1748" i="1"/>
  <c r="O1747" i="1"/>
  <c r="O1747" i="1" a="1"/>
  <c r="N1747" i="1"/>
  <c r="M1747" i="1"/>
  <c r="O1746" i="1"/>
  <c r="O1746" i="1" a="1"/>
  <c r="N1746" i="1"/>
  <c r="M1746" i="1"/>
  <c r="O1745" i="1"/>
  <c r="O1745" i="1" a="1"/>
  <c r="N1745" i="1"/>
  <c r="M1745" i="1"/>
  <c r="O1744" i="1"/>
  <c r="O1744" i="1" a="1"/>
  <c r="N1744" i="1"/>
  <c r="M1744" i="1"/>
  <c r="O1743" i="1"/>
  <c r="O1743" i="1" a="1"/>
  <c r="N1743" i="1"/>
  <c r="M1743" i="1"/>
  <c r="O1742" i="1" a="1"/>
  <c r="O1742" i="1" s="1"/>
  <c r="N1742" i="1"/>
  <c r="M1742" i="1"/>
  <c r="O1741" i="1" a="1"/>
  <c r="O1741" i="1" s="1"/>
  <c r="N1741" i="1"/>
  <c r="M1741" i="1"/>
  <c r="O1740" i="1" a="1"/>
  <c r="O1740" i="1" s="1"/>
  <c r="N1740" i="1"/>
  <c r="M1740" i="1"/>
  <c r="O1739" i="1"/>
  <c r="O1739" i="1" a="1"/>
  <c r="N1739" i="1"/>
  <c r="M1739" i="1"/>
  <c r="O1738" i="1" a="1"/>
  <c r="O1738" i="1" s="1"/>
  <c r="N1738" i="1"/>
  <c r="M1738" i="1"/>
  <c r="O1737" i="1" a="1"/>
  <c r="O1737" i="1" s="1"/>
  <c r="N1737" i="1"/>
  <c r="M1737" i="1"/>
  <c r="O1736" i="1"/>
  <c r="O1736" i="1" a="1"/>
  <c r="N1736" i="1"/>
  <c r="M1736" i="1"/>
  <c r="O1735" i="1" a="1"/>
  <c r="O1735" i="1" s="1"/>
  <c r="N1735" i="1"/>
  <c r="M1735" i="1"/>
  <c r="O1734" i="1" a="1"/>
  <c r="O1734" i="1" s="1"/>
  <c r="N1734" i="1"/>
  <c r="M1734" i="1"/>
  <c r="O1733" i="1" a="1"/>
  <c r="O1733" i="1" s="1"/>
  <c r="N1733" i="1"/>
  <c r="M1733" i="1"/>
  <c r="O1732" i="1" a="1"/>
  <c r="O1732" i="1" s="1"/>
  <c r="N1732" i="1"/>
  <c r="M1732" i="1"/>
  <c r="O1731" i="1"/>
  <c r="O1731" i="1" a="1"/>
  <c r="N1731" i="1"/>
  <c r="M1731" i="1"/>
  <c r="O1730" i="1" a="1"/>
  <c r="O1730" i="1" s="1"/>
  <c r="N1730" i="1"/>
  <c r="M1730" i="1"/>
  <c r="O1729" i="1"/>
  <c r="O1729" i="1" a="1"/>
  <c r="N1729" i="1"/>
  <c r="M1729" i="1"/>
  <c r="O1728" i="1" a="1"/>
  <c r="O1728" i="1" s="1"/>
  <c r="N1728" i="1"/>
  <c r="M1728" i="1"/>
  <c r="O1727" i="1" a="1"/>
  <c r="O1727" i="1" s="1"/>
  <c r="N1727" i="1"/>
  <c r="M1727" i="1"/>
  <c r="O1726" i="1"/>
  <c r="O1726" i="1" a="1"/>
  <c r="N1726" i="1"/>
  <c r="M1726" i="1"/>
  <c r="O1725" i="1"/>
  <c r="O1725" i="1" a="1"/>
  <c r="N1725" i="1"/>
  <c r="M1725" i="1"/>
  <c r="O1724" i="1" a="1"/>
  <c r="O1724" i="1" s="1"/>
  <c r="N1724" i="1"/>
  <c r="M1724" i="1"/>
  <c r="O1723" i="1" a="1"/>
  <c r="O1723" i="1" s="1"/>
  <c r="N1723" i="1"/>
  <c r="M1723" i="1"/>
  <c r="O1722" i="1"/>
  <c r="O1722" i="1" a="1"/>
  <c r="N1722" i="1"/>
  <c r="M1722" i="1"/>
  <c r="O1721" i="1" a="1"/>
  <c r="O1721" i="1" s="1"/>
  <c r="N1721" i="1"/>
  <c r="M1721" i="1"/>
  <c r="O1720" i="1" a="1"/>
  <c r="O1720" i="1" s="1"/>
  <c r="N1720" i="1"/>
  <c r="M1720" i="1"/>
  <c r="O1719" i="1" a="1"/>
  <c r="O1719" i="1" s="1"/>
  <c r="N1719" i="1"/>
  <c r="M1719" i="1"/>
  <c r="O1718" i="1"/>
  <c r="O1718" i="1" a="1"/>
  <c r="N1718" i="1"/>
  <c r="M1718" i="1"/>
  <c r="O1717" i="1"/>
  <c r="O1717" i="1" a="1"/>
  <c r="N1717" i="1"/>
  <c r="M1717" i="1"/>
  <c r="O1716" i="1"/>
  <c r="O1716" i="1" a="1"/>
  <c r="N1716" i="1"/>
  <c r="M1716" i="1"/>
  <c r="O1715" i="1"/>
  <c r="O1715" i="1" a="1"/>
  <c r="N1715" i="1"/>
  <c r="M1715" i="1"/>
  <c r="O1714" i="1" a="1"/>
  <c r="O1714" i="1" s="1"/>
  <c r="N1714" i="1"/>
  <c r="M1714" i="1"/>
  <c r="O1713" i="1"/>
  <c r="O1713" i="1" a="1"/>
  <c r="N1713" i="1"/>
  <c r="M1713" i="1"/>
  <c r="O1712" i="1" a="1"/>
  <c r="O1712" i="1" s="1"/>
  <c r="N1712" i="1"/>
  <c r="M1712" i="1"/>
  <c r="O1711" i="1" a="1"/>
  <c r="O1711" i="1" s="1"/>
  <c r="N1711" i="1"/>
  <c r="M1711" i="1"/>
  <c r="O1710" i="1" a="1"/>
  <c r="O1710" i="1" s="1"/>
  <c r="N1710" i="1"/>
  <c r="M1710" i="1"/>
  <c r="O1709" i="1"/>
  <c r="O1709" i="1" a="1"/>
  <c r="N1709" i="1"/>
  <c r="M1709" i="1"/>
  <c r="O1708" i="1"/>
  <c r="O1708" i="1" a="1"/>
  <c r="N1708" i="1"/>
  <c r="M1708" i="1"/>
  <c r="O1707" i="1" a="1"/>
  <c r="O1707" i="1" s="1"/>
  <c r="N1707" i="1"/>
  <c r="M1707" i="1"/>
  <c r="O1706" i="1"/>
  <c r="O1706" i="1" a="1"/>
  <c r="N1706" i="1"/>
  <c r="M1706" i="1"/>
  <c r="O1705" i="1" a="1"/>
  <c r="O1705" i="1" s="1"/>
  <c r="N1705" i="1"/>
  <c r="M1705" i="1"/>
  <c r="O1704" i="1" a="1"/>
  <c r="O1704" i="1" s="1"/>
  <c r="N1704" i="1"/>
  <c r="M1704" i="1"/>
  <c r="O1703" i="1" a="1"/>
  <c r="O1703" i="1" s="1"/>
  <c r="N1703" i="1"/>
  <c r="M1703" i="1"/>
  <c r="O1702" i="1" a="1"/>
  <c r="O1702" i="1" s="1"/>
  <c r="N1702" i="1"/>
  <c r="M1702" i="1"/>
  <c r="O1701" i="1"/>
  <c r="O1701" i="1" a="1"/>
  <c r="N1701" i="1"/>
  <c r="M1701" i="1"/>
  <c r="O1700" i="1" a="1"/>
  <c r="O1700" i="1" s="1"/>
  <c r="N1700" i="1"/>
  <c r="M1700" i="1"/>
  <c r="O1699" i="1" a="1"/>
  <c r="O1699" i="1" s="1"/>
  <c r="N1699" i="1"/>
  <c r="M1699" i="1"/>
  <c r="O1698" i="1" a="1"/>
  <c r="O1698" i="1" s="1"/>
  <c r="N1698" i="1"/>
  <c r="M1698" i="1"/>
  <c r="O1697" i="1"/>
  <c r="O1697" i="1" a="1"/>
  <c r="N1697" i="1"/>
  <c r="M1697" i="1"/>
  <c r="O1696" i="1"/>
  <c r="O1696" i="1" a="1"/>
  <c r="N1696" i="1"/>
  <c r="M1696" i="1"/>
  <c r="O1695" i="1" a="1"/>
  <c r="O1695" i="1" s="1"/>
  <c r="N1695" i="1"/>
  <c r="M1695" i="1"/>
  <c r="O1694" i="1"/>
  <c r="O1694" i="1" a="1"/>
  <c r="N1694" i="1"/>
  <c r="M1694" i="1"/>
  <c r="O1693" i="1" a="1"/>
  <c r="O1693" i="1" s="1"/>
  <c r="N1693" i="1"/>
  <c r="M1693" i="1"/>
  <c r="O1692" i="1"/>
  <c r="O1692" i="1" a="1"/>
  <c r="N1692" i="1"/>
  <c r="M1692" i="1"/>
  <c r="O1691" i="1" a="1"/>
  <c r="O1691" i="1" s="1"/>
  <c r="N1691" i="1"/>
  <c r="M1691" i="1"/>
  <c r="O1690" i="1" a="1"/>
  <c r="O1690" i="1" s="1"/>
  <c r="N1690" i="1"/>
  <c r="M1690" i="1"/>
  <c r="O1689" i="1" a="1"/>
  <c r="O1689" i="1" s="1"/>
  <c r="N1689" i="1"/>
  <c r="M1689" i="1"/>
  <c r="O1688" i="1" a="1"/>
  <c r="O1688" i="1" s="1"/>
  <c r="N1688" i="1"/>
  <c r="M1688" i="1"/>
  <c r="O1687" i="1"/>
  <c r="O1687" i="1" a="1"/>
  <c r="N1687" i="1"/>
  <c r="M1687" i="1"/>
  <c r="O1686" i="1" a="1"/>
  <c r="O1686" i="1" s="1"/>
  <c r="N1686" i="1"/>
  <c r="M1686" i="1"/>
  <c r="O1685" i="1"/>
  <c r="O1685" i="1" a="1"/>
  <c r="N1685" i="1"/>
  <c r="M1685" i="1"/>
  <c r="O1684" i="1"/>
  <c r="O1684" i="1" a="1"/>
  <c r="N1684" i="1"/>
  <c r="M1684" i="1"/>
  <c r="O1683" i="1" a="1"/>
  <c r="O1683" i="1" s="1"/>
  <c r="N1683" i="1"/>
  <c r="M1683" i="1"/>
  <c r="O1682" i="1" a="1"/>
  <c r="O1682" i="1" s="1"/>
  <c r="N1682" i="1"/>
  <c r="M1682" i="1"/>
  <c r="O1681" i="1"/>
  <c r="O1681" i="1" a="1"/>
  <c r="N1681" i="1"/>
  <c r="M1681" i="1"/>
  <c r="O1680" i="1"/>
  <c r="O1680" i="1" a="1"/>
  <c r="N1680" i="1"/>
  <c r="M1680" i="1"/>
  <c r="O1679" i="1" a="1"/>
  <c r="O1679" i="1" s="1"/>
  <c r="N1679" i="1"/>
  <c r="M1679" i="1"/>
  <c r="O1678" i="1" a="1"/>
  <c r="O1678" i="1" s="1"/>
  <c r="N1678" i="1"/>
  <c r="M1678" i="1"/>
  <c r="O1677" i="1"/>
  <c r="O1677" i="1" a="1"/>
  <c r="N1677" i="1"/>
  <c r="M1677" i="1"/>
  <c r="O1676" i="1" a="1"/>
  <c r="O1676" i="1" s="1"/>
  <c r="N1676" i="1"/>
  <c r="M1676" i="1"/>
  <c r="O1675" i="1" a="1"/>
  <c r="O1675" i="1" s="1"/>
  <c r="N1675" i="1"/>
  <c r="M1675" i="1"/>
  <c r="O1674" i="1" a="1"/>
  <c r="O1674" i="1" s="1"/>
  <c r="N1674" i="1"/>
  <c r="M1674" i="1"/>
  <c r="O1673" i="1"/>
  <c r="O1673" i="1" a="1"/>
  <c r="N1673" i="1"/>
  <c r="M1673" i="1"/>
  <c r="O1672" i="1" a="1"/>
  <c r="O1672" i="1" s="1"/>
  <c r="N1672" i="1"/>
  <c r="M1672" i="1"/>
  <c r="O1671" i="1" a="1"/>
  <c r="O1671" i="1" s="1"/>
  <c r="N1671" i="1"/>
  <c r="M1671" i="1"/>
  <c r="O1670" i="1"/>
  <c r="O1670" i="1" a="1"/>
  <c r="N1670" i="1"/>
  <c r="M1670" i="1"/>
  <c r="O1669" i="1" a="1"/>
  <c r="O1669" i="1" s="1"/>
  <c r="N1669" i="1"/>
  <c r="M1669" i="1"/>
  <c r="O1668" i="1"/>
  <c r="O1668" i="1" a="1"/>
  <c r="N1668" i="1"/>
  <c r="M1668" i="1"/>
  <c r="O1667" i="1"/>
  <c r="O1667" i="1" a="1"/>
  <c r="N1667" i="1"/>
  <c r="M1667" i="1"/>
  <c r="O1666" i="1"/>
  <c r="O1666" i="1" a="1"/>
  <c r="N1666" i="1"/>
  <c r="M1666" i="1"/>
  <c r="O1665" i="1" a="1"/>
  <c r="O1665" i="1" s="1"/>
  <c r="N1665" i="1"/>
  <c r="M1665" i="1"/>
  <c r="O1664" i="1" a="1"/>
  <c r="O1664" i="1" s="1"/>
  <c r="N1664" i="1"/>
  <c r="M1664" i="1"/>
  <c r="O1663" i="1" a="1"/>
  <c r="O1663" i="1" s="1"/>
  <c r="N1663" i="1"/>
  <c r="M1663" i="1"/>
  <c r="O1662" i="1" a="1"/>
  <c r="O1662" i="1" s="1"/>
  <c r="N1662" i="1"/>
  <c r="M1662" i="1"/>
  <c r="O1661" i="1"/>
  <c r="O1661" i="1" a="1"/>
  <c r="N1661" i="1"/>
  <c r="M1661" i="1"/>
  <c r="O1660" i="1" a="1"/>
  <c r="O1660" i="1" s="1"/>
  <c r="N1660" i="1"/>
  <c r="M1660" i="1"/>
  <c r="O1659" i="1"/>
  <c r="O1659" i="1" a="1"/>
  <c r="N1659" i="1"/>
  <c r="M1659" i="1"/>
  <c r="O1658" i="1" a="1"/>
  <c r="O1658" i="1" s="1"/>
  <c r="N1658" i="1"/>
  <c r="M1658" i="1"/>
  <c r="O1657" i="1" a="1"/>
  <c r="O1657" i="1" s="1"/>
  <c r="N1657" i="1"/>
  <c r="M1657" i="1"/>
  <c r="O1656" i="1" a="1"/>
  <c r="O1656" i="1" s="1"/>
  <c r="N1656" i="1"/>
  <c r="M1656" i="1"/>
  <c r="O1655" i="1"/>
  <c r="O1655" i="1" a="1"/>
  <c r="N1655" i="1"/>
  <c r="M1655" i="1"/>
  <c r="O1654" i="1" a="1"/>
  <c r="O1654" i="1" s="1"/>
  <c r="N1654" i="1"/>
  <c r="M1654" i="1"/>
  <c r="O1653" i="1" a="1"/>
  <c r="O1653" i="1" s="1"/>
  <c r="N1653" i="1"/>
  <c r="M1653" i="1"/>
  <c r="O1652" i="1"/>
  <c r="O1652" i="1" a="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c r="O1645" i="1" a="1"/>
  <c r="N1645" i="1"/>
  <c r="M1645" i="1"/>
  <c r="O1644" i="1" a="1"/>
  <c r="O1644" i="1" s="1"/>
  <c r="N1644" i="1"/>
  <c r="M1644" i="1"/>
  <c r="O1643" i="1" a="1"/>
  <c r="O1643" i="1" s="1"/>
  <c r="N1643" i="1"/>
  <c r="M1643" i="1"/>
  <c r="O1642" i="1"/>
  <c r="O1642" i="1" a="1"/>
  <c r="N1642" i="1"/>
  <c r="M1642" i="1"/>
  <c r="O1641" i="1" a="1"/>
  <c r="O1641" i="1" s="1"/>
  <c r="N1641" i="1"/>
  <c r="M1641" i="1"/>
  <c r="O1640" i="1" a="1"/>
  <c r="O1640" i="1" s="1"/>
  <c r="N1640" i="1"/>
  <c r="M1640" i="1"/>
  <c r="O1639" i="1"/>
  <c r="O1639" i="1" a="1"/>
  <c r="N1639" i="1"/>
  <c r="M1639" i="1"/>
  <c r="O1638" i="1"/>
  <c r="O1638" i="1" a="1"/>
  <c r="N1638" i="1"/>
  <c r="M1638" i="1"/>
  <c r="O1637" i="1" a="1"/>
  <c r="O1637" i="1" s="1"/>
  <c r="N1637" i="1"/>
  <c r="M1637" i="1"/>
  <c r="O1636" i="1"/>
  <c r="O1636" i="1" a="1"/>
  <c r="N1636" i="1"/>
  <c r="M1636" i="1"/>
  <c r="O1635" i="1" a="1"/>
  <c r="O1635" i="1" s="1"/>
  <c r="N1635" i="1"/>
  <c r="M1635" i="1"/>
  <c r="O1634" i="1" a="1"/>
  <c r="O1634" i="1" s="1"/>
  <c r="N1634" i="1"/>
  <c r="M1634" i="1"/>
  <c r="O1633" i="1"/>
  <c r="O1633" i="1" a="1"/>
  <c r="N1633" i="1"/>
  <c r="M1633" i="1"/>
  <c r="O1632" i="1" a="1"/>
  <c r="O1632" i="1" s="1"/>
  <c r="N1632" i="1"/>
  <c r="M1632" i="1"/>
  <c r="O1631" i="1"/>
  <c r="O1631" i="1" a="1"/>
  <c r="N1631" i="1"/>
  <c r="M1631" i="1"/>
  <c r="O1630" i="1" a="1"/>
  <c r="O1630" i="1" s="1"/>
  <c r="N1630" i="1"/>
  <c r="M1630" i="1"/>
  <c r="O1629" i="1" a="1"/>
  <c r="O1629" i="1" s="1"/>
  <c r="N1629" i="1"/>
  <c r="M1629" i="1"/>
  <c r="O1628" i="1"/>
  <c r="O1628" i="1" a="1"/>
  <c r="N1628" i="1"/>
  <c r="M1628" i="1"/>
  <c r="O1627" i="1"/>
  <c r="O1627" i="1" a="1"/>
  <c r="N1627" i="1"/>
  <c r="M1627" i="1"/>
  <c r="O1626" i="1"/>
  <c r="O1626" i="1" a="1"/>
  <c r="N1626" i="1"/>
  <c r="M1626" i="1"/>
  <c r="O1625" i="1" a="1"/>
  <c r="O1625" i="1" s="1"/>
  <c r="N1625" i="1"/>
  <c r="M1625" i="1"/>
  <c r="O1624" i="1"/>
  <c r="O1624" i="1" a="1"/>
  <c r="N1624" i="1"/>
  <c r="M1624" i="1"/>
  <c r="O1623" i="1" a="1"/>
  <c r="O1623" i="1" s="1"/>
  <c r="N1623" i="1"/>
  <c r="M1623" i="1"/>
  <c r="O1622" i="1" a="1"/>
  <c r="O1622" i="1" s="1"/>
  <c r="N1622" i="1"/>
  <c r="M1622" i="1"/>
  <c r="O1621" i="1" a="1"/>
  <c r="O1621" i="1" s="1"/>
  <c r="N1621" i="1"/>
  <c r="M1621" i="1"/>
  <c r="O1620" i="1"/>
  <c r="O1620" i="1" a="1"/>
  <c r="N1620" i="1"/>
  <c r="M1620" i="1"/>
  <c r="O1619" i="1" a="1"/>
  <c r="O1619" i="1" s="1"/>
  <c r="N1619" i="1"/>
  <c r="M1619" i="1"/>
  <c r="O1618" i="1" a="1"/>
  <c r="O1618" i="1" s="1"/>
  <c r="N1618" i="1"/>
  <c r="M1618" i="1"/>
  <c r="O1617" i="1"/>
  <c r="O1617" i="1" a="1"/>
  <c r="N1617" i="1"/>
  <c r="M1617" i="1"/>
  <c r="O1616" i="1" a="1"/>
  <c r="O1616" i="1" s="1"/>
  <c r="N1616" i="1"/>
  <c r="M1616" i="1"/>
  <c r="O1615" i="1" a="1"/>
  <c r="O1615" i="1" s="1"/>
  <c r="N1615" i="1"/>
  <c r="M1615" i="1"/>
  <c r="O1614" i="1" a="1"/>
  <c r="O1614" i="1" s="1"/>
  <c r="N1614" i="1"/>
  <c r="M1614" i="1"/>
  <c r="O1613" i="1"/>
  <c r="O1613" i="1" a="1"/>
  <c r="N1613" i="1"/>
  <c r="M1613" i="1"/>
  <c r="O1612" i="1"/>
  <c r="O1612" i="1" a="1"/>
  <c r="N1612" i="1"/>
  <c r="M1612" i="1"/>
  <c r="O1611" i="1" a="1"/>
  <c r="O1611" i="1" s="1"/>
  <c r="N1611" i="1"/>
  <c r="M1611" i="1"/>
  <c r="O1610" i="1"/>
  <c r="O1610" i="1" a="1"/>
  <c r="N1610" i="1"/>
  <c r="M1610" i="1"/>
  <c r="O1609" i="1" a="1"/>
  <c r="O1609" i="1" s="1"/>
  <c r="N1609" i="1"/>
  <c r="M1609" i="1"/>
  <c r="O1608" i="1"/>
  <c r="O1608" i="1" a="1"/>
  <c r="N1608" i="1"/>
  <c r="M1608" i="1"/>
  <c r="O1607" i="1"/>
  <c r="O1607" i="1" a="1"/>
  <c r="N1607" i="1"/>
  <c r="M1607" i="1"/>
  <c r="O1606" i="1" a="1"/>
  <c r="O1606" i="1" s="1"/>
  <c r="N1606" i="1"/>
  <c r="M1606" i="1"/>
  <c r="O1605" i="1" a="1"/>
  <c r="O1605" i="1" s="1"/>
  <c r="N1605" i="1"/>
  <c r="M1605" i="1"/>
  <c r="O1604" i="1"/>
  <c r="O1604" i="1" a="1"/>
  <c r="N1604" i="1"/>
  <c r="M1604" i="1"/>
  <c r="O1603" i="1"/>
  <c r="O1603" i="1" a="1"/>
  <c r="N1603" i="1"/>
  <c r="M1603" i="1"/>
  <c r="O1602" i="1" a="1"/>
  <c r="O1602" i="1" s="1"/>
  <c r="N1602" i="1"/>
  <c r="M1602" i="1"/>
  <c r="O1601" i="1"/>
  <c r="O1601" i="1" a="1"/>
  <c r="N1601" i="1"/>
  <c r="M1601" i="1"/>
  <c r="O1600" i="1" a="1"/>
  <c r="O1600" i="1" s="1"/>
  <c r="N1600" i="1"/>
  <c r="M1600" i="1"/>
  <c r="O1599" i="1"/>
  <c r="O1599" i="1" a="1"/>
  <c r="N1599" i="1"/>
  <c r="M1599" i="1"/>
  <c r="O1598" i="1"/>
  <c r="O1598" i="1" a="1"/>
  <c r="N1598" i="1"/>
  <c r="M1598" i="1"/>
  <c r="O1597" i="1"/>
  <c r="O1597" i="1" a="1"/>
  <c r="N1597" i="1"/>
  <c r="M1597" i="1"/>
  <c r="O1596" i="1"/>
  <c r="O1596" i="1" a="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c r="O1589" i="1" a="1"/>
  <c r="N1589" i="1"/>
  <c r="M1589" i="1"/>
  <c r="O1588" i="1" a="1"/>
  <c r="O1588" i="1" s="1"/>
  <c r="N1588" i="1"/>
  <c r="M1588" i="1"/>
  <c r="O1587" i="1"/>
  <c r="O1587" i="1" a="1"/>
  <c r="N1587" i="1"/>
  <c r="M1587" i="1"/>
  <c r="O1586" i="1" a="1"/>
  <c r="O1586" i="1" s="1"/>
  <c r="N1586" i="1"/>
  <c r="M1586" i="1"/>
  <c r="O1585" i="1" a="1"/>
  <c r="O1585" i="1" s="1"/>
  <c r="N1585" i="1"/>
  <c r="M1585" i="1"/>
  <c r="O1584" i="1" a="1"/>
  <c r="O1584" i="1" s="1"/>
  <c r="N1584" i="1"/>
  <c r="M1584" i="1"/>
  <c r="O1583" i="1" a="1"/>
  <c r="O1583" i="1" s="1"/>
  <c r="N1583" i="1"/>
  <c r="M1583" i="1"/>
  <c r="O1582" i="1"/>
  <c r="O1582" i="1" a="1"/>
  <c r="N1582" i="1"/>
  <c r="M1582" i="1"/>
  <c r="O1581" i="1" a="1"/>
  <c r="O1581" i="1" s="1"/>
  <c r="N1581" i="1"/>
  <c r="M1581" i="1"/>
  <c r="O1580" i="1" a="1"/>
  <c r="O1580" i="1" s="1"/>
  <c r="N1580" i="1"/>
  <c r="M1580" i="1"/>
  <c r="O1579" i="1"/>
  <c r="O1579" i="1" a="1"/>
  <c r="N1579" i="1"/>
  <c r="M1579" i="1"/>
  <c r="O1578" i="1"/>
  <c r="O1578" i="1" a="1"/>
  <c r="N1578" i="1"/>
  <c r="M1578" i="1"/>
  <c r="O1577" i="1" a="1"/>
  <c r="O1577" i="1" s="1"/>
  <c r="N1577" i="1"/>
  <c r="M1577" i="1"/>
  <c r="O1576" i="1" a="1"/>
  <c r="O1576" i="1" s="1"/>
  <c r="N1576" i="1"/>
  <c r="M1576" i="1"/>
  <c r="O1575" i="1"/>
  <c r="O1575" i="1" a="1"/>
  <c r="N1575" i="1"/>
  <c r="M1575" i="1"/>
  <c r="O1574" i="1" a="1"/>
  <c r="O1574" i="1" s="1"/>
  <c r="N1574" i="1"/>
  <c r="M1574" i="1"/>
  <c r="O1573" i="1" a="1"/>
  <c r="O1573" i="1" s="1"/>
  <c r="N1573" i="1"/>
  <c r="M1573" i="1"/>
  <c r="O1572" i="1" a="1"/>
  <c r="O1572" i="1" s="1"/>
  <c r="N1572" i="1"/>
  <c r="M1572" i="1"/>
  <c r="O1571" i="1"/>
  <c r="O1571" i="1" a="1"/>
  <c r="N1571" i="1"/>
  <c r="M1571" i="1"/>
  <c r="O1570" i="1" a="1"/>
  <c r="O1570" i="1" s="1"/>
  <c r="N1570" i="1"/>
  <c r="M1570" i="1"/>
  <c r="O1569" i="1" a="1"/>
  <c r="O1569" i="1" s="1"/>
  <c r="N1569" i="1"/>
  <c r="M1569" i="1"/>
  <c r="O1568" i="1"/>
  <c r="O1568" i="1" a="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c r="O1561" i="1" a="1"/>
  <c r="N1561" i="1"/>
  <c r="M1561" i="1"/>
  <c r="O1560" i="1" a="1"/>
  <c r="O1560" i="1" s="1"/>
  <c r="N1560" i="1"/>
  <c r="M1560" i="1"/>
  <c r="O1559" i="1"/>
  <c r="O1559" i="1" a="1"/>
  <c r="N1559" i="1"/>
  <c r="M1559" i="1"/>
  <c r="O1558" i="1"/>
  <c r="O1558" i="1" a="1"/>
  <c r="N1558" i="1"/>
  <c r="M1558" i="1"/>
  <c r="O1557" i="1"/>
  <c r="O1557" i="1" a="1"/>
  <c r="N1557" i="1"/>
  <c r="M1557" i="1"/>
  <c r="O1556" i="1" a="1"/>
  <c r="O1556" i="1" s="1"/>
  <c r="N1556" i="1"/>
  <c r="M1556" i="1"/>
  <c r="O1555" i="1" a="1"/>
  <c r="O1555" i="1" s="1"/>
  <c r="N1555" i="1"/>
  <c r="M1555" i="1"/>
  <c r="O1554" i="1"/>
  <c r="O1554" i="1" a="1"/>
  <c r="N1554" i="1"/>
  <c r="M1554" i="1"/>
  <c r="O1553" i="1" a="1"/>
  <c r="O1553" i="1" s="1"/>
  <c r="N1553" i="1"/>
  <c r="M1553" i="1"/>
  <c r="O1552" i="1" a="1"/>
  <c r="O1552" i="1" s="1"/>
  <c r="N1552" i="1"/>
  <c r="M1552" i="1"/>
  <c r="O1551" i="1"/>
  <c r="O1551" i="1" a="1"/>
  <c r="N1551" i="1"/>
  <c r="M1551" i="1"/>
  <c r="O1550" i="1" a="1"/>
  <c r="O1550" i="1" s="1"/>
  <c r="N1550" i="1"/>
  <c r="M1550" i="1"/>
  <c r="O1549" i="1"/>
  <c r="O1549" i="1" a="1"/>
  <c r="N1549" i="1"/>
  <c r="M1549" i="1"/>
  <c r="O1548" i="1"/>
  <c r="O1548" i="1" a="1"/>
  <c r="N1548" i="1"/>
  <c r="M1548" i="1"/>
  <c r="O1547" i="1"/>
  <c r="O1547" i="1" a="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c r="O1540" i="1" a="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c r="O1533" i="1" a="1"/>
  <c r="N1533" i="1"/>
  <c r="M1533" i="1"/>
  <c r="O1532" i="1" a="1"/>
  <c r="O1532" i="1" s="1"/>
  <c r="N1532" i="1"/>
  <c r="M1532" i="1"/>
  <c r="O1531" i="1" a="1"/>
  <c r="O1531" i="1" s="1"/>
  <c r="N1531" i="1"/>
  <c r="M1531" i="1"/>
  <c r="O1530" i="1"/>
  <c r="O1530" i="1" a="1"/>
  <c r="N1530" i="1"/>
  <c r="M1530" i="1"/>
  <c r="O1529" i="1"/>
  <c r="O1529" i="1" a="1"/>
  <c r="N1529" i="1"/>
  <c r="M1529" i="1"/>
  <c r="O1528" i="1" a="1"/>
  <c r="O1528" i="1" s="1"/>
  <c r="N1528" i="1"/>
  <c r="M1528" i="1"/>
  <c r="O1527" i="1" a="1"/>
  <c r="O1527" i="1" s="1"/>
  <c r="N1527" i="1"/>
  <c r="M1527" i="1"/>
  <c r="O1526" i="1"/>
  <c r="O1526" i="1" a="1"/>
  <c r="N1526" i="1"/>
  <c r="M1526" i="1"/>
  <c r="O1525" i="1" a="1"/>
  <c r="O1525" i="1" s="1"/>
  <c r="N1525" i="1"/>
  <c r="M1525" i="1"/>
  <c r="O1524" i="1"/>
  <c r="O1524" i="1" a="1"/>
  <c r="N1524" i="1"/>
  <c r="M1524" i="1"/>
  <c r="O1523" i="1"/>
  <c r="O1523" i="1" a="1"/>
  <c r="N1523" i="1"/>
  <c r="M1523" i="1"/>
  <c r="O1522" i="1" a="1"/>
  <c r="O1522" i="1" s="1"/>
  <c r="N1522" i="1"/>
  <c r="M1522" i="1"/>
  <c r="O1521" i="1" a="1"/>
  <c r="O1521" i="1" s="1"/>
  <c r="N1521" i="1"/>
  <c r="M1521" i="1"/>
  <c r="O1520" i="1"/>
  <c r="O1520" i="1" a="1"/>
  <c r="N1520" i="1"/>
  <c r="M1520" i="1"/>
  <c r="O1519" i="1"/>
  <c r="O1519" i="1" a="1"/>
  <c r="N1519" i="1"/>
  <c r="M1519" i="1"/>
  <c r="O1518" i="1" a="1"/>
  <c r="O1518" i="1" s="1"/>
  <c r="N1518" i="1"/>
  <c r="M1518" i="1"/>
  <c r="O1517" i="1"/>
  <c r="O1517" i="1" a="1"/>
  <c r="N1517" i="1"/>
  <c r="M1517" i="1"/>
  <c r="O1516" i="1" a="1"/>
  <c r="O1516" i="1" s="1"/>
  <c r="N1516" i="1"/>
  <c r="M1516" i="1"/>
  <c r="O1515" i="1" a="1"/>
  <c r="O1515" i="1" s="1"/>
  <c r="N1515" i="1"/>
  <c r="M1515" i="1"/>
  <c r="O1514" i="1" a="1"/>
  <c r="O1514" i="1" s="1"/>
  <c r="N1514" i="1"/>
  <c r="M1514" i="1"/>
  <c r="O1513" i="1"/>
  <c r="O1513" i="1" a="1"/>
  <c r="N1513" i="1"/>
  <c r="M1513" i="1"/>
  <c r="O1512" i="1"/>
  <c r="O1512" i="1" a="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c r="O1505" i="1" a="1"/>
  <c r="N1505" i="1"/>
  <c r="M1505" i="1"/>
  <c r="O1504" i="1" a="1"/>
  <c r="O1504" i="1" s="1"/>
  <c r="N1504" i="1"/>
  <c r="M1504" i="1"/>
  <c r="O1503" i="1" a="1"/>
  <c r="O1503" i="1" s="1"/>
  <c r="N1503" i="1"/>
  <c r="M1503" i="1"/>
  <c r="O1502" i="1" a="1"/>
  <c r="O1502" i="1" s="1"/>
  <c r="N1502" i="1"/>
  <c r="M1502" i="1"/>
  <c r="O1501" i="1"/>
  <c r="O1501" i="1" a="1"/>
  <c r="N1501" i="1"/>
  <c r="M1501" i="1"/>
  <c r="O1500" i="1"/>
  <c r="O1500" i="1" a="1"/>
  <c r="N1500" i="1"/>
  <c r="M1500" i="1"/>
  <c r="O1499" i="1" a="1"/>
  <c r="O1499" i="1" s="1"/>
  <c r="N1499" i="1"/>
  <c r="M1499" i="1"/>
  <c r="O1498" i="1"/>
  <c r="O1498" i="1" a="1"/>
  <c r="N1498" i="1"/>
  <c r="M1498" i="1"/>
  <c r="O1497" i="1" a="1"/>
  <c r="O1497" i="1" s="1"/>
  <c r="N1497" i="1"/>
  <c r="M1497" i="1"/>
  <c r="O1496" i="1" a="1"/>
  <c r="O1496" i="1" s="1"/>
  <c r="N1496" i="1"/>
  <c r="M1496" i="1"/>
  <c r="O1495" i="1"/>
  <c r="O1495" i="1" a="1"/>
  <c r="N1495" i="1"/>
  <c r="M1495" i="1"/>
  <c r="O1494" i="1" a="1"/>
  <c r="O1494" i="1" s="1"/>
  <c r="N1494" i="1"/>
  <c r="M1494" i="1"/>
  <c r="O1493" i="1" a="1"/>
  <c r="O1493" i="1" s="1"/>
  <c r="N1493" i="1"/>
  <c r="M1493" i="1"/>
  <c r="O1492" i="1" a="1"/>
  <c r="O1492" i="1" s="1"/>
  <c r="N1492" i="1"/>
  <c r="M1492" i="1"/>
  <c r="O1491" i="1"/>
  <c r="O1491" i="1" a="1"/>
  <c r="N1491" i="1"/>
  <c r="M1491" i="1"/>
  <c r="O1490" i="1" a="1"/>
  <c r="O1490" i="1" s="1"/>
  <c r="N1490" i="1"/>
  <c r="M1490" i="1"/>
  <c r="O1489" i="1" a="1"/>
  <c r="O1489" i="1" s="1"/>
  <c r="N1489" i="1"/>
  <c r="M1489" i="1"/>
  <c r="O1488" i="1"/>
  <c r="O1488" i="1" a="1"/>
  <c r="N1488" i="1"/>
  <c r="M1488" i="1"/>
  <c r="O1487" i="1" a="1"/>
  <c r="O1487" i="1" s="1"/>
  <c r="N1487" i="1"/>
  <c r="M1487" i="1"/>
  <c r="O1486" i="1" a="1"/>
  <c r="O1486" i="1" s="1"/>
  <c r="N1486" i="1"/>
  <c r="M1486" i="1"/>
  <c r="O1485" i="1"/>
  <c r="O1485" i="1" a="1"/>
  <c r="N1485" i="1"/>
  <c r="M1485" i="1"/>
  <c r="O1484" i="1"/>
  <c r="O1484" i="1" a="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c r="O1477" i="1" a="1"/>
  <c r="N1477" i="1"/>
  <c r="M1477" i="1"/>
  <c r="O1476" i="1" a="1"/>
  <c r="O1476" i="1" s="1"/>
  <c r="N1476" i="1"/>
  <c r="M1476" i="1"/>
  <c r="O1475" i="1" a="1"/>
  <c r="O1475" i="1" s="1"/>
  <c r="N1475" i="1"/>
  <c r="M1475" i="1"/>
  <c r="O1474" i="1" a="1"/>
  <c r="O1474" i="1" s="1"/>
  <c r="N1474" i="1"/>
  <c r="M1474" i="1"/>
  <c r="O1473" i="1" a="1"/>
  <c r="O1473" i="1" s="1"/>
  <c r="N1473" i="1"/>
  <c r="M1473" i="1"/>
  <c r="O1472" i="1"/>
  <c r="O1472" i="1" a="1"/>
  <c r="N1472" i="1"/>
  <c r="M1472" i="1"/>
  <c r="O1471" i="1"/>
  <c r="O1471" i="1" a="1"/>
  <c r="N1471" i="1"/>
  <c r="M1471" i="1"/>
  <c r="O1470" i="1"/>
  <c r="O1470" i="1" a="1"/>
  <c r="N1470" i="1"/>
  <c r="M1470" i="1"/>
  <c r="O1469" i="1" a="1"/>
  <c r="O1469" i="1" s="1"/>
  <c r="N1469" i="1"/>
  <c r="M1469" i="1"/>
  <c r="O1468" i="1" a="1"/>
  <c r="O1468" i="1" s="1"/>
  <c r="N1468" i="1"/>
  <c r="M1468" i="1"/>
  <c r="O1467" i="1" a="1"/>
  <c r="O1467" i="1" s="1"/>
  <c r="N1467" i="1"/>
  <c r="M1467" i="1"/>
  <c r="O1466" i="1"/>
  <c r="O1466" i="1" a="1"/>
  <c r="N1466" i="1"/>
  <c r="M1466" i="1"/>
  <c r="O1465" i="1" a="1"/>
  <c r="O1465" i="1" s="1"/>
  <c r="N1465" i="1"/>
  <c r="M1465" i="1"/>
  <c r="O1464" i="1" a="1"/>
  <c r="O1464" i="1" s="1"/>
  <c r="N1464" i="1"/>
  <c r="M1464" i="1"/>
  <c r="O1463" i="1"/>
  <c r="O1463" i="1" a="1"/>
  <c r="N1463" i="1"/>
  <c r="M1463" i="1"/>
  <c r="O1462" i="1" a="1"/>
  <c r="O1462" i="1" s="1"/>
  <c r="N1462" i="1"/>
  <c r="M1462" i="1"/>
  <c r="O1461" i="1" a="1"/>
  <c r="O1461" i="1" s="1"/>
  <c r="N1461" i="1"/>
  <c r="M1461" i="1"/>
  <c r="O1460" i="1"/>
  <c r="O1460" i="1" a="1"/>
  <c r="N1460" i="1"/>
  <c r="M1460" i="1"/>
  <c r="O1459" i="1"/>
  <c r="O1459" i="1" a="1"/>
  <c r="N1459" i="1"/>
  <c r="M1459" i="1"/>
  <c r="O1458" i="1" a="1"/>
  <c r="O1458" i="1" s="1"/>
  <c r="N1458" i="1"/>
  <c r="M1458" i="1"/>
  <c r="O1457" i="1" a="1"/>
  <c r="O1457" i="1" s="1"/>
  <c r="N1457" i="1"/>
  <c r="M1457" i="1"/>
  <c r="O1456" i="1"/>
  <c r="O1456" i="1" a="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c r="O1449" i="1" a="1"/>
  <c r="N1449" i="1"/>
  <c r="M1449" i="1"/>
  <c r="O1448" i="1" a="1"/>
  <c r="O1448" i="1" s="1"/>
  <c r="N1448" i="1"/>
  <c r="M1448" i="1"/>
  <c r="O1447" i="1" a="1"/>
  <c r="O1447" i="1" s="1"/>
  <c r="N1447" i="1"/>
  <c r="M1447" i="1"/>
  <c r="O1446" i="1"/>
  <c r="O1446" i="1" a="1"/>
  <c r="N1446" i="1"/>
  <c r="M1446" i="1"/>
  <c r="O1445" i="1" a="1"/>
  <c r="O1445" i="1" s="1"/>
  <c r="N1445" i="1"/>
  <c r="M1445" i="1"/>
  <c r="O1444" i="1" a="1"/>
  <c r="O1444" i="1" s="1"/>
  <c r="N1444" i="1"/>
  <c r="M1444" i="1"/>
  <c r="O1443" i="1"/>
  <c r="O1443" i="1" a="1"/>
  <c r="N1443" i="1"/>
  <c r="M1443" i="1"/>
  <c r="O1442" i="1"/>
  <c r="O1442" i="1" a="1"/>
  <c r="N1442" i="1"/>
  <c r="M1442" i="1"/>
  <c r="O1441" i="1" a="1"/>
  <c r="O1441" i="1" s="1"/>
  <c r="N1441" i="1"/>
  <c r="M1441" i="1"/>
  <c r="O1440" i="1"/>
  <c r="O1440" i="1" a="1"/>
  <c r="N1440" i="1"/>
  <c r="M1440" i="1"/>
  <c r="O1439" i="1" a="1"/>
  <c r="O1439" i="1" s="1"/>
  <c r="N1439" i="1"/>
  <c r="M1439" i="1"/>
  <c r="O1438" i="1" a="1"/>
  <c r="O1438" i="1" s="1"/>
  <c r="N1438" i="1"/>
  <c r="M1438" i="1"/>
  <c r="O1437" i="1"/>
  <c r="O1437" i="1" a="1"/>
  <c r="N1437" i="1"/>
  <c r="M1437" i="1"/>
  <c r="O1436" i="1" a="1"/>
  <c r="O1436" i="1" s="1"/>
  <c r="N1436" i="1"/>
  <c r="M1436" i="1"/>
  <c r="O1435" i="1"/>
  <c r="O1435" i="1" a="1"/>
  <c r="N1435" i="1"/>
  <c r="M1435" i="1"/>
  <c r="O1434" i="1" a="1"/>
  <c r="O1434" i="1" s="1"/>
  <c r="N1434" i="1"/>
  <c r="M1434" i="1"/>
  <c r="O1433" i="1" a="1"/>
  <c r="O1433" i="1" s="1"/>
  <c r="N1433" i="1"/>
  <c r="M1433" i="1"/>
  <c r="O1432" i="1"/>
  <c r="O1432" i="1" a="1"/>
  <c r="N1432" i="1"/>
  <c r="M1432" i="1"/>
  <c r="O1431" i="1"/>
  <c r="O1431" i="1" a="1"/>
  <c r="N1431" i="1"/>
  <c r="M1431" i="1"/>
  <c r="O1430" i="1"/>
  <c r="O1430" i="1" a="1"/>
  <c r="N1430" i="1"/>
  <c r="M1430" i="1"/>
  <c r="O1429" i="1" a="1"/>
  <c r="O1429" i="1" s="1"/>
  <c r="N1429" i="1"/>
  <c r="M1429" i="1"/>
  <c r="O1428" i="1"/>
  <c r="O1428" i="1" a="1"/>
  <c r="N1428" i="1"/>
  <c r="M1428" i="1"/>
  <c r="O1427" i="1" a="1"/>
  <c r="O1427" i="1" s="1"/>
  <c r="N1427" i="1"/>
  <c r="M1427" i="1"/>
  <c r="O1426" i="1"/>
  <c r="O1426" i="1" a="1"/>
  <c r="N1426" i="1"/>
  <c r="M1426" i="1"/>
  <c r="O1425" i="1" a="1"/>
  <c r="O1425" i="1" s="1"/>
  <c r="N1425" i="1"/>
  <c r="M1425" i="1"/>
  <c r="O1424" i="1" a="1"/>
  <c r="O1424" i="1" s="1"/>
  <c r="N1424" i="1"/>
  <c r="M1424" i="1"/>
  <c r="O1423" i="1" a="1"/>
  <c r="O1423" i="1" s="1"/>
  <c r="N1423" i="1"/>
  <c r="M1423" i="1"/>
  <c r="O1422" i="1" a="1"/>
  <c r="O1422" i="1" s="1"/>
  <c r="N1422" i="1"/>
  <c r="M1422" i="1"/>
  <c r="O1421" i="1"/>
  <c r="O1421" i="1" a="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c r="O1414" i="1" a="1"/>
  <c r="N1414" i="1"/>
  <c r="M1414" i="1"/>
  <c r="O1413" i="1" a="1"/>
  <c r="O1413" i="1" s="1"/>
  <c r="N1413" i="1"/>
  <c r="M1413" i="1"/>
  <c r="O1412" i="1"/>
  <c r="O1412" i="1" a="1"/>
  <c r="N1412" i="1"/>
  <c r="M1412" i="1"/>
  <c r="O1411" i="1"/>
  <c r="O1411" i="1" a="1"/>
  <c r="N1411" i="1"/>
  <c r="M1411" i="1"/>
  <c r="O1410" i="1" a="1"/>
  <c r="O1410" i="1" s="1"/>
  <c r="N1410" i="1"/>
  <c r="M1410" i="1"/>
  <c r="O1409" i="1"/>
  <c r="O1409" i="1" a="1"/>
  <c r="N1409" i="1"/>
  <c r="M1409" i="1"/>
  <c r="O1408" i="1"/>
  <c r="O1408" i="1" a="1"/>
  <c r="N1408" i="1"/>
  <c r="M1408" i="1"/>
  <c r="O1407" i="1"/>
  <c r="O1407" i="1" a="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c r="O1401" i="1" a="1"/>
  <c r="N1401" i="1"/>
  <c r="M1401" i="1"/>
  <c r="O1400" i="1"/>
  <c r="O1400" i="1" a="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c r="O1394" i="1" a="1"/>
  <c r="N1394" i="1"/>
  <c r="M1394" i="1"/>
  <c r="O1393" i="1"/>
  <c r="O1393" i="1" a="1"/>
  <c r="N1393" i="1"/>
  <c r="M1393" i="1"/>
  <c r="O1392" i="1" a="1"/>
  <c r="O1392" i="1" s="1"/>
  <c r="N1392" i="1"/>
  <c r="M1392" i="1"/>
  <c r="O1391" i="1"/>
  <c r="O1391" i="1" a="1"/>
  <c r="N1391" i="1"/>
  <c r="M1391" i="1"/>
  <c r="O1390" i="1"/>
  <c r="O1390" i="1" a="1"/>
  <c r="N1390" i="1"/>
  <c r="M1390" i="1"/>
  <c r="O1389" i="1" a="1"/>
  <c r="O1389" i="1" s="1"/>
  <c r="N1389" i="1"/>
  <c r="M1389" i="1"/>
  <c r="O1388" i="1"/>
  <c r="O1388" i="1" a="1"/>
  <c r="N1388" i="1"/>
  <c r="M1388" i="1"/>
  <c r="O1387" i="1"/>
  <c r="O1387" i="1" a="1"/>
  <c r="N1387" i="1"/>
  <c r="M1387" i="1"/>
  <c r="O1386" i="1"/>
  <c r="O1386" i="1" a="1"/>
  <c r="N1386" i="1"/>
  <c r="M1386" i="1"/>
  <c r="O1385" i="1" a="1"/>
  <c r="O1385" i="1" s="1"/>
  <c r="N1385" i="1"/>
  <c r="M1385" i="1"/>
  <c r="O1384" i="1"/>
  <c r="O1384" i="1" a="1"/>
  <c r="N1384" i="1"/>
  <c r="M1384" i="1"/>
  <c r="O1383" i="1" a="1"/>
  <c r="O1383" i="1" s="1"/>
  <c r="N1383" i="1"/>
  <c r="M1383" i="1"/>
  <c r="O1382" i="1"/>
  <c r="O1382" i="1" a="1"/>
  <c r="N1382" i="1"/>
  <c r="M1382" i="1"/>
  <c r="O1381" i="1"/>
  <c r="O1381" i="1" a="1"/>
  <c r="N1381" i="1"/>
  <c r="M1381" i="1"/>
  <c r="O1380" i="1" a="1"/>
  <c r="O1380" i="1" s="1"/>
  <c r="N1380" i="1"/>
  <c r="M1380" i="1"/>
  <c r="O1379" i="1"/>
  <c r="O1379" i="1" a="1"/>
  <c r="N1379" i="1"/>
  <c r="M1379" i="1"/>
  <c r="O1378" i="1" a="1"/>
  <c r="O1378" i="1" s="1"/>
  <c r="N1378" i="1"/>
  <c r="M1378" i="1"/>
  <c r="O1377" i="1" a="1"/>
  <c r="O1377" i="1" s="1"/>
  <c r="N1377" i="1"/>
  <c r="M1377" i="1"/>
  <c r="O1376" i="1" a="1"/>
  <c r="O1376" i="1" s="1"/>
  <c r="N1376" i="1"/>
  <c r="M1376" i="1"/>
  <c r="O1375" i="1"/>
  <c r="O1375" i="1" a="1"/>
  <c r="N1375" i="1"/>
  <c r="M1375" i="1"/>
  <c r="O1374" i="1" a="1"/>
  <c r="O1374" i="1" s="1"/>
  <c r="N1374" i="1"/>
  <c r="M1374" i="1"/>
  <c r="O1373" i="1" a="1"/>
  <c r="O1373" i="1" s="1"/>
  <c r="N1373" i="1"/>
  <c r="M1373" i="1"/>
  <c r="O1372" i="1"/>
  <c r="O1372" i="1" a="1"/>
  <c r="N1372" i="1"/>
  <c r="M1372" i="1"/>
  <c r="O1371" i="1" a="1"/>
  <c r="O1371" i="1" s="1"/>
  <c r="N1371" i="1"/>
  <c r="M1371" i="1"/>
  <c r="O1370" i="1" a="1"/>
  <c r="O1370" i="1" s="1"/>
  <c r="N1370" i="1"/>
  <c r="M1370" i="1"/>
  <c r="O1369" i="1" a="1"/>
  <c r="O1369" i="1" s="1"/>
  <c r="N1369" i="1"/>
  <c r="M1369" i="1"/>
  <c r="O1368" i="1"/>
  <c r="O1368" i="1" a="1"/>
  <c r="N1368" i="1"/>
  <c r="M1368" i="1"/>
  <c r="O1367" i="1" a="1"/>
  <c r="O1367" i="1" s="1"/>
  <c r="N1367" i="1"/>
  <c r="M1367" i="1"/>
  <c r="O1366" i="1" a="1"/>
  <c r="O1366" i="1" s="1"/>
  <c r="N1366" i="1"/>
  <c r="M1366" i="1"/>
  <c r="O1365" i="1"/>
  <c r="O1365" i="1" a="1"/>
  <c r="N1365" i="1"/>
  <c r="M1365" i="1"/>
  <c r="O1364" i="1" a="1"/>
  <c r="O1364" i="1" s="1"/>
  <c r="N1364" i="1"/>
  <c r="M1364" i="1"/>
  <c r="O1363" i="1"/>
  <c r="O1363" i="1" a="1"/>
  <c r="N1363" i="1"/>
  <c r="M1363" i="1"/>
  <c r="O1362" i="1"/>
  <c r="O1362" i="1" a="1"/>
  <c r="N1362" i="1"/>
  <c r="M1362" i="1"/>
  <c r="O1361" i="1" a="1"/>
  <c r="O1361" i="1" s="1"/>
  <c r="N1361" i="1"/>
  <c r="M1361" i="1"/>
  <c r="O1360" i="1" a="1"/>
  <c r="O1360" i="1" s="1"/>
  <c r="N1360" i="1"/>
  <c r="M1360" i="1"/>
  <c r="O1359" i="1" a="1"/>
  <c r="O1359" i="1" s="1"/>
  <c r="N1359" i="1"/>
  <c r="M1359" i="1"/>
  <c r="O1358" i="1"/>
  <c r="O1358" i="1" a="1"/>
  <c r="N1358" i="1"/>
  <c r="M1358" i="1"/>
  <c r="O1357" i="1" a="1"/>
  <c r="O1357" i="1" s="1"/>
  <c r="N1357" i="1"/>
  <c r="M1357" i="1"/>
  <c r="O1356" i="1"/>
  <c r="O1356" i="1" a="1"/>
  <c r="N1356" i="1"/>
  <c r="M1356" i="1"/>
  <c r="O1355" i="1"/>
  <c r="O1355" i="1" a="1"/>
  <c r="N1355" i="1"/>
  <c r="M1355" i="1"/>
  <c r="O1354" i="1" a="1"/>
  <c r="O1354" i="1" s="1"/>
  <c r="N1354" i="1"/>
  <c r="M1354" i="1"/>
  <c r="O1353" i="1"/>
  <c r="O1353" i="1" a="1"/>
  <c r="N1353" i="1"/>
  <c r="M1353" i="1"/>
  <c r="O1352" i="1"/>
  <c r="O1352" i="1" a="1"/>
  <c r="N1352" i="1"/>
  <c r="M1352" i="1"/>
  <c r="O1351" i="1"/>
  <c r="O1351" i="1" a="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c r="O1344" i="1" a="1"/>
  <c r="N1344" i="1"/>
  <c r="M1344" i="1"/>
  <c r="O1343" i="1"/>
  <c r="O1343" i="1" a="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c r="O1337" i="1" a="1"/>
  <c r="N1337" i="1"/>
  <c r="M1337" i="1"/>
  <c r="O1336" i="1"/>
  <c r="O1336" i="1" a="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c r="O1330" i="1" a="1"/>
  <c r="N1330" i="1"/>
  <c r="M1330" i="1"/>
  <c r="O1329" i="1"/>
  <c r="O1329" i="1" a="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c r="O1323" i="1" a="1"/>
  <c r="N1323" i="1"/>
  <c r="M1323" i="1"/>
  <c r="O1322" i="1"/>
  <c r="O1322" i="1" a="1"/>
  <c r="N1322" i="1"/>
  <c r="M1322" i="1"/>
  <c r="O1321" i="1" a="1"/>
  <c r="O1321" i="1" s="1"/>
  <c r="N1321" i="1"/>
  <c r="M1321" i="1"/>
  <c r="O1320" i="1" a="1"/>
  <c r="O1320" i="1" s="1"/>
  <c r="N1320" i="1"/>
  <c r="M1320" i="1"/>
  <c r="O1319" i="1"/>
  <c r="O1319" i="1" a="1"/>
  <c r="N1319" i="1"/>
  <c r="M1319" i="1"/>
  <c r="O1318" i="1" a="1"/>
  <c r="O1318" i="1" s="1"/>
  <c r="N1318" i="1"/>
  <c r="M1318" i="1"/>
  <c r="O1317" i="1" a="1"/>
  <c r="O1317" i="1" s="1"/>
  <c r="N1317" i="1"/>
  <c r="M1317" i="1"/>
  <c r="O1316" i="1"/>
  <c r="O1316" i="1" a="1"/>
  <c r="N1316" i="1"/>
  <c r="M1316" i="1"/>
  <c r="O1315" i="1"/>
  <c r="O1315" i="1" a="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c r="O1309" i="1" a="1"/>
  <c r="N1309" i="1"/>
  <c r="M1309" i="1"/>
  <c r="O1308" i="1"/>
  <c r="O1308" i="1" a="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c r="O1302" i="1" a="1"/>
  <c r="N1302" i="1"/>
  <c r="M1302" i="1"/>
  <c r="O1301" i="1"/>
  <c r="O1301" i="1" a="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c r="O1295" i="1" a="1"/>
  <c r="N1295" i="1"/>
  <c r="M1295" i="1"/>
  <c r="O1294" i="1"/>
  <c r="O1294" i="1" a="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c r="O1288" i="1" a="1"/>
  <c r="N1288" i="1"/>
  <c r="M1288" i="1"/>
  <c r="O1287" i="1"/>
  <c r="O1287" i="1" a="1"/>
  <c r="N1287" i="1"/>
  <c r="M1287" i="1"/>
  <c r="O1286" i="1" a="1"/>
  <c r="O1286" i="1" s="1"/>
  <c r="N1286" i="1"/>
  <c r="M1286" i="1"/>
  <c r="O1285" i="1" a="1"/>
  <c r="O1285" i="1" s="1"/>
  <c r="N1285" i="1"/>
  <c r="M1285" i="1"/>
  <c r="O1284" i="1"/>
  <c r="O1284" i="1" a="1"/>
  <c r="N1284" i="1"/>
  <c r="M1284" i="1"/>
  <c r="O1283" i="1" a="1"/>
  <c r="O1283" i="1" s="1"/>
  <c r="N1283" i="1"/>
  <c r="M1283" i="1"/>
  <c r="O1282" i="1" a="1"/>
  <c r="O1282" i="1" s="1"/>
  <c r="N1282" i="1"/>
  <c r="M1282" i="1"/>
  <c r="O1281" i="1"/>
  <c r="O1281" i="1" a="1"/>
  <c r="N1281" i="1"/>
  <c r="M1281" i="1"/>
  <c r="O1280" i="1"/>
  <c r="O1280" i="1" a="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c r="O1274" i="1" a="1"/>
  <c r="N1274" i="1"/>
  <c r="M1274" i="1"/>
  <c r="O1273" i="1"/>
  <c r="O1273" i="1" a="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c r="O1267" i="1" a="1"/>
  <c r="N1267" i="1"/>
  <c r="M1267" i="1"/>
  <c r="O1266" i="1"/>
  <c r="O1266" i="1" a="1"/>
  <c r="N1266" i="1"/>
  <c r="M1266" i="1"/>
  <c r="O1265" i="1" a="1"/>
  <c r="O1265" i="1" s="1"/>
  <c r="N1265" i="1"/>
  <c r="M1265" i="1"/>
  <c r="O1264" i="1" a="1"/>
  <c r="O1264" i="1" s="1"/>
  <c r="N1264" i="1"/>
  <c r="M1264" i="1"/>
  <c r="O1263" i="1"/>
  <c r="O1263" i="1" a="1"/>
  <c r="N1263" i="1"/>
  <c r="M1263" i="1"/>
  <c r="O1262" i="1" a="1"/>
  <c r="O1262" i="1" s="1"/>
  <c r="N1262" i="1"/>
  <c r="M1262" i="1"/>
  <c r="O1261" i="1" a="1"/>
  <c r="O1261" i="1" s="1"/>
  <c r="N1261" i="1"/>
  <c r="M1261" i="1"/>
  <c r="O1260" i="1"/>
  <c r="O1260" i="1" a="1"/>
  <c r="N1260" i="1"/>
  <c r="M1260" i="1"/>
  <c r="O1259" i="1"/>
  <c r="O1259" i="1" a="1"/>
  <c r="N1259" i="1"/>
  <c r="M1259" i="1"/>
  <c r="O1258" i="1" a="1"/>
  <c r="O1258" i="1" s="1"/>
  <c r="N1258" i="1"/>
  <c r="M1258" i="1"/>
  <c r="O1257" i="1" a="1"/>
  <c r="O1257" i="1" s="1"/>
  <c r="N1257" i="1"/>
  <c r="M1257" i="1"/>
  <c r="O1256" i="1" a="1"/>
  <c r="O1256" i="1" s="1"/>
  <c r="N1256" i="1"/>
  <c r="M1256" i="1"/>
  <c r="O1255" i="1"/>
  <c r="O1255" i="1" a="1"/>
  <c r="N1255" i="1"/>
  <c r="M1255" i="1"/>
  <c r="O1254" i="1" a="1"/>
  <c r="O1254" i="1" s="1"/>
  <c r="N1254" i="1"/>
  <c r="M1254" i="1"/>
  <c r="O1253" i="1"/>
  <c r="O1253" i="1" a="1"/>
  <c r="N1253" i="1"/>
  <c r="M1253" i="1"/>
  <c r="O1252" i="1"/>
  <c r="O1252" i="1" a="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c r="O1246" i="1" a="1"/>
  <c r="N1246" i="1"/>
  <c r="M1246" i="1"/>
  <c r="O1245" i="1"/>
  <c r="O1245" i="1" a="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c r="O1239" i="1" a="1"/>
  <c r="N1239" i="1"/>
  <c r="M1239" i="1"/>
  <c r="O1238" i="1"/>
  <c r="O1238" i="1" a="1"/>
  <c r="N1238" i="1"/>
  <c r="M1238" i="1"/>
  <c r="O1237" i="1" a="1"/>
  <c r="O1237" i="1" s="1"/>
  <c r="N1237" i="1"/>
  <c r="M1237" i="1"/>
  <c r="O1236" i="1" a="1"/>
  <c r="O1236" i="1" s="1"/>
  <c r="N1236" i="1"/>
  <c r="M1236" i="1"/>
  <c r="O1235" i="1" a="1"/>
  <c r="O1235" i="1" s="1"/>
  <c r="N1235" i="1"/>
  <c r="M1235" i="1"/>
  <c r="O1234" i="1" a="1"/>
  <c r="O1234" i="1" s="1"/>
  <c r="N1234" i="1"/>
  <c r="M1234" i="1"/>
  <c r="O1233" i="1"/>
  <c r="O1233" i="1" a="1"/>
  <c r="N1233" i="1"/>
  <c r="M1233" i="1"/>
  <c r="O1232" i="1"/>
  <c r="O1232" i="1" a="1"/>
  <c r="N1232" i="1"/>
  <c r="M1232" i="1"/>
  <c r="O1231" i="1"/>
  <c r="O1231" i="1" a="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c r="O1225" i="1" a="1"/>
  <c r="N1225" i="1"/>
  <c r="M1225" i="1"/>
  <c r="O1224" i="1"/>
  <c r="O1224" i="1" a="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c r="O1218" i="1" a="1"/>
  <c r="N1218" i="1"/>
  <c r="M1218" i="1"/>
  <c r="O1217" i="1"/>
  <c r="O1217" i="1" a="1"/>
  <c r="N1217" i="1"/>
  <c r="M1217" i="1"/>
  <c r="O1216" i="1" a="1"/>
  <c r="O1216" i="1" s="1"/>
  <c r="N1216" i="1"/>
  <c r="M1216" i="1"/>
  <c r="O1215" i="1" a="1"/>
  <c r="O1215" i="1" s="1"/>
  <c r="N1215" i="1"/>
  <c r="M1215" i="1"/>
  <c r="O1214" i="1" a="1"/>
  <c r="O1214" i="1" s="1"/>
  <c r="N1214" i="1"/>
  <c r="M1214" i="1"/>
  <c r="O1213" i="1"/>
  <c r="O1213" i="1" a="1"/>
  <c r="N1213" i="1"/>
  <c r="M1213" i="1"/>
  <c r="O1212" i="1" a="1"/>
  <c r="O1212" i="1" s="1"/>
  <c r="N1212" i="1"/>
  <c r="M1212" i="1"/>
  <c r="O1211" i="1"/>
  <c r="O1211" i="1" a="1"/>
  <c r="N1211" i="1"/>
  <c r="M1211" i="1"/>
  <c r="O1210" i="1"/>
  <c r="O1210" i="1" a="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c r="O1204" i="1" a="1"/>
  <c r="N1204" i="1"/>
  <c r="M1204" i="1"/>
  <c r="O1203" i="1"/>
  <c r="O1203" i="1" a="1"/>
  <c r="N1203" i="1"/>
  <c r="M1203" i="1"/>
  <c r="O1202" i="1" a="1"/>
  <c r="O1202" i="1" s="1"/>
  <c r="N1202" i="1"/>
  <c r="M1202" i="1"/>
  <c r="O1201" i="1" a="1"/>
  <c r="O1201" i="1" s="1"/>
  <c r="N1201" i="1"/>
  <c r="M1201" i="1"/>
  <c r="O1200" i="1" a="1"/>
  <c r="O1200" i="1" s="1"/>
  <c r="N1200" i="1"/>
  <c r="M1200" i="1"/>
  <c r="O1199" i="1" a="1"/>
  <c r="O1199" i="1" s="1"/>
  <c r="N1199" i="1"/>
  <c r="M1199" i="1"/>
  <c r="O1198" i="1"/>
  <c r="O1198" i="1" a="1"/>
  <c r="N1198" i="1"/>
  <c r="M1198" i="1"/>
  <c r="O1197" i="1"/>
  <c r="O1197" i="1" a="1"/>
  <c r="N1197" i="1"/>
  <c r="M1197" i="1"/>
  <c r="O1196" i="1"/>
  <c r="O1196" i="1" a="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c r="O1190" i="1" a="1"/>
  <c r="N1190" i="1"/>
  <c r="M1190" i="1"/>
  <c r="O1189" i="1"/>
  <c r="O1189" i="1" a="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c r="O1183" i="1" a="1"/>
  <c r="N1183" i="1"/>
  <c r="M1183" i="1"/>
  <c r="O1182" i="1"/>
  <c r="O1182" i="1" a="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c r="O1176" i="1" a="1"/>
  <c r="N1176" i="1"/>
  <c r="M1176" i="1"/>
  <c r="O1175" i="1"/>
  <c r="O1175" i="1" a="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c r="O1169" i="1" a="1"/>
  <c r="N1169" i="1"/>
  <c r="M1169" i="1"/>
  <c r="O1168" i="1"/>
  <c r="O1168" i="1" a="1"/>
  <c r="N1168" i="1"/>
  <c r="M1168" i="1"/>
  <c r="O1167" i="1" a="1"/>
  <c r="O1167" i="1" s="1"/>
  <c r="N1167" i="1"/>
  <c r="M1167" i="1"/>
  <c r="O1166" i="1" a="1"/>
  <c r="O1166" i="1" s="1"/>
  <c r="N1166" i="1"/>
  <c r="M1166" i="1"/>
  <c r="O1165" i="1"/>
  <c r="O1165" i="1" a="1"/>
  <c r="N1165" i="1"/>
  <c r="M1165" i="1"/>
  <c r="O1164" i="1" a="1"/>
  <c r="O1164" i="1" s="1"/>
  <c r="N1164" i="1"/>
  <c r="M1164" i="1"/>
  <c r="O1163" i="1" a="1"/>
  <c r="O1163" i="1" s="1"/>
  <c r="N1163" i="1"/>
  <c r="M1163" i="1"/>
  <c r="O1162" i="1"/>
  <c r="O1162" i="1" a="1"/>
  <c r="N1162" i="1"/>
  <c r="M1162" i="1"/>
  <c r="O1161" i="1"/>
  <c r="O1161" i="1" a="1"/>
  <c r="N1161" i="1"/>
  <c r="M1161" i="1"/>
  <c r="O1160" i="1" a="1"/>
  <c r="O1160" i="1" s="1"/>
  <c r="N1160" i="1"/>
  <c r="M1160" i="1"/>
  <c r="O1159" i="1" a="1"/>
  <c r="O1159" i="1" s="1"/>
  <c r="N1159" i="1"/>
  <c r="M1159" i="1"/>
  <c r="O1158" i="1" a="1"/>
  <c r="O1158" i="1" s="1"/>
  <c r="N1158" i="1"/>
  <c r="M1158" i="1"/>
  <c r="O1157" i="1"/>
  <c r="O1157" i="1" a="1"/>
  <c r="N1157" i="1"/>
  <c r="M1157" i="1"/>
  <c r="O1156" i="1" a="1"/>
  <c r="O1156" i="1" s="1"/>
  <c r="N1156" i="1"/>
  <c r="M1156" i="1"/>
  <c r="O1155" i="1"/>
  <c r="O1155" i="1" a="1"/>
  <c r="N1155" i="1"/>
  <c r="M1155" i="1"/>
  <c r="O1154" i="1"/>
  <c r="O1154" i="1" a="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c r="O1148" i="1" a="1"/>
  <c r="N1148" i="1"/>
  <c r="M1148" i="1"/>
  <c r="O1147" i="1"/>
  <c r="O1147" i="1" a="1"/>
  <c r="N1147" i="1"/>
  <c r="M1147" i="1"/>
  <c r="O1146" i="1" a="1"/>
  <c r="O1146" i="1" s="1"/>
  <c r="N1146" i="1"/>
  <c r="M1146" i="1"/>
  <c r="O1145" i="1" a="1"/>
  <c r="O1145" i="1" s="1"/>
  <c r="N1145" i="1"/>
  <c r="M1145" i="1"/>
  <c r="O1144" i="1" a="1"/>
  <c r="O1144" i="1" s="1"/>
  <c r="N1144" i="1"/>
  <c r="M1144" i="1"/>
  <c r="O1143" i="1" a="1"/>
  <c r="O1143" i="1" s="1"/>
  <c r="N1143" i="1"/>
  <c r="M1143" i="1"/>
  <c r="O1142" i="1"/>
  <c r="O1142" i="1" a="1"/>
  <c r="N1142" i="1"/>
  <c r="M1142" i="1"/>
  <c r="O1141" i="1"/>
  <c r="O1141" i="1" a="1"/>
  <c r="N1141" i="1"/>
  <c r="M1141" i="1"/>
  <c r="O1140" i="1"/>
  <c r="O1140" i="1" a="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c r="O1134" i="1" a="1"/>
  <c r="N1134" i="1"/>
  <c r="M1134" i="1"/>
  <c r="O1133" i="1"/>
  <c r="O1133" i="1" a="1"/>
  <c r="N1133" i="1"/>
  <c r="M1133" i="1"/>
  <c r="O1132" i="1" a="1"/>
  <c r="O1132" i="1" s="1"/>
  <c r="N1132" i="1"/>
  <c r="M1132" i="1"/>
  <c r="O1131" i="1" a="1"/>
  <c r="O1131" i="1" s="1"/>
  <c r="N1131" i="1"/>
  <c r="M1131" i="1"/>
  <c r="O1130" i="1"/>
  <c r="O1130" i="1" a="1"/>
  <c r="N1130" i="1"/>
  <c r="M1130" i="1"/>
  <c r="O1129" i="1" a="1"/>
  <c r="O1129" i="1" s="1"/>
  <c r="N1129" i="1"/>
  <c r="M1129" i="1"/>
  <c r="O1128" i="1" a="1"/>
  <c r="O1128" i="1" s="1"/>
  <c r="N1128" i="1"/>
  <c r="M1128" i="1"/>
  <c r="O1127" i="1"/>
  <c r="O1127" i="1" a="1"/>
  <c r="N1127" i="1"/>
  <c r="M1127" i="1"/>
  <c r="O1126" i="1"/>
  <c r="O1126" i="1" a="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c r="O1120" i="1" a="1"/>
  <c r="N1120" i="1"/>
  <c r="M1120" i="1"/>
  <c r="O1119" i="1"/>
  <c r="O1119" i="1" a="1"/>
  <c r="N1119" i="1"/>
  <c r="M1119" i="1"/>
  <c r="O1118" i="1" a="1"/>
  <c r="O1118" i="1" s="1"/>
  <c r="N1118" i="1"/>
  <c r="M1118" i="1"/>
  <c r="O1117" i="1" a="1"/>
  <c r="O1117" i="1" s="1"/>
  <c r="N1117" i="1"/>
  <c r="M1117" i="1"/>
  <c r="O1116" i="1" a="1"/>
  <c r="O1116" i="1" s="1"/>
  <c r="N1116" i="1"/>
  <c r="M1116" i="1"/>
  <c r="O1115" i="1"/>
  <c r="O1115" i="1" a="1"/>
  <c r="N1115" i="1"/>
  <c r="M1115" i="1"/>
  <c r="O1114" i="1"/>
  <c r="O1114" i="1" a="1"/>
  <c r="N1114" i="1"/>
  <c r="M1114" i="1"/>
  <c r="O1113" i="1"/>
  <c r="O1113" i="1" a="1"/>
  <c r="N1113" i="1"/>
  <c r="M1113" i="1"/>
  <c r="O1112" i="1"/>
  <c r="O1112" i="1" a="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c r="O1106" i="1" a="1"/>
  <c r="N1106" i="1"/>
  <c r="M1106" i="1"/>
  <c r="O1105" i="1"/>
  <c r="O1105" i="1" a="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c r="O1099" i="1" a="1"/>
  <c r="N1099" i="1"/>
  <c r="M1099" i="1"/>
  <c r="O1098" i="1"/>
  <c r="O1098" i="1" a="1"/>
  <c r="N1098" i="1"/>
  <c r="M1098" i="1"/>
  <c r="O1097" i="1" a="1"/>
  <c r="O1097" i="1" s="1"/>
  <c r="N1097" i="1"/>
  <c r="M1097" i="1"/>
  <c r="O1096" i="1" a="1"/>
  <c r="O1096" i="1" s="1"/>
  <c r="N1096" i="1"/>
  <c r="M1096" i="1"/>
  <c r="O1095" i="1" a="1"/>
  <c r="O1095" i="1" s="1"/>
  <c r="N1095" i="1"/>
  <c r="M1095" i="1"/>
  <c r="O1094" i="1"/>
  <c r="O1094" i="1" a="1"/>
  <c r="N1094" i="1"/>
  <c r="M1094" i="1"/>
  <c r="O1093" i="1" a="1"/>
  <c r="O1093" i="1" s="1"/>
  <c r="N1093" i="1"/>
  <c r="M1093" i="1"/>
  <c r="O1092" i="1"/>
  <c r="O1092" i="1" a="1"/>
  <c r="N1092" i="1"/>
  <c r="M1092" i="1"/>
  <c r="O1091" i="1"/>
  <c r="O1091" i="1" a="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c r="O1085" i="1" a="1"/>
  <c r="N1085" i="1"/>
  <c r="M1085" i="1"/>
  <c r="O1084" i="1"/>
  <c r="O1084" i="1" a="1"/>
  <c r="N1084" i="1"/>
  <c r="M1084" i="1"/>
  <c r="O1083" i="1" a="1"/>
  <c r="O1083" i="1" s="1"/>
  <c r="N1083" i="1"/>
  <c r="M1083" i="1"/>
  <c r="O1082" i="1" a="1"/>
  <c r="O1082" i="1" s="1"/>
  <c r="N1082" i="1"/>
  <c r="M1082" i="1"/>
  <c r="O1081" i="1" a="1"/>
  <c r="O1081" i="1" s="1"/>
  <c r="N1081" i="1"/>
  <c r="M1081" i="1"/>
  <c r="O1080" i="1" a="1"/>
  <c r="O1080" i="1" s="1"/>
  <c r="N1080" i="1"/>
  <c r="M1080" i="1"/>
  <c r="O1079" i="1"/>
  <c r="O1079" i="1" a="1"/>
  <c r="N1079" i="1"/>
  <c r="M1079" i="1"/>
  <c r="O1078" i="1"/>
  <c r="O1078" i="1" a="1"/>
  <c r="N1078" i="1"/>
  <c r="M1078" i="1"/>
  <c r="O1077" i="1"/>
  <c r="O1077" i="1" a="1"/>
  <c r="N1077" i="1"/>
  <c r="M1077" i="1"/>
  <c r="O1076" i="1" a="1"/>
  <c r="O1076" i="1" s="1"/>
  <c r="N1076" i="1"/>
  <c r="M1076" i="1"/>
  <c r="O1075" i="1" a="1"/>
  <c r="O1075" i="1" s="1"/>
  <c r="N1075" i="1"/>
  <c r="M1075" i="1"/>
  <c r="O1074" i="1" a="1"/>
  <c r="O1074" i="1" s="1"/>
  <c r="N1074" i="1"/>
  <c r="M1074" i="1"/>
  <c r="O1073" i="1"/>
  <c r="O1073" i="1" a="1"/>
  <c r="N1073" i="1"/>
  <c r="M1073" i="1"/>
  <c r="O1072" i="1" a="1"/>
  <c r="O1072" i="1" s="1"/>
  <c r="N1072" i="1"/>
  <c r="M1072" i="1"/>
  <c r="O1071" i="1"/>
  <c r="O1071" i="1" a="1"/>
  <c r="N1071" i="1"/>
  <c r="M1071" i="1"/>
  <c r="O1070" i="1"/>
  <c r="O1070" i="1" a="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c r="O1064" i="1" a="1"/>
  <c r="N1064" i="1"/>
  <c r="M1064" i="1"/>
  <c r="O1063" i="1"/>
  <c r="O1063" i="1" a="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c r="O1056" i="1" a="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c r="O1049" i="1" a="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c r="O1042" i="1" a="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c r="O1035" i="1" a="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c r="O1028" i="1" a="1"/>
  <c r="N1028" i="1"/>
  <c r="M1028" i="1"/>
  <c r="O1027" i="1" a="1"/>
  <c r="O1027" i="1" s="1"/>
  <c r="N1027" i="1"/>
  <c r="M1027" i="1"/>
  <c r="O1026" i="1" a="1"/>
  <c r="O1026" i="1" s="1"/>
  <c r="N1026" i="1"/>
  <c r="M1026" i="1"/>
  <c r="O1025" i="1"/>
  <c r="O1025" i="1" a="1"/>
  <c r="N1025" i="1"/>
  <c r="M1025" i="1"/>
  <c r="O1024" i="1" a="1"/>
  <c r="O1024" i="1" s="1"/>
  <c r="N1024" i="1"/>
  <c r="M1024" i="1"/>
  <c r="O1023" i="1" a="1"/>
  <c r="O1023" i="1" s="1"/>
  <c r="N1023" i="1"/>
  <c r="M1023" i="1"/>
  <c r="O1022" i="1" a="1"/>
  <c r="O1022" i="1" s="1"/>
  <c r="N1022" i="1"/>
  <c r="M1022" i="1"/>
  <c r="O1021" i="1"/>
  <c r="O1021" i="1" a="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c r="O1014" i="1" a="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c r="O1007" i="1" a="1"/>
  <c r="N1007" i="1"/>
  <c r="M1007" i="1"/>
  <c r="O1006" i="1" a="1"/>
  <c r="O1006" i="1" s="1"/>
  <c r="N1006" i="1"/>
  <c r="M1006" i="1"/>
  <c r="O1005" i="1" a="1"/>
  <c r="O1005" i="1" s="1"/>
  <c r="N1005" i="1"/>
  <c r="M1005" i="1"/>
  <c r="O1004" i="1" a="1"/>
  <c r="O1004" i="1" s="1"/>
  <c r="N1004" i="1"/>
  <c r="M1004" i="1"/>
  <c r="O1003" i="1" a="1"/>
  <c r="O1003" i="1" s="1"/>
  <c r="N1003" i="1"/>
  <c r="M1003" i="1"/>
  <c r="O1002" i="1"/>
  <c r="O1002" i="1" a="1"/>
  <c r="N1002" i="1"/>
  <c r="M1002" i="1"/>
  <c r="O1001" i="1" a="1"/>
  <c r="O1001" i="1" s="1"/>
  <c r="N1001" i="1"/>
  <c r="M1001" i="1"/>
  <c r="O1000" i="1"/>
  <c r="O1000" i="1" a="1"/>
  <c r="N1000" i="1"/>
  <c r="M1000" i="1"/>
  <c r="O999" i="1" a="1"/>
  <c r="O999" i="1" s="1"/>
  <c r="N999" i="1"/>
  <c r="M999" i="1"/>
  <c r="O998" i="1" a="1"/>
  <c r="O998" i="1" s="1"/>
  <c r="N998" i="1"/>
  <c r="M998" i="1"/>
  <c r="O997" i="1" a="1"/>
  <c r="O997" i="1" s="1"/>
  <c r="N997" i="1"/>
  <c r="M997" i="1"/>
  <c r="O996" i="1" a="1"/>
  <c r="O996" i="1" s="1"/>
  <c r="N996" i="1"/>
  <c r="M996" i="1"/>
  <c r="O995" i="1"/>
  <c r="O995" i="1" a="1"/>
  <c r="N995" i="1"/>
  <c r="M995" i="1"/>
  <c r="O994" i="1" a="1"/>
  <c r="O994" i="1" s="1"/>
  <c r="N994" i="1"/>
  <c r="M994" i="1"/>
  <c r="O993" i="1"/>
  <c r="O993" i="1" a="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c r="O986" i="1" a="1"/>
  <c r="N986" i="1"/>
  <c r="M986" i="1"/>
  <c r="O985" i="1" a="1"/>
  <c r="O985" i="1" s="1"/>
  <c r="N985" i="1"/>
  <c r="M985" i="1"/>
  <c r="O984" i="1" a="1"/>
  <c r="O984" i="1" s="1"/>
  <c r="N984" i="1"/>
  <c r="M984" i="1"/>
  <c r="O983" i="1" a="1"/>
  <c r="O983" i="1" s="1"/>
  <c r="N983" i="1"/>
  <c r="M983" i="1"/>
  <c r="O982" i="1" a="1"/>
  <c r="O982" i="1" s="1"/>
  <c r="N982" i="1"/>
  <c r="M982" i="1"/>
  <c r="O981" i="1"/>
  <c r="O981" i="1" a="1"/>
  <c r="N981" i="1"/>
  <c r="M981" i="1"/>
  <c r="O980" i="1" a="1"/>
  <c r="O980" i="1" s="1"/>
  <c r="N980" i="1"/>
  <c r="M980" i="1"/>
  <c r="O979" i="1"/>
  <c r="O979" i="1" a="1"/>
  <c r="N979" i="1"/>
  <c r="M979" i="1"/>
  <c r="O978" i="1" a="1"/>
  <c r="O978" i="1" s="1"/>
  <c r="N978" i="1"/>
  <c r="M978" i="1"/>
  <c r="O977" i="1" a="1"/>
  <c r="O977" i="1" s="1"/>
  <c r="N977" i="1"/>
  <c r="M977" i="1"/>
  <c r="O976" i="1"/>
  <c r="O976" i="1" a="1"/>
  <c r="N976" i="1"/>
  <c r="M976" i="1"/>
  <c r="O975" i="1" a="1"/>
  <c r="O975" i="1" s="1"/>
  <c r="N975" i="1"/>
  <c r="M975" i="1"/>
  <c r="O974" i="1" a="1"/>
  <c r="O974" i="1" s="1"/>
  <c r="N974" i="1"/>
  <c r="M974" i="1"/>
  <c r="O973" i="1" a="1"/>
  <c r="O973" i="1" s="1"/>
  <c r="N973" i="1"/>
  <c r="M973" i="1"/>
  <c r="O972" i="1"/>
  <c r="O972" i="1" a="1"/>
  <c r="N972" i="1"/>
  <c r="M972" i="1"/>
  <c r="O971" i="1" a="1"/>
  <c r="O971" i="1" s="1"/>
  <c r="N971" i="1"/>
  <c r="M971" i="1"/>
  <c r="O970" i="1" a="1"/>
  <c r="O970" i="1" s="1"/>
  <c r="N970" i="1"/>
  <c r="M970" i="1"/>
  <c r="O969" i="1" a="1"/>
  <c r="O969" i="1" s="1"/>
  <c r="N969" i="1"/>
  <c r="M969" i="1"/>
  <c r="O968" i="1"/>
  <c r="O968" i="1" a="1"/>
  <c r="N968" i="1"/>
  <c r="M968" i="1"/>
  <c r="O967" i="1" a="1"/>
  <c r="O967" i="1" s="1"/>
  <c r="N967" i="1"/>
  <c r="M967" i="1"/>
  <c r="O966" i="1" a="1"/>
  <c r="O966" i="1" s="1"/>
  <c r="N966" i="1"/>
  <c r="M966" i="1"/>
  <c r="O965" i="1"/>
  <c r="O965" i="1" a="1"/>
  <c r="N965" i="1"/>
  <c r="M965" i="1"/>
  <c r="O964" i="1" a="1"/>
  <c r="O964" i="1" s="1"/>
  <c r="N964" i="1"/>
  <c r="M964" i="1"/>
  <c r="O963" i="1" a="1"/>
  <c r="O963" i="1" s="1"/>
  <c r="N963" i="1"/>
  <c r="M963" i="1"/>
  <c r="O962" i="1" a="1"/>
  <c r="O962" i="1" s="1"/>
  <c r="N962" i="1"/>
  <c r="M962" i="1"/>
  <c r="O961" i="1" a="1"/>
  <c r="O961" i="1" s="1"/>
  <c r="N961" i="1"/>
  <c r="M961" i="1"/>
  <c r="O960" i="1"/>
  <c r="O960" i="1" a="1"/>
  <c r="N960" i="1"/>
  <c r="M960" i="1"/>
  <c r="O959" i="1" a="1"/>
  <c r="O959" i="1" s="1"/>
  <c r="N959" i="1"/>
  <c r="M959" i="1"/>
  <c r="O958" i="1"/>
  <c r="O958" i="1" a="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c r="O951" i="1" a="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c r="O944" i="1" a="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c r="O937" i="1" a="1"/>
  <c r="N937" i="1"/>
  <c r="M937" i="1"/>
  <c r="O936" i="1" a="1"/>
  <c r="O936" i="1" s="1"/>
  <c r="N936" i="1"/>
  <c r="M936" i="1"/>
  <c r="O935" i="1" a="1"/>
  <c r="O935" i="1" s="1"/>
  <c r="N935" i="1"/>
  <c r="M935" i="1"/>
  <c r="O934" i="1" a="1"/>
  <c r="O934" i="1" s="1"/>
  <c r="N934" i="1"/>
  <c r="M934" i="1"/>
  <c r="O933" i="1"/>
  <c r="O933" i="1" a="1"/>
  <c r="N933" i="1"/>
  <c r="M933" i="1"/>
  <c r="O932" i="1" a="1"/>
  <c r="O932" i="1" s="1"/>
  <c r="N932" i="1"/>
  <c r="M932" i="1"/>
  <c r="O931" i="1" a="1"/>
  <c r="O931" i="1" s="1"/>
  <c r="N931" i="1"/>
  <c r="M931" i="1"/>
  <c r="O930" i="1"/>
  <c r="O930" i="1" a="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c r="O923" i="1" a="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c r="O916" i="1" a="1"/>
  <c r="N916" i="1"/>
  <c r="M916" i="1"/>
  <c r="O915" i="1" a="1"/>
  <c r="O915" i="1" s="1"/>
  <c r="N915" i="1"/>
  <c r="M915" i="1"/>
  <c r="O914" i="1" a="1"/>
  <c r="O914" i="1" s="1"/>
  <c r="N914" i="1"/>
  <c r="M914" i="1"/>
  <c r="O913" i="1" a="1"/>
  <c r="O913" i="1" s="1"/>
  <c r="N913" i="1"/>
  <c r="M913" i="1"/>
  <c r="O912" i="1"/>
  <c r="O912" i="1" a="1"/>
  <c r="N912" i="1"/>
  <c r="M912" i="1"/>
  <c r="O911" i="1" a="1"/>
  <c r="O911" i="1" s="1"/>
  <c r="N911" i="1"/>
  <c r="M911" i="1"/>
  <c r="O910" i="1" a="1"/>
  <c r="O910" i="1" s="1"/>
  <c r="N910" i="1"/>
  <c r="M910" i="1"/>
  <c r="O909" i="1"/>
  <c r="O909" i="1" a="1"/>
  <c r="N909" i="1"/>
  <c r="M909" i="1"/>
  <c r="O908" i="1" a="1"/>
  <c r="O908" i="1" s="1"/>
  <c r="N908" i="1"/>
  <c r="M908" i="1"/>
  <c r="O907" i="1"/>
  <c r="O907" i="1" a="1"/>
  <c r="N907" i="1"/>
  <c r="M907" i="1"/>
  <c r="O906" i="1" a="1"/>
  <c r="O906" i="1" s="1"/>
  <c r="N906" i="1"/>
  <c r="M906" i="1"/>
  <c r="O905" i="1" a="1"/>
  <c r="O905" i="1" s="1"/>
  <c r="N905" i="1"/>
  <c r="M905" i="1"/>
  <c r="O904" i="1"/>
  <c r="O904" i="1" a="1"/>
  <c r="N904" i="1"/>
  <c r="M904" i="1"/>
  <c r="O903" i="1"/>
  <c r="O903" i="1" a="1"/>
  <c r="N903" i="1"/>
  <c r="M903" i="1"/>
  <c r="O902" i="1"/>
  <c r="O902" i="1" a="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c r="O896" i="1" a="1"/>
  <c r="N896" i="1"/>
  <c r="M896" i="1"/>
  <c r="O895" i="1"/>
  <c r="O895" i="1" a="1"/>
  <c r="N895" i="1"/>
  <c r="M895" i="1"/>
  <c r="O894" i="1" a="1"/>
  <c r="O894" i="1" s="1"/>
  <c r="N894" i="1"/>
  <c r="M894" i="1"/>
  <c r="O893" i="1"/>
  <c r="O893" i="1" a="1"/>
  <c r="N893" i="1"/>
  <c r="M893" i="1"/>
  <c r="O892" i="1" a="1"/>
  <c r="O892" i="1" s="1"/>
  <c r="N892" i="1"/>
  <c r="M892" i="1"/>
  <c r="O891" i="1"/>
  <c r="O891" i="1" a="1"/>
  <c r="N891" i="1"/>
  <c r="M891" i="1"/>
  <c r="O890" i="1"/>
  <c r="O890" i="1" a="1"/>
  <c r="N890" i="1"/>
  <c r="M890" i="1"/>
  <c r="O889" i="1" a="1"/>
  <c r="O889" i="1" s="1"/>
  <c r="N889" i="1"/>
  <c r="M889" i="1"/>
  <c r="O888" i="1"/>
  <c r="O888" i="1" a="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c r="O881" i="1" a="1"/>
  <c r="N881" i="1"/>
  <c r="M881" i="1"/>
  <c r="O880" i="1" a="1"/>
  <c r="O880" i="1" s="1"/>
  <c r="N880" i="1"/>
  <c r="M880" i="1"/>
  <c r="O879" i="1" a="1"/>
  <c r="O879" i="1" s="1"/>
  <c r="N879" i="1"/>
  <c r="M879" i="1"/>
  <c r="O878" i="1"/>
  <c r="O878" i="1" a="1"/>
  <c r="N878" i="1"/>
  <c r="M878" i="1"/>
  <c r="O877" i="1" a="1"/>
  <c r="O877" i="1" s="1"/>
  <c r="N877" i="1"/>
  <c r="M877" i="1"/>
  <c r="O876" i="1" a="1"/>
  <c r="O876" i="1" s="1"/>
  <c r="N876" i="1"/>
  <c r="M876" i="1"/>
  <c r="O875" i="1"/>
  <c r="O875" i="1" a="1"/>
  <c r="N875" i="1"/>
  <c r="M875" i="1"/>
  <c r="O874" i="1"/>
  <c r="O874" i="1" a="1"/>
  <c r="N874" i="1"/>
  <c r="M874" i="1"/>
  <c r="O873" i="1" a="1"/>
  <c r="O873" i="1" s="1"/>
  <c r="N873" i="1"/>
  <c r="M873" i="1"/>
  <c r="O872" i="1" a="1"/>
  <c r="O872" i="1" s="1"/>
  <c r="N872" i="1"/>
  <c r="M872" i="1"/>
  <c r="O871" i="1"/>
  <c r="O871" i="1" a="1"/>
  <c r="N871" i="1"/>
  <c r="M871" i="1"/>
  <c r="O870" i="1" a="1"/>
  <c r="O870" i="1" s="1"/>
  <c r="N870" i="1"/>
  <c r="M870" i="1"/>
  <c r="O869" i="1" a="1"/>
  <c r="O869" i="1" s="1"/>
  <c r="N869" i="1"/>
  <c r="M869" i="1"/>
  <c r="O868" i="1"/>
  <c r="O868" i="1" a="1"/>
  <c r="N868" i="1"/>
  <c r="M868" i="1"/>
  <c r="O867" i="1"/>
  <c r="O867" i="1" a="1"/>
  <c r="N867" i="1"/>
  <c r="M867" i="1"/>
  <c r="O866" i="1" a="1"/>
  <c r="O866" i="1" s="1"/>
  <c r="N866" i="1"/>
  <c r="M866" i="1"/>
  <c r="O865" i="1"/>
  <c r="O865" i="1" a="1"/>
  <c r="N865" i="1"/>
  <c r="M865" i="1"/>
  <c r="O864" i="1"/>
  <c r="O864" i="1" a="1"/>
  <c r="N864" i="1"/>
  <c r="M864" i="1"/>
  <c r="O863" i="1" a="1"/>
  <c r="O863" i="1" s="1"/>
  <c r="N863" i="1"/>
  <c r="M863" i="1"/>
  <c r="O862" i="1"/>
  <c r="O862" i="1" a="1"/>
  <c r="N862" i="1"/>
  <c r="M862" i="1"/>
  <c r="O861" i="1" a="1"/>
  <c r="O861" i="1" s="1"/>
  <c r="N861" i="1"/>
  <c r="M861" i="1"/>
  <c r="O860" i="1"/>
  <c r="O860" i="1" a="1"/>
  <c r="N860" i="1"/>
  <c r="M860" i="1"/>
  <c r="O859" i="1" a="1"/>
  <c r="O859" i="1" s="1"/>
  <c r="N859" i="1"/>
  <c r="M859" i="1"/>
  <c r="O858" i="1"/>
  <c r="O858" i="1" a="1"/>
  <c r="N858" i="1"/>
  <c r="M858" i="1"/>
  <c r="O857" i="1" a="1"/>
  <c r="O857" i="1" s="1"/>
  <c r="N857" i="1"/>
  <c r="M857" i="1"/>
  <c r="O856" i="1" a="1"/>
  <c r="O856" i="1" s="1"/>
  <c r="N856" i="1"/>
  <c r="M856" i="1"/>
  <c r="O855" i="1"/>
  <c r="O855" i="1" a="1"/>
  <c r="N855" i="1"/>
  <c r="M855" i="1"/>
  <c r="O854" i="1" a="1"/>
  <c r="O854" i="1" s="1"/>
  <c r="N854" i="1"/>
  <c r="M854" i="1"/>
  <c r="O853" i="1"/>
  <c r="O853" i="1" a="1"/>
  <c r="N853" i="1"/>
  <c r="M853" i="1"/>
  <c r="O852" i="1" a="1"/>
  <c r="O852" i="1" s="1"/>
  <c r="N852" i="1"/>
  <c r="M852" i="1"/>
  <c r="O851" i="1" a="1"/>
  <c r="O851" i="1" s="1"/>
  <c r="N851" i="1"/>
  <c r="M851" i="1"/>
  <c r="O850" i="1" a="1"/>
  <c r="O850" i="1" s="1"/>
  <c r="N850" i="1"/>
  <c r="M850" i="1"/>
  <c r="O849" i="1"/>
  <c r="O849" i="1" a="1"/>
  <c r="N849" i="1"/>
  <c r="M849" i="1"/>
  <c r="O848" i="1" a="1"/>
  <c r="O848" i="1" s="1"/>
  <c r="N848" i="1"/>
  <c r="M848" i="1"/>
  <c r="O847" i="1" a="1"/>
  <c r="O847" i="1" s="1"/>
  <c r="N847" i="1"/>
  <c r="M847" i="1"/>
  <c r="O846" i="1"/>
  <c r="O846" i="1" a="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c r="O839" i="1" a="1"/>
  <c r="N839" i="1"/>
  <c r="M839" i="1"/>
  <c r="O838" i="1" a="1"/>
  <c r="O838" i="1" s="1"/>
  <c r="N838" i="1"/>
  <c r="M838" i="1"/>
  <c r="O837" i="1" a="1"/>
  <c r="O837" i="1" s="1"/>
  <c r="N837" i="1"/>
  <c r="M837" i="1"/>
  <c r="O836" i="1"/>
  <c r="O836" i="1" a="1"/>
  <c r="N836" i="1"/>
  <c r="M836" i="1"/>
  <c r="O835" i="1" a="1"/>
  <c r="O835" i="1" s="1"/>
  <c r="N835" i="1"/>
  <c r="M835" i="1"/>
  <c r="O834" i="1" a="1"/>
  <c r="O834" i="1" s="1"/>
  <c r="N834" i="1"/>
  <c r="M834" i="1"/>
  <c r="O833" i="1"/>
  <c r="O833" i="1" a="1"/>
  <c r="N833" i="1"/>
  <c r="M833" i="1"/>
  <c r="O832" i="1"/>
  <c r="O832" i="1" a="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c r="O825" i="1" a="1"/>
  <c r="N825" i="1"/>
  <c r="M825" i="1"/>
  <c r="O824" i="1" a="1"/>
  <c r="O824" i="1" s="1"/>
  <c r="N824" i="1"/>
  <c r="M824" i="1"/>
  <c r="O823" i="1"/>
  <c r="O823" i="1" a="1"/>
  <c r="N823" i="1"/>
  <c r="M823" i="1"/>
  <c r="O822" i="1" a="1"/>
  <c r="O822" i="1" s="1"/>
  <c r="N822" i="1"/>
  <c r="M822" i="1"/>
  <c r="O821" i="1"/>
  <c r="O821" i="1" a="1"/>
  <c r="N821" i="1"/>
  <c r="M821" i="1"/>
  <c r="O820" i="1"/>
  <c r="O820" i="1" a="1"/>
  <c r="N820" i="1"/>
  <c r="M820" i="1"/>
  <c r="O819" i="1" a="1"/>
  <c r="O819" i="1" s="1"/>
  <c r="N819" i="1"/>
  <c r="M819" i="1"/>
  <c r="O818" i="1"/>
  <c r="O818" i="1" a="1"/>
  <c r="N818" i="1"/>
  <c r="M818" i="1"/>
  <c r="O817" i="1" a="1"/>
  <c r="O817" i="1" s="1"/>
  <c r="N817" i="1"/>
  <c r="M817" i="1"/>
  <c r="O816" i="1"/>
  <c r="O816" i="1" a="1"/>
  <c r="N816" i="1"/>
  <c r="M816" i="1"/>
  <c r="O815" i="1" a="1"/>
  <c r="O815" i="1" s="1"/>
  <c r="N815" i="1"/>
  <c r="M815" i="1"/>
  <c r="O814" i="1"/>
  <c r="O814" i="1" a="1"/>
  <c r="N814" i="1"/>
  <c r="M814" i="1"/>
  <c r="O813" i="1"/>
  <c r="O813" i="1" a="1"/>
  <c r="N813" i="1"/>
  <c r="M813" i="1"/>
  <c r="O812" i="1" a="1"/>
  <c r="O812" i="1" s="1"/>
  <c r="N812" i="1"/>
  <c r="M812" i="1"/>
  <c r="O811" i="1"/>
  <c r="O811" i="1" a="1"/>
  <c r="N811" i="1"/>
  <c r="M811" i="1"/>
  <c r="O810" i="1" a="1"/>
  <c r="O810" i="1" s="1"/>
  <c r="N810" i="1"/>
  <c r="M810" i="1"/>
  <c r="O809" i="1"/>
  <c r="O809" i="1" a="1"/>
  <c r="N809" i="1"/>
  <c r="M809" i="1"/>
  <c r="O808" i="1" a="1"/>
  <c r="O808" i="1" s="1"/>
  <c r="N808" i="1"/>
  <c r="M808" i="1"/>
  <c r="O807" i="1" a="1"/>
  <c r="O807" i="1" s="1"/>
  <c r="N807" i="1"/>
  <c r="M807" i="1"/>
  <c r="O806" i="1" a="1"/>
  <c r="O806" i="1" s="1"/>
  <c r="N806" i="1"/>
  <c r="M806" i="1"/>
  <c r="O805" i="1" a="1"/>
  <c r="O805" i="1" s="1"/>
  <c r="N805" i="1"/>
  <c r="M805" i="1"/>
  <c r="O804" i="1"/>
  <c r="O804" i="1" a="1"/>
  <c r="N804" i="1"/>
  <c r="M804" i="1"/>
  <c r="O803" i="1" a="1"/>
  <c r="O803" i="1" s="1"/>
  <c r="N803" i="1"/>
  <c r="M803" i="1"/>
  <c r="O802" i="1" a="1"/>
  <c r="O802" i="1" s="1"/>
  <c r="N802" i="1"/>
  <c r="M802" i="1"/>
  <c r="O801" i="1" a="1"/>
  <c r="O801" i="1" s="1"/>
  <c r="N801" i="1"/>
  <c r="M801" i="1"/>
  <c r="O800" i="1"/>
  <c r="O800" i="1" a="1"/>
  <c r="N800" i="1"/>
  <c r="M800" i="1"/>
  <c r="O799" i="1" a="1"/>
  <c r="O799" i="1" s="1"/>
  <c r="N799" i="1"/>
  <c r="M799" i="1"/>
  <c r="O798" i="1" a="1"/>
  <c r="O798" i="1" s="1"/>
  <c r="N798" i="1"/>
  <c r="M798" i="1"/>
  <c r="O797" i="1"/>
  <c r="O797" i="1" a="1"/>
  <c r="N797" i="1"/>
  <c r="M797" i="1"/>
  <c r="O796" i="1" a="1"/>
  <c r="O796" i="1" s="1"/>
  <c r="N796" i="1"/>
  <c r="M796" i="1"/>
  <c r="O795" i="1"/>
  <c r="O795" i="1" a="1"/>
  <c r="N795" i="1"/>
  <c r="M795" i="1"/>
  <c r="O794" i="1"/>
  <c r="O794" i="1" a="1"/>
  <c r="N794" i="1"/>
  <c r="M794" i="1"/>
  <c r="O793" i="1" a="1"/>
  <c r="O793" i="1" s="1"/>
  <c r="N793" i="1"/>
  <c r="M793" i="1"/>
  <c r="O792" i="1" a="1"/>
  <c r="O792" i="1" s="1"/>
  <c r="N792" i="1"/>
  <c r="M792" i="1"/>
  <c r="O791" i="1"/>
  <c r="O791" i="1" a="1"/>
  <c r="N791" i="1"/>
  <c r="M791" i="1"/>
  <c r="O790" i="1"/>
  <c r="O790" i="1" a="1"/>
  <c r="N790" i="1"/>
  <c r="M790" i="1"/>
  <c r="O789" i="1" a="1"/>
  <c r="O789" i="1" s="1"/>
  <c r="N789" i="1"/>
  <c r="M789" i="1"/>
  <c r="O788" i="1" a="1"/>
  <c r="O788" i="1" s="1"/>
  <c r="N788" i="1"/>
  <c r="M788" i="1"/>
  <c r="O787" i="1" a="1"/>
  <c r="O787" i="1" s="1"/>
  <c r="N787" i="1"/>
  <c r="M787" i="1"/>
  <c r="O786" i="1" a="1"/>
  <c r="O786" i="1" s="1"/>
  <c r="N786" i="1"/>
  <c r="M786" i="1"/>
  <c r="O785" i="1"/>
  <c r="O785" i="1" a="1"/>
  <c r="N785" i="1"/>
  <c r="M785" i="1"/>
  <c r="O784" i="1" a="1"/>
  <c r="O784" i="1" s="1"/>
  <c r="N784" i="1"/>
  <c r="M784" i="1"/>
  <c r="O783" i="1"/>
  <c r="O783" i="1" a="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c r="O776" i="1" a="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c r="O770" i="1" a="1"/>
  <c r="N770" i="1"/>
  <c r="M770" i="1"/>
  <c r="O769" i="1"/>
  <c r="O769" i="1" a="1"/>
  <c r="N769" i="1"/>
  <c r="M769" i="1"/>
  <c r="O768" i="1" a="1"/>
  <c r="O768" i="1" s="1"/>
  <c r="N768" i="1"/>
  <c r="M768" i="1"/>
  <c r="O767" i="1"/>
  <c r="O767" i="1" a="1"/>
  <c r="N767" i="1"/>
  <c r="M767" i="1"/>
  <c r="O766" i="1"/>
  <c r="O766" i="1" a="1"/>
  <c r="N766" i="1"/>
  <c r="M766" i="1"/>
  <c r="O765" i="1"/>
  <c r="O765" i="1" a="1"/>
  <c r="N765" i="1"/>
  <c r="M765" i="1"/>
  <c r="O764" i="1"/>
  <c r="O764" i="1" a="1"/>
  <c r="N764" i="1"/>
  <c r="M764" i="1"/>
  <c r="O763" i="1" a="1"/>
  <c r="O763" i="1" s="1"/>
  <c r="N763" i="1"/>
  <c r="M763" i="1"/>
  <c r="O762" i="1"/>
  <c r="O762" i="1" a="1"/>
  <c r="N762" i="1"/>
  <c r="M762" i="1"/>
  <c r="O761" i="1" a="1"/>
  <c r="O761" i="1" s="1"/>
  <c r="N761" i="1"/>
  <c r="M761" i="1"/>
  <c r="O760" i="1" a="1"/>
  <c r="O760" i="1" s="1"/>
  <c r="N760" i="1"/>
  <c r="M760" i="1"/>
  <c r="O759" i="1" a="1"/>
  <c r="O759" i="1" s="1"/>
  <c r="N759" i="1"/>
  <c r="M759" i="1"/>
  <c r="O758" i="1"/>
  <c r="O758" i="1" a="1"/>
  <c r="N758" i="1"/>
  <c r="M758" i="1"/>
  <c r="O757" i="1" a="1"/>
  <c r="O757" i="1" s="1"/>
  <c r="N757" i="1"/>
  <c r="M757" i="1"/>
  <c r="O756" i="1" a="1"/>
  <c r="O756" i="1" s="1"/>
  <c r="N756" i="1"/>
  <c r="M756" i="1"/>
  <c r="O755" i="1"/>
  <c r="O755" i="1" a="1"/>
  <c r="N755" i="1"/>
  <c r="M755" i="1"/>
  <c r="O754" i="1" a="1"/>
  <c r="O754" i="1" s="1"/>
  <c r="N754" i="1"/>
  <c r="M754" i="1"/>
  <c r="O753" i="1"/>
  <c r="O753" i="1" a="1"/>
  <c r="N753" i="1"/>
  <c r="M753" i="1"/>
  <c r="O752" i="1"/>
  <c r="O752" i="1" a="1"/>
  <c r="N752" i="1"/>
  <c r="M752" i="1"/>
  <c r="O751" i="1" a="1"/>
  <c r="O751" i="1" s="1"/>
  <c r="N751" i="1"/>
  <c r="M751" i="1"/>
  <c r="O750" i="1" a="1"/>
  <c r="O750" i="1" s="1"/>
  <c r="N750" i="1"/>
  <c r="M750" i="1"/>
  <c r="O749" i="1" a="1"/>
  <c r="O749" i="1" s="1"/>
  <c r="N749" i="1"/>
  <c r="M749" i="1"/>
  <c r="O748" i="1"/>
  <c r="O748" i="1" a="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c r="O741" i="1" a="1"/>
  <c r="N741" i="1"/>
  <c r="M741" i="1"/>
  <c r="O740" i="1" a="1"/>
  <c r="O740" i="1" s="1"/>
  <c r="N740" i="1"/>
  <c r="M740" i="1"/>
  <c r="O739" i="1" a="1"/>
  <c r="O739" i="1" s="1"/>
  <c r="N739" i="1"/>
  <c r="M739" i="1"/>
  <c r="O738" i="1" a="1"/>
  <c r="O738" i="1" s="1"/>
  <c r="N738" i="1"/>
  <c r="M738" i="1"/>
  <c r="O737" i="1"/>
  <c r="O737" i="1" a="1"/>
  <c r="N737" i="1"/>
  <c r="M737" i="1"/>
  <c r="O736" i="1"/>
  <c r="O736" i="1" a="1"/>
  <c r="N736" i="1"/>
  <c r="M736" i="1"/>
  <c r="O735" i="1"/>
  <c r="O735" i="1" a="1"/>
  <c r="N735" i="1"/>
  <c r="M735" i="1"/>
  <c r="O734" i="1"/>
  <c r="O734" i="1" a="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c r="O727" i="1" a="1"/>
  <c r="N727" i="1"/>
  <c r="M727" i="1"/>
  <c r="O726" i="1" a="1"/>
  <c r="O726" i="1" s="1"/>
  <c r="N726" i="1"/>
  <c r="M726" i="1"/>
  <c r="O725" i="1" a="1"/>
  <c r="O725" i="1" s="1"/>
  <c r="N725" i="1"/>
  <c r="M725" i="1"/>
  <c r="O724" i="1"/>
  <c r="O724" i="1" a="1"/>
  <c r="N724" i="1"/>
  <c r="M724" i="1"/>
  <c r="O723" i="1" a="1"/>
  <c r="O723" i="1" s="1"/>
  <c r="N723" i="1"/>
  <c r="M723" i="1"/>
  <c r="O722" i="1" a="1"/>
  <c r="O722" i="1" s="1"/>
  <c r="N722" i="1"/>
  <c r="M722" i="1"/>
  <c r="O721" i="1" a="1"/>
  <c r="O721" i="1" s="1"/>
  <c r="N721" i="1"/>
  <c r="M721" i="1"/>
  <c r="O720" i="1"/>
  <c r="O720" i="1" a="1"/>
  <c r="N720" i="1"/>
  <c r="M720" i="1"/>
  <c r="O719" i="1" a="1"/>
  <c r="O719" i="1" s="1"/>
  <c r="N719" i="1"/>
  <c r="M719" i="1"/>
  <c r="O718" i="1" a="1"/>
  <c r="O718" i="1" s="1"/>
  <c r="N718" i="1"/>
  <c r="M718" i="1"/>
  <c r="O717" i="1" a="1"/>
  <c r="O717" i="1" s="1"/>
  <c r="N717" i="1"/>
  <c r="M717" i="1"/>
  <c r="O716" i="1"/>
  <c r="O716" i="1" a="1"/>
  <c r="N716" i="1"/>
  <c r="M716" i="1"/>
  <c r="O715" i="1" a="1"/>
  <c r="O715" i="1" s="1"/>
  <c r="N715" i="1"/>
  <c r="M715" i="1"/>
  <c r="O714" i="1" a="1"/>
  <c r="O714" i="1" s="1"/>
  <c r="N714" i="1"/>
  <c r="M714" i="1"/>
  <c r="O713" i="1"/>
  <c r="O713" i="1" a="1"/>
  <c r="N713" i="1"/>
  <c r="M713" i="1"/>
  <c r="O712" i="1" a="1"/>
  <c r="O712" i="1" s="1"/>
  <c r="N712" i="1"/>
  <c r="M712" i="1"/>
  <c r="O711" i="1"/>
  <c r="O711" i="1" a="1"/>
  <c r="N711" i="1"/>
  <c r="M711" i="1"/>
  <c r="O710" i="1" a="1"/>
  <c r="O710" i="1" s="1"/>
  <c r="N710" i="1"/>
  <c r="M710" i="1"/>
  <c r="O709" i="1" a="1"/>
  <c r="O709" i="1" s="1"/>
  <c r="N709" i="1"/>
  <c r="M709" i="1"/>
  <c r="O708" i="1"/>
  <c r="O708" i="1" a="1"/>
  <c r="N708" i="1"/>
  <c r="M708" i="1"/>
  <c r="O707" i="1"/>
  <c r="O707" i="1" a="1"/>
  <c r="N707" i="1"/>
  <c r="M707" i="1"/>
  <c r="O706" i="1"/>
  <c r="O706" i="1" a="1"/>
  <c r="N706" i="1"/>
  <c r="M706" i="1"/>
  <c r="O705" i="1" a="1"/>
  <c r="O705" i="1" s="1"/>
  <c r="N705" i="1"/>
  <c r="M705" i="1"/>
  <c r="O704" i="1" a="1"/>
  <c r="O704" i="1" s="1"/>
  <c r="N704" i="1"/>
  <c r="M704" i="1"/>
  <c r="O703" i="1" a="1"/>
  <c r="O703" i="1" s="1"/>
  <c r="N703" i="1"/>
  <c r="M703" i="1"/>
  <c r="O702" i="1" a="1"/>
  <c r="O702" i="1" s="1"/>
  <c r="N702" i="1"/>
  <c r="M702" i="1"/>
  <c r="O701" i="1"/>
  <c r="O701" i="1" a="1"/>
  <c r="N701" i="1"/>
  <c r="M701" i="1"/>
  <c r="O700" i="1" a="1"/>
  <c r="O700" i="1" s="1"/>
  <c r="N700" i="1"/>
  <c r="M700" i="1"/>
  <c r="O699" i="1"/>
  <c r="O699" i="1" a="1"/>
  <c r="N699" i="1"/>
  <c r="M699" i="1"/>
  <c r="O698" i="1" a="1"/>
  <c r="O698" i="1" s="1"/>
  <c r="N698" i="1"/>
  <c r="M698" i="1"/>
  <c r="O697" i="1" a="1"/>
  <c r="O697" i="1" s="1"/>
  <c r="N697" i="1"/>
  <c r="M697" i="1"/>
  <c r="O696" i="1" a="1"/>
  <c r="O696" i="1" s="1"/>
  <c r="N696" i="1"/>
  <c r="M696" i="1"/>
  <c r="O695" i="1"/>
  <c r="O695" i="1" a="1"/>
  <c r="N695" i="1"/>
  <c r="M695" i="1"/>
  <c r="O694" i="1" a="1"/>
  <c r="O694" i="1" s="1"/>
  <c r="N694" i="1"/>
  <c r="M694" i="1"/>
  <c r="O693" i="1"/>
  <c r="O693" i="1" a="1"/>
  <c r="N693" i="1"/>
  <c r="M693" i="1"/>
  <c r="O692" i="1"/>
  <c r="O692" i="1" a="1"/>
  <c r="N692" i="1"/>
  <c r="M692" i="1"/>
  <c r="O691" i="1" a="1"/>
  <c r="O691" i="1" s="1"/>
  <c r="N691" i="1"/>
  <c r="M691" i="1"/>
  <c r="O690" i="1"/>
  <c r="O690" i="1" a="1"/>
  <c r="N690" i="1"/>
  <c r="M690" i="1"/>
  <c r="O689" i="1" a="1"/>
  <c r="O689" i="1" s="1"/>
  <c r="N689" i="1"/>
  <c r="M689" i="1"/>
  <c r="O688" i="1"/>
  <c r="O688" i="1" a="1"/>
  <c r="N688" i="1"/>
  <c r="M688" i="1"/>
  <c r="O687" i="1" a="1"/>
  <c r="O687" i="1" s="1"/>
  <c r="N687" i="1"/>
  <c r="M687" i="1"/>
  <c r="O686" i="1" a="1"/>
  <c r="O686" i="1" s="1"/>
  <c r="N686" i="1"/>
  <c r="M686" i="1"/>
  <c r="O685" i="1"/>
  <c r="O685" i="1" a="1"/>
  <c r="N685" i="1"/>
  <c r="M685" i="1"/>
  <c r="O684" i="1" a="1"/>
  <c r="O684" i="1" s="1"/>
  <c r="N684" i="1"/>
  <c r="M684" i="1"/>
  <c r="O683" i="1"/>
  <c r="O683" i="1" a="1"/>
  <c r="N683" i="1"/>
  <c r="M683" i="1"/>
  <c r="O682" i="1"/>
  <c r="O682" i="1" a="1"/>
  <c r="N682" i="1"/>
  <c r="M682" i="1"/>
  <c r="O681" i="1" a="1"/>
  <c r="O681" i="1" s="1"/>
  <c r="N681" i="1"/>
  <c r="M681" i="1"/>
  <c r="O680" i="1" a="1"/>
  <c r="O680" i="1" s="1"/>
  <c r="N680" i="1"/>
  <c r="M680" i="1"/>
  <c r="O679" i="1"/>
  <c r="O679" i="1" a="1"/>
  <c r="N679" i="1"/>
  <c r="M679" i="1"/>
  <c r="O678" i="1"/>
  <c r="O678" i="1" a="1"/>
  <c r="N678" i="1"/>
  <c r="M678" i="1"/>
  <c r="O677" i="1" a="1"/>
  <c r="O677" i="1" s="1"/>
  <c r="N677" i="1"/>
  <c r="M677" i="1"/>
  <c r="O676" i="1" a="1"/>
  <c r="O676" i="1" s="1"/>
  <c r="N676" i="1"/>
  <c r="M676" i="1"/>
  <c r="O675" i="1"/>
  <c r="O675" i="1" a="1"/>
  <c r="N675" i="1"/>
  <c r="M675" i="1"/>
  <c r="O674" i="1" a="1"/>
  <c r="O674" i="1" s="1"/>
  <c r="N674" i="1"/>
  <c r="M674" i="1"/>
  <c r="O673" i="1" a="1"/>
  <c r="O673" i="1" s="1"/>
  <c r="N673" i="1"/>
  <c r="M673" i="1"/>
  <c r="O672" i="1" a="1"/>
  <c r="O672" i="1" s="1"/>
  <c r="N672" i="1"/>
  <c r="M672" i="1"/>
  <c r="O671" i="1"/>
  <c r="O671" i="1" a="1"/>
  <c r="N671" i="1"/>
  <c r="M671" i="1"/>
  <c r="O670" i="1" a="1"/>
  <c r="O670" i="1" s="1"/>
  <c r="N670" i="1"/>
  <c r="M670" i="1"/>
  <c r="O669" i="1" a="1"/>
  <c r="O669" i="1" s="1"/>
  <c r="N669" i="1"/>
  <c r="M669" i="1"/>
  <c r="O668" i="1"/>
  <c r="O668" i="1" a="1"/>
  <c r="N668" i="1"/>
  <c r="M668" i="1"/>
  <c r="O667" i="1" a="1"/>
  <c r="O667" i="1" s="1"/>
  <c r="N667" i="1"/>
  <c r="M667" i="1"/>
  <c r="O666" i="1"/>
  <c r="O666" i="1" a="1"/>
  <c r="N666" i="1"/>
  <c r="M666" i="1"/>
  <c r="O665" i="1"/>
  <c r="O665" i="1" a="1"/>
  <c r="N665" i="1"/>
  <c r="M665" i="1"/>
  <c r="O664" i="1"/>
  <c r="O664" i="1" a="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c r="O658" i="1" a="1"/>
  <c r="N658" i="1"/>
  <c r="M658" i="1"/>
  <c r="O657" i="1"/>
  <c r="O657" i="1" a="1"/>
  <c r="N657" i="1"/>
  <c r="M657" i="1"/>
  <c r="O656" i="1" a="1"/>
  <c r="O656" i="1" s="1"/>
  <c r="N656" i="1"/>
  <c r="M656" i="1"/>
  <c r="O655" i="1"/>
  <c r="O655" i="1" a="1"/>
  <c r="N655" i="1"/>
  <c r="M655" i="1"/>
  <c r="O654" i="1" a="1"/>
  <c r="O654" i="1" s="1"/>
  <c r="N654" i="1"/>
  <c r="M654" i="1"/>
  <c r="O653" i="1"/>
  <c r="O653" i="1" a="1"/>
  <c r="N653" i="1"/>
  <c r="M653" i="1"/>
  <c r="O652" i="1"/>
  <c r="O652" i="1" a="1"/>
  <c r="N652" i="1"/>
  <c r="M652" i="1"/>
  <c r="O651" i="1" a="1"/>
  <c r="O651" i="1" s="1"/>
  <c r="N651" i="1"/>
  <c r="M651" i="1"/>
  <c r="O650" i="1"/>
  <c r="O650" i="1" a="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c r="O643" i="1" a="1"/>
  <c r="N643" i="1"/>
  <c r="M643" i="1"/>
  <c r="O642" i="1" a="1"/>
  <c r="O642" i="1" s="1"/>
  <c r="N642" i="1"/>
  <c r="M642" i="1"/>
  <c r="O641" i="1" a="1"/>
  <c r="O641" i="1" s="1"/>
  <c r="N641" i="1"/>
  <c r="M641" i="1"/>
  <c r="O640" i="1"/>
  <c r="O640" i="1" a="1"/>
  <c r="N640" i="1"/>
  <c r="M640" i="1"/>
  <c r="O639" i="1" a="1"/>
  <c r="O639" i="1" s="1"/>
  <c r="N639" i="1"/>
  <c r="M639" i="1"/>
  <c r="O638" i="1" a="1"/>
  <c r="O638" i="1" s="1"/>
  <c r="N638" i="1"/>
  <c r="M638" i="1"/>
  <c r="O637" i="1"/>
  <c r="O637" i="1" a="1"/>
  <c r="N637" i="1"/>
  <c r="M637" i="1"/>
  <c r="O636" i="1"/>
  <c r="O636" i="1" a="1"/>
  <c r="N636" i="1"/>
  <c r="M636" i="1"/>
  <c r="O635" i="1" a="1"/>
  <c r="O635" i="1" s="1"/>
  <c r="N635" i="1"/>
  <c r="M635" i="1"/>
  <c r="O634" i="1" a="1"/>
  <c r="O634" i="1" s="1"/>
  <c r="N634" i="1"/>
  <c r="M634" i="1"/>
  <c r="O633" i="1"/>
  <c r="O633" i="1" a="1"/>
  <c r="N633" i="1"/>
  <c r="M633" i="1"/>
  <c r="O632" i="1" a="1"/>
  <c r="O632" i="1" s="1"/>
  <c r="N632" i="1"/>
  <c r="M632" i="1"/>
  <c r="O631" i="1" a="1"/>
  <c r="O631" i="1" s="1"/>
  <c r="N631" i="1"/>
  <c r="M631" i="1"/>
  <c r="O630" i="1" a="1"/>
  <c r="O630" i="1" s="1"/>
  <c r="N630" i="1"/>
  <c r="M630" i="1"/>
  <c r="O629" i="1"/>
  <c r="O629" i="1" a="1"/>
  <c r="N629" i="1"/>
  <c r="M629" i="1"/>
  <c r="O628" i="1" a="1"/>
  <c r="O628" i="1" s="1"/>
  <c r="N628" i="1"/>
  <c r="M628" i="1"/>
  <c r="O627" i="1"/>
  <c r="O627" i="1" a="1"/>
  <c r="N627" i="1"/>
  <c r="M627" i="1"/>
  <c r="O626" i="1" a="1"/>
  <c r="O626" i="1" s="1"/>
  <c r="N626" i="1"/>
  <c r="M626" i="1"/>
  <c r="O625" i="1" a="1"/>
  <c r="O625" i="1" s="1"/>
  <c r="N625" i="1"/>
  <c r="M625" i="1"/>
  <c r="O624" i="1"/>
  <c r="O624" i="1" a="1"/>
  <c r="N624" i="1"/>
  <c r="M624" i="1"/>
  <c r="O623" i="1" a="1"/>
  <c r="O623" i="1" s="1"/>
  <c r="N623" i="1"/>
  <c r="M623" i="1"/>
  <c r="O622" i="1"/>
  <c r="O622" i="1" a="1"/>
  <c r="N622" i="1"/>
  <c r="M622" i="1"/>
  <c r="O621" i="1" a="1"/>
  <c r="O621" i="1" s="1"/>
  <c r="N621" i="1"/>
  <c r="M621" i="1"/>
  <c r="O620" i="1" a="1"/>
  <c r="O620" i="1" s="1"/>
  <c r="N620" i="1"/>
  <c r="M620" i="1"/>
  <c r="O619" i="1" a="1"/>
  <c r="O619" i="1" s="1"/>
  <c r="N619" i="1"/>
  <c r="M619" i="1"/>
  <c r="O618" i="1"/>
  <c r="O618" i="1" a="1"/>
  <c r="N618" i="1"/>
  <c r="M618" i="1"/>
  <c r="O617" i="1" a="1"/>
  <c r="O617" i="1" s="1"/>
  <c r="N617" i="1"/>
  <c r="M617" i="1"/>
  <c r="O616" i="1" a="1"/>
  <c r="O616" i="1" s="1"/>
  <c r="N616" i="1"/>
  <c r="M616" i="1"/>
  <c r="O615" i="1"/>
  <c r="O615" i="1" a="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c r="O608" i="1" a="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c r="O601" i="1" a="1"/>
  <c r="N601" i="1"/>
  <c r="M601" i="1"/>
  <c r="O600" i="1" a="1"/>
  <c r="O600" i="1" s="1"/>
  <c r="N600" i="1"/>
  <c r="M600" i="1"/>
  <c r="O599" i="1"/>
  <c r="O599" i="1" a="1"/>
  <c r="N599" i="1"/>
  <c r="M599" i="1"/>
  <c r="O598" i="1"/>
  <c r="O598" i="1" a="1"/>
  <c r="N598" i="1"/>
  <c r="M598" i="1"/>
  <c r="O597" i="1" a="1"/>
  <c r="O597" i="1" s="1"/>
  <c r="N597" i="1"/>
  <c r="M597" i="1"/>
  <c r="O596" i="1"/>
  <c r="O596" i="1" a="1"/>
  <c r="N596" i="1"/>
  <c r="M596" i="1"/>
  <c r="O595" i="1"/>
  <c r="O595" i="1" a="1"/>
  <c r="N595" i="1"/>
  <c r="M595" i="1"/>
  <c r="O594" i="1"/>
  <c r="O594" i="1" a="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c r="O587" i="1" a="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c r="O581" i="1" a="1"/>
  <c r="N581" i="1"/>
  <c r="M581" i="1"/>
  <c r="O580" i="1"/>
  <c r="O580" i="1" a="1"/>
  <c r="N580" i="1"/>
  <c r="M580" i="1"/>
  <c r="O579" i="1" a="1"/>
  <c r="O579" i="1" s="1"/>
  <c r="N579" i="1"/>
  <c r="M579" i="1"/>
  <c r="O578" i="1"/>
  <c r="O578" i="1" a="1"/>
  <c r="N578" i="1"/>
  <c r="M578" i="1"/>
  <c r="O577" i="1" a="1"/>
  <c r="O577" i="1" s="1"/>
  <c r="N577" i="1"/>
  <c r="M577" i="1"/>
  <c r="O576" i="1" a="1"/>
  <c r="O576" i="1" s="1"/>
  <c r="N576" i="1"/>
  <c r="M576" i="1"/>
  <c r="O575" i="1"/>
  <c r="O575" i="1" a="1"/>
  <c r="N575" i="1"/>
  <c r="M575" i="1"/>
  <c r="O574" i="1" a="1"/>
  <c r="O574" i="1" s="1"/>
  <c r="N574" i="1"/>
  <c r="M574" i="1"/>
  <c r="O573" i="1"/>
  <c r="O573" i="1" a="1"/>
  <c r="N573" i="1"/>
  <c r="M573" i="1"/>
  <c r="O572" i="1" a="1"/>
  <c r="O572" i="1" s="1"/>
  <c r="N572" i="1"/>
  <c r="M572" i="1"/>
  <c r="O571" i="1"/>
  <c r="O571" i="1" a="1"/>
  <c r="N571" i="1"/>
  <c r="M571" i="1"/>
  <c r="O570" i="1"/>
  <c r="O570" i="1" a="1"/>
  <c r="N570" i="1"/>
  <c r="M570" i="1"/>
  <c r="O569" i="1"/>
  <c r="O569" i="1" a="1"/>
  <c r="N569" i="1"/>
  <c r="M569" i="1"/>
  <c r="O568" i="1" a="1"/>
  <c r="O568" i="1" s="1"/>
  <c r="N568" i="1"/>
  <c r="M568" i="1"/>
  <c r="O567" i="1" a="1"/>
  <c r="O567" i="1" s="1"/>
  <c r="N567" i="1"/>
  <c r="M567" i="1"/>
  <c r="O566" i="1"/>
  <c r="O566" i="1" a="1"/>
  <c r="N566" i="1"/>
  <c r="M566" i="1"/>
  <c r="O565" i="1" a="1"/>
  <c r="O565" i="1" s="1"/>
  <c r="N565" i="1"/>
  <c r="M565" i="1"/>
  <c r="O564" i="1" a="1"/>
  <c r="O564" i="1" s="1"/>
  <c r="N564" i="1"/>
  <c r="M564" i="1"/>
  <c r="O563" i="1"/>
  <c r="O563" i="1" a="1"/>
  <c r="N563" i="1"/>
  <c r="M563" i="1"/>
  <c r="O562" i="1" a="1"/>
  <c r="O562" i="1" s="1"/>
  <c r="N562" i="1"/>
  <c r="M562" i="1"/>
  <c r="O561" i="1" a="1"/>
  <c r="O561" i="1" s="1"/>
  <c r="N561" i="1"/>
  <c r="M561" i="1"/>
  <c r="O560" i="1"/>
  <c r="O560" i="1" a="1"/>
  <c r="N560" i="1"/>
  <c r="M560" i="1"/>
  <c r="O559" i="1"/>
  <c r="O559" i="1" a="1"/>
  <c r="N559" i="1"/>
  <c r="M559" i="1"/>
  <c r="O558" i="1" a="1"/>
  <c r="O558" i="1" s="1"/>
  <c r="N558" i="1"/>
  <c r="M558" i="1"/>
  <c r="O557" i="1"/>
  <c r="O557" i="1" a="1"/>
  <c r="N557" i="1"/>
  <c r="M557" i="1"/>
  <c r="O556" i="1"/>
  <c r="O556" i="1" a="1"/>
  <c r="N556" i="1"/>
  <c r="M556" i="1"/>
  <c r="O555" i="1" a="1"/>
  <c r="O555" i="1" s="1"/>
  <c r="N555" i="1"/>
  <c r="M555" i="1"/>
  <c r="O554" i="1" a="1"/>
  <c r="O554" i="1" s="1"/>
  <c r="N554" i="1"/>
  <c r="M554" i="1"/>
  <c r="O553" i="1" a="1"/>
  <c r="O553" i="1" s="1"/>
  <c r="N553" i="1"/>
  <c r="M553" i="1"/>
  <c r="O552" i="1"/>
  <c r="O552" i="1" a="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c r="O545" i="1" a="1"/>
  <c r="N545" i="1"/>
  <c r="M545" i="1"/>
  <c r="O544" i="1" a="1"/>
  <c r="O544" i="1" s="1"/>
  <c r="N544" i="1"/>
  <c r="M544" i="1"/>
  <c r="O543" i="1"/>
  <c r="O543" i="1" a="1"/>
  <c r="N543" i="1"/>
  <c r="M543" i="1"/>
  <c r="O542" i="1" a="1"/>
  <c r="O542" i="1" s="1"/>
  <c r="N542" i="1"/>
  <c r="M542" i="1"/>
  <c r="O541" i="1"/>
  <c r="O541" i="1" a="1"/>
  <c r="N541" i="1"/>
  <c r="M541" i="1"/>
  <c r="O540" i="1"/>
  <c r="O540" i="1" a="1"/>
  <c r="N540" i="1"/>
  <c r="M540" i="1"/>
  <c r="O539" i="1" a="1"/>
  <c r="O539" i="1" s="1"/>
  <c r="N539" i="1"/>
  <c r="M539" i="1"/>
  <c r="O538" i="1"/>
  <c r="O538" i="1" a="1"/>
  <c r="N538" i="1"/>
  <c r="M538" i="1"/>
  <c r="O537" i="1" a="1"/>
  <c r="O537" i="1" s="1"/>
  <c r="N537" i="1"/>
  <c r="M537" i="1"/>
  <c r="O536" i="1" a="1"/>
  <c r="O536" i="1" s="1"/>
  <c r="N536" i="1"/>
  <c r="M536" i="1"/>
  <c r="O535" i="1" a="1"/>
  <c r="O535" i="1" s="1"/>
  <c r="N535" i="1"/>
  <c r="M535" i="1"/>
  <c r="O534" i="1" a="1"/>
  <c r="O534" i="1" s="1"/>
  <c r="N534" i="1"/>
  <c r="M534" i="1"/>
  <c r="O533" i="1"/>
  <c r="O533" i="1" a="1"/>
  <c r="N533" i="1"/>
  <c r="M533" i="1"/>
  <c r="O532" i="1" a="1"/>
  <c r="O532" i="1" s="1"/>
  <c r="N532" i="1"/>
  <c r="M532" i="1"/>
  <c r="O531" i="1"/>
  <c r="O531" i="1" a="1"/>
  <c r="N531" i="1"/>
  <c r="M531" i="1"/>
  <c r="O530" i="1" a="1"/>
  <c r="O530" i="1" s="1"/>
  <c r="N530" i="1"/>
  <c r="M530" i="1"/>
  <c r="O529" i="1" a="1"/>
  <c r="O529" i="1" s="1"/>
  <c r="N529" i="1"/>
  <c r="M529" i="1"/>
  <c r="O528" i="1"/>
  <c r="O528" i="1" a="1"/>
  <c r="N528" i="1"/>
  <c r="M528" i="1"/>
  <c r="O527" i="1" a="1"/>
  <c r="O527" i="1" s="1"/>
  <c r="N527" i="1"/>
  <c r="M527" i="1"/>
  <c r="O526" i="1"/>
  <c r="O526" i="1" a="1"/>
  <c r="N526" i="1"/>
  <c r="M526" i="1"/>
  <c r="O525" i="1" a="1"/>
  <c r="O525" i="1" s="1"/>
  <c r="N525" i="1"/>
  <c r="M525" i="1"/>
  <c r="O524" i="1"/>
  <c r="O524" i="1" a="1"/>
  <c r="N524" i="1"/>
  <c r="M524" i="1"/>
  <c r="O523" i="1" a="1"/>
  <c r="O523" i="1" s="1"/>
  <c r="N523" i="1"/>
  <c r="M523" i="1"/>
  <c r="O522" i="1" a="1"/>
  <c r="O522" i="1" s="1"/>
  <c r="N522" i="1"/>
  <c r="M522" i="1"/>
  <c r="O521" i="1"/>
  <c r="O521" i="1" a="1"/>
  <c r="N521" i="1"/>
  <c r="M521" i="1"/>
  <c r="O520" i="1" a="1"/>
  <c r="O520" i="1" s="1"/>
  <c r="N520" i="1"/>
  <c r="M520" i="1"/>
  <c r="O519" i="1" a="1"/>
  <c r="O519" i="1" s="1"/>
  <c r="N519" i="1"/>
  <c r="M519" i="1"/>
  <c r="O518" i="1" a="1"/>
  <c r="O518" i="1" s="1"/>
  <c r="N518" i="1"/>
  <c r="M518" i="1"/>
  <c r="O517" i="1"/>
  <c r="O517" i="1" a="1"/>
  <c r="N517" i="1"/>
  <c r="M517" i="1"/>
  <c r="O516" i="1" a="1"/>
  <c r="O516" i="1" s="1"/>
  <c r="N516" i="1"/>
  <c r="M516" i="1"/>
  <c r="O515" i="1"/>
  <c r="O515" i="1" a="1"/>
  <c r="N515" i="1"/>
  <c r="M515" i="1"/>
  <c r="O514" i="1" a="1"/>
  <c r="O514" i="1" s="1"/>
  <c r="N514" i="1"/>
  <c r="M514" i="1"/>
  <c r="O513" i="1" a="1"/>
  <c r="O513" i="1" s="1"/>
  <c r="N513" i="1"/>
  <c r="M513" i="1"/>
  <c r="O512" i="1"/>
  <c r="O512" i="1" a="1"/>
  <c r="N512" i="1"/>
  <c r="M512" i="1"/>
  <c r="O511" i="1"/>
  <c r="O511" i="1" a="1"/>
  <c r="N511" i="1"/>
  <c r="M511" i="1"/>
  <c r="O510" i="1"/>
  <c r="O510" i="1" a="1"/>
  <c r="N510" i="1"/>
  <c r="M510" i="1"/>
  <c r="O509" i="1" a="1"/>
  <c r="O509" i="1" s="1"/>
  <c r="N509" i="1"/>
  <c r="M509" i="1"/>
  <c r="O508" i="1" a="1"/>
  <c r="O508" i="1" s="1"/>
  <c r="N508" i="1"/>
  <c r="M508" i="1"/>
  <c r="O507" i="1"/>
  <c r="O507" i="1" a="1"/>
  <c r="N507" i="1"/>
  <c r="M507" i="1"/>
  <c r="O506" i="1" a="1"/>
  <c r="O506" i="1" s="1"/>
  <c r="N506" i="1"/>
  <c r="M506" i="1"/>
  <c r="O505" i="1" a="1"/>
  <c r="O505" i="1" s="1"/>
  <c r="N505" i="1"/>
  <c r="M505" i="1"/>
  <c r="O504" i="1" a="1"/>
  <c r="O504" i="1" s="1"/>
  <c r="N504" i="1"/>
  <c r="M504" i="1"/>
  <c r="O503" i="1"/>
  <c r="O503" i="1" a="1"/>
  <c r="N503" i="1"/>
  <c r="M503" i="1"/>
  <c r="O502" i="1" a="1"/>
  <c r="O502" i="1" s="1"/>
  <c r="N502" i="1"/>
  <c r="M502" i="1"/>
  <c r="O501" i="1" a="1"/>
  <c r="O501" i="1" s="1"/>
  <c r="N501" i="1"/>
  <c r="M501" i="1"/>
  <c r="O500" i="1" a="1"/>
  <c r="O500" i="1" s="1"/>
  <c r="N500" i="1"/>
  <c r="M500" i="1"/>
  <c r="O499" i="1"/>
  <c r="O499" i="1" a="1"/>
  <c r="N499" i="1"/>
  <c r="M499" i="1"/>
  <c r="O498" i="1" a="1"/>
  <c r="O498" i="1" s="1"/>
  <c r="N498" i="1"/>
  <c r="M498" i="1"/>
  <c r="O497" i="1"/>
  <c r="O497" i="1" a="1"/>
  <c r="N497" i="1"/>
  <c r="M497" i="1"/>
  <c r="O496" i="1"/>
  <c r="O496" i="1" a="1"/>
  <c r="N496" i="1"/>
  <c r="M496" i="1"/>
  <c r="O495" i="1" a="1"/>
  <c r="O495" i="1" s="1"/>
  <c r="N495" i="1"/>
  <c r="M495" i="1"/>
  <c r="O494" i="1"/>
  <c r="O494" i="1" a="1"/>
  <c r="N494" i="1"/>
  <c r="M494" i="1"/>
  <c r="O493" i="1" a="1"/>
  <c r="O493" i="1" s="1"/>
  <c r="N493" i="1"/>
  <c r="M493" i="1"/>
  <c r="O492" i="1" a="1"/>
  <c r="O492" i="1" s="1"/>
  <c r="N492" i="1"/>
  <c r="M492" i="1"/>
  <c r="O491" i="1"/>
  <c r="O491" i="1" a="1"/>
  <c r="N491" i="1"/>
  <c r="M491" i="1"/>
  <c r="O490" i="1" a="1"/>
  <c r="O490" i="1" s="1"/>
  <c r="N490" i="1"/>
  <c r="M490" i="1"/>
  <c r="O489" i="1"/>
  <c r="O489" i="1" a="1"/>
  <c r="N489" i="1"/>
  <c r="M489" i="1"/>
  <c r="O488" i="1" a="1"/>
  <c r="O488" i="1" s="1"/>
  <c r="N488" i="1"/>
  <c r="M488" i="1"/>
  <c r="O487" i="1" a="1"/>
  <c r="O487" i="1" s="1"/>
  <c r="N487" i="1"/>
  <c r="M487" i="1"/>
  <c r="O486" i="1"/>
  <c r="O486" i="1" a="1"/>
  <c r="N486" i="1"/>
  <c r="M486" i="1"/>
  <c r="O485" i="1" a="1"/>
  <c r="O485" i="1" s="1"/>
  <c r="N485" i="1"/>
  <c r="M485" i="1"/>
  <c r="O484" i="1" a="1"/>
  <c r="O484" i="1" s="1"/>
  <c r="N484" i="1"/>
  <c r="M484" i="1"/>
  <c r="O483" i="1"/>
  <c r="O483" i="1" a="1"/>
  <c r="N483" i="1"/>
  <c r="M483" i="1"/>
  <c r="O482" i="1"/>
  <c r="O482" i="1" a="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c r="O476" i="1" a="1"/>
  <c r="N476" i="1"/>
  <c r="M476" i="1"/>
  <c r="O475" i="1"/>
  <c r="O475" i="1" a="1"/>
  <c r="N475" i="1"/>
  <c r="M475" i="1"/>
  <c r="O474" i="1" a="1"/>
  <c r="O474" i="1" s="1"/>
  <c r="N474" i="1"/>
  <c r="M474" i="1"/>
  <c r="O473" i="1" a="1"/>
  <c r="O473" i="1" s="1"/>
  <c r="N473" i="1"/>
  <c r="M473" i="1"/>
  <c r="O472" i="1"/>
  <c r="O472" i="1" a="1"/>
  <c r="N472" i="1"/>
  <c r="M472" i="1"/>
  <c r="O471" i="1" a="1"/>
  <c r="O471" i="1" s="1"/>
  <c r="N471" i="1"/>
  <c r="M471" i="1"/>
  <c r="O470" i="1"/>
  <c r="O470" i="1" a="1"/>
  <c r="N470" i="1"/>
  <c r="M470" i="1"/>
  <c r="O469" i="1" a="1"/>
  <c r="O469" i="1" s="1"/>
  <c r="N469" i="1"/>
  <c r="M469" i="1"/>
  <c r="O468" i="1"/>
  <c r="O468" i="1" a="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c r="O461" i="1" a="1"/>
  <c r="N461" i="1"/>
  <c r="M461" i="1"/>
  <c r="O460" i="1" a="1"/>
  <c r="O460" i="1" s="1"/>
  <c r="N460" i="1"/>
  <c r="M460" i="1"/>
  <c r="O459" i="1" a="1"/>
  <c r="O459" i="1" s="1"/>
  <c r="N459" i="1"/>
  <c r="M459" i="1"/>
  <c r="O458" i="1" a="1"/>
  <c r="O458" i="1" s="1"/>
  <c r="N458" i="1"/>
  <c r="M458" i="1"/>
  <c r="O457" i="1"/>
  <c r="O457" i="1" a="1"/>
  <c r="N457" i="1"/>
  <c r="M457" i="1"/>
  <c r="O456" i="1" a="1"/>
  <c r="O456" i="1" s="1"/>
  <c r="N456" i="1"/>
  <c r="M456" i="1"/>
  <c r="O455" i="1" a="1"/>
  <c r="O455" i="1" s="1"/>
  <c r="N455" i="1"/>
  <c r="M455" i="1"/>
  <c r="O454" i="1"/>
  <c r="O454" i="1" a="1"/>
  <c r="N454" i="1"/>
  <c r="M454" i="1"/>
  <c r="O453" i="1" a="1"/>
  <c r="O453" i="1" s="1"/>
  <c r="N453" i="1"/>
  <c r="M453" i="1"/>
  <c r="O452" i="1" a="1"/>
  <c r="O452" i="1" s="1"/>
  <c r="N452" i="1"/>
  <c r="M452" i="1"/>
  <c r="O451" i="1" a="1"/>
  <c r="O451" i="1" s="1"/>
  <c r="N451" i="1"/>
  <c r="M451" i="1"/>
  <c r="O450" i="1" a="1"/>
  <c r="O450" i="1" s="1"/>
  <c r="N450" i="1"/>
  <c r="M450" i="1"/>
  <c r="O449" i="1"/>
  <c r="O449" i="1" a="1"/>
  <c r="N449" i="1"/>
  <c r="M449" i="1"/>
  <c r="O448" i="1" a="1"/>
  <c r="O448" i="1" s="1"/>
  <c r="N448" i="1"/>
  <c r="M448" i="1"/>
  <c r="O447" i="1"/>
  <c r="O447" i="1" a="1"/>
  <c r="N447" i="1"/>
  <c r="M447" i="1"/>
  <c r="O446" i="1" a="1"/>
  <c r="O446" i="1" s="1"/>
  <c r="N446" i="1"/>
  <c r="M446" i="1"/>
  <c r="O445" i="1" a="1"/>
  <c r="O445" i="1" s="1"/>
  <c r="N445" i="1"/>
  <c r="M445" i="1"/>
  <c r="O444" i="1"/>
  <c r="O444" i="1" a="1"/>
  <c r="N444" i="1"/>
  <c r="M444" i="1"/>
  <c r="O443" i="1" a="1"/>
  <c r="O443" i="1" s="1"/>
  <c r="N443" i="1"/>
  <c r="M443" i="1"/>
  <c r="O442" i="1" a="1"/>
  <c r="O442" i="1" s="1"/>
  <c r="N442" i="1"/>
  <c r="M442" i="1"/>
  <c r="O441" i="1"/>
  <c r="O441" i="1" a="1"/>
  <c r="N441" i="1"/>
  <c r="M441" i="1"/>
  <c r="O440" i="1"/>
  <c r="O440" i="1" a="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c r="O433" i="1" a="1"/>
  <c r="N433" i="1"/>
  <c r="M433" i="1"/>
  <c r="O432" i="1" a="1"/>
  <c r="O432" i="1" s="1"/>
  <c r="N432" i="1"/>
  <c r="M432" i="1"/>
  <c r="O431" i="1"/>
  <c r="O431" i="1" a="1"/>
  <c r="N431" i="1"/>
  <c r="M431" i="1"/>
  <c r="O430" i="1"/>
  <c r="O430" i="1" a="1"/>
  <c r="N430" i="1"/>
  <c r="M430" i="1"/>
  <c r="O429" i="1" a="1"/>
  <c r="O429" i="1" s="1"/>
  <c r="N429" i="1"/>
  <c r="M429" i="1"/>
  <c r="O428" i="1"/>
  <c r="O428" i="1" a="1"/>
  <c r="N428" i="1"/>
  <c r="M428" i="1"/>
  <c r="O427" i="1" a="1"/>
  <c r="O427" i="1" s="1"/>
  <c r="N427" i="1"/>
  <c r="M427" i="1"/>
  <c r="O426" i="1"/>
  <c r="O426" i="1" a="1"/>
  <c r="N426" i="1"/>
  <c r="M426" i="1"/>
  <c r="O425" i="1" a="1"/>
  <c r="O425" i="1" s="1"/>
  <c r="N425" i="1"/>
  <c r="M425" i="1"/>
  <c r="O424" i="1" a="1"/>
  <c r="O424" i="1" s="1"/>
  <c r="N424" i="1"/>
  <c r="M424" i="1"/>
  <c r="O423" i="1"/>
  <c r="O423" i="1" a="1"/>
  <c r="N423" i="1"/>
  <c r="M423" i="1"/>
  <c r="O422" i="1" a="1"/>
  <c r="O422" i="1" s="1"/>
  <c r="N422" i="1"/>
  <c r="M422" i="1"/>
  <c r="O421" i="1"/>
  <c r="O421" i="1" a="1"/>
  <c r="N421" i="1"/>
  <c r="M421" i="1"/>
  <c r="O420" i="1"/>
  <c r="O420" i="1" a="1"/>
  <c r="N420" i="1"/>
  <c r="M420" i="1"/>
  <c r="O419" i="1"/>
  <c r="O419" i="1" a="1"/>
  <c r="N419" i="1"/>
  <c r="M419" i="1"/>
  <c r="O418" i="1" a="1"/>
  <c r="O418" i="1" s="1"/>
  <c r="N418" i="1"/>
  <c r="M418" i="1"/>
  <c r="O417" i="1" a="1"/>
  <c r="O417" i="1" s="1"/>
  <c r="N417" i="1"/>
  <c r="M417" i="1"/>
  <c r="O416" i="1" a="1"/>
  <c r="O416" i="1" s="1"/>
  <c r="N416" i="1"/>
  <c r="M416" i="1"/>
  <c r="O415" i="1" a="1"/>
  <c r="O415" i="1" s="1"/>
  <c r="N415" i="1"/>
  <c r="M415" i="1"/>
  <c r="O414" i="1"/>
  <c r="O414" i="1" a="1"/>
  <c r="N414" i="1"/>
  <c r="M414" i="1"/>
  <c r="O413" i="1" a="1"/>
  <c r="O413" i="1" s="1"/>
  <c r="N413" i="1"/>
  <c r="M413" i="1"/>
  <c r="O412" i="1"/>
  <c r="O412" i="1" a="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c r="O405" i="1" a="1"/>
  <c r="N405" i="1"/>
  <c r="M405" i="1"/>
  <c r="O404" i="1" a="1"/>
  <c r="O404" i="1" s="1"/>
  <c r="N404" i="1"/>
  <c r="M404" i="1"/>
  <c r="O403" i="1"/>
  <c r="O403" i="1" a="1"/>
  <c r="N403" i="1"/>
  <c r="M403" i="1"/>
  <c r="O402" i="1"/>
  <c r="O402" i="1" a="1"/>
  <c r="N402" i="1"/>
  <c r="M402" i="1"/>
  <c r="O401" i="1" a="1"/>
  <c r="O401" i="1" s="1"/>
  <c r="N401" i="1"/>
  <c r="M401" i="1"/>
  <c r="O400" i="1"/>
  <c r="O400" i="1" a="1"/>
  <c r="N400" i="1"/>
  <c r="M400" i="1"/>
  <c r="O399" i="1"/>
  <c r="O399" i="1" a="1"/>
  <c r="N399" i="1"/>
  <c r="M399" i="1"/>
  <c r="O398" i="1"/>
  <c r="O398" i="1" a="1"/>
  <c r="N398" i="1"/>
  <c r="M398" i="1"/>
  <c r="O397" i="1" a="1"/>
  <c r="O397" i="1" s="1"/>
  <c r="N397" i="1"/>
  <c r="M397" i="1"/>
  <c r="O396" i="1"/>
  <c r="O396" i="1" a="1"/>
  <c r="N396" i="1"/>
  <c r="M396" i="1"/>
  <c r="O395" i="1" a="1"/>
  <c r="O395" i="1" s="1"/>
  <c r="N395" i="1"/>
  <c r="M395" i="1"/>
  <c r="O394" i="1" a="1"/>
  <c r="O394" i="1" s="1"/>
  <c r="N394" i="1"/>
  <c r="M394" i="1"/>
  <c r="O393" i="1" a="1"/>
  <c r="O393" i="1" s="1"/>
  <c r="N393" i="1"/>
  <c r="M393" i="1"/>
  <c r="O392" i="1" a="1"/>
  <c r="O392" i="1" s="1"/>
  <c r="N392" i="1"/>
  <c r="M392" i="1"/>
  <c r="O391" i="1"/>
  <c r="O391" i="1" a="1"/>
  <c r="N391" i="1"/>
  <c r="M391" i="1"/>
  <c r="O390" i="1" a="1"/>
  <c r="O390" i="1" s="1"/>
  <c r="N390" i="1"/>
  <c r="M390" i="1"/>
  <c r="O389" i="1" a="1"/>
  <c r="O389" i="1" s="1"/>
  <c r="N389" i="1"/>
  <c r="M389" i="1"/>
  <c r="O388" i="1"/>
  <c r="O388" i="1" a="1"/>
  <c r="N388" i="1"/>
  <c r="M388" i="1"/>
  <c r="O387" i="1" a="1"/>
  <c r="O387" i="1" s="1"/>
  <c r="N387" i="1"/>
  <c r="M387" i="1"/>
  <c r="O386" i="1"/>
  <c r="O386" i="1" a="1"/>
  <c r="N386" i="1"/>
  <c r="M386" i="1"/>
  <c r="O385" i="1"/>
  <c r="O385" i="1" a="1"/>
  <c r="N385" i="1"/>
  <c r="M385" i="1"/>
  <c r="O384" i="1"/>
  <c r="O384" i="1" a="1"/>
  <c r="N384" i="1"/>
  <c r="M384" i="1"/>
  <c r="O383" i="1" a="1"/>
  <c r="O383" i="1" s="1"/>
  <c r="N383" i="1"/>
  <c r="M383" i="1"/>
  <c r="O382" i="1"/>
  <c r="O382" i="1" a="1"/>
  <c r="N382" i="1"/>
  <c r="M382" i="1"/>
  <c r="O381" i="1" a="1"/>
  <c r="O381" i="1" s="1"/>
  <c r="N381" i="1"/>
  <c r="M381" i="1"/>
  <c r="O380" i="1" a="1"/>
  <c r="O380" i="1" s="1"/>
  <c r="N380" i="1"/>
  <c r="M380" i="1"/>
  <c r="O379" i="1" a="1"/>
  <c r="O379" i="1" s="1"/>
  <c r="N379" i="1"/>
  <c r="M379" i="1"/>
  <c r="O378" i="1" a="1"/>
  <c r="O378" i="1" s="1"/>
  <c r="N378" i="1"/>
  <c r="M378" i="1"/>
  <c r="O377" i="1"/>
  <c r="O377" i="1" a="1"/>
  <c r="N377" i="1"/>
  <c r="M377" i="1"/>
  <c r="O376" i="1" a="1"/>
  <c r="O376" i="1" s="1"/>
  <c r="N376" i="1"/>
  <c r="M376" i="1"/>
  <c r="O375" i="1" a="1"/>
  <c r="O375" i="1" s="1"/>
  <c r="N375" i="1"/>
  <c r="M375" i="1"/>
  <c r="O374" i="1"/>
  <c r="O374" i="1" a="1"/>
  <c r="N374" i="1"/>
  <c r="M374" i="1"/>
  <c r="O373" i="1"/>
  <c r="O373" i="1" a="1"/>
  <c r="N373" i="1"/>
  <c r="M373" i="1"/>
  <c r="O372" i="1" a="1"/>
  <c r="O372" i="1" s="1"/>
  <c r="N372" i="1"/>
  <c r="M372" i="1"/>
  <c r="O371" i="1"/>
  <c r="O371" i="1" a="1"/>
  <c r="N371" i="1"/>
  <c r="M371" i="1"/>
  <c r="O370" i="1"/>
  <c r="O370" i="1" a="1"/>
  <c r="N370" i="1"/>
  <c r="M370" i="1"/>
  <c r="O369" i="1" a="1"/>
  <c r="O369" i="1" s="1"/>
  <c r="N369" i="1"/>
  <c r="M369" i="1"/>
  <c r="O368" i="1" a="1"/>
  <c r="O368" i="1" s="1"/>
  <c r="N368" i="1"/>
  <c r="M368" i="1"/>
  <c r="O367" i="1" a="1"/>
  <c r="O367" i="1" s="1"/>
  <c r="N367" i="1"/>
  <c r="M367" i="1"/>
  <c r="O366" i="1"/>
  <c r="O366" i="1" a="1"/>
  <c r="N366" i="1"/>
  <c r="M366" i="1"/>
  <c r="O365" i="1" a="1"/>
  <c r="O365" i="1" s="1"/>
  <c r="N365" i="1"/>
  <c r="M365" i="1"/>
  <c r="O364" i="1" a="1"/>
  <c r="O364" i="1" s="1"/>
  <c r="N364" i="1"/>
  <c r="M364" i="1"/>
  <c r="O363" i="1"/>
  <c r="O363" i="1" a="1"/>
  <c r="N363" i="1"/>
  <c r="M363" i="1"/>
  <c r="O362" i="1" a="1"/>
  <c r="O362" i="1" s="1"/>
  <c r="N362" i="1"/>
  <c r="M362" i="1"/>
  <c r="O361" i="1"/>
  <c r="O361" i="1" a="1"/>
  <c r="N361" i="1"/>
  <c r="M361" i="1"/>
  <c r="O360" i="1" a="1"/>
  <c r="O360" i="1" s="1"/>
  <c r="N360" i="1"/>
  <c r="M360" i="1"/>
  <c r="O359" i="1" a="1"/>
  <c r="O359" i="1" s="1"/>
  <c r="N359" i="1"/>
  <c r="M359" i="1"/>
  <c r="O358" i="1" a="1"/>
  <c r="O358" i="1" s="1"/>
  <c r="N358" i="1"/>
  <c r="M358" i="1"/>
  <c r="O357" i="1" a="1"/>
  <c r="O357" i="1" s="1"/>
  <c r="N357" i="1"/>
  <c r="M357" i="1"/>
  <c r="O356" i="1"/>
  <c r="O356" i="1" a="1"/>
  <c r="N356" i="1"/>
  <c r="M356" i="1"/>
  <c r="O355" i="1" a="1"/>
  <c r="O355" i="1" s="1"/>
  <c r="N355" i="1"/>
  <c r="M355" i="1"/>
  <c r="O354" i="1" a="1"/>
  <c r="O354" i="1" s="1"/>
  <c r="N354" i="1"/>
  <c r="M354" i="1"/>
  <c r="O353" i="1"/>
  <c r="O353" i="1" a="1"/>
  <c r="N353" i="1"/>
  <c r="M353" i="1"/>
  <c r="O352" i="1" a="1"/>
  <c r="O352" i="1" s="1"/>
  <c r="N352" i="1"/>
  <c r="M352" i="1"/>
  <c r="O351" i="1" a="1"/>
  <c r="O351" i="1" s="1"/>
  <c r="N351" i="1"/>
  <c r="M351" i="1"/>
  <c r="O350" i="1"/>
  <c r="O350" i="1" a="1"/>
  <c r="N350" i="1"/>
  <c r="M350" i="1"/>
  <c r="O349" i="1"/>
  <c r="O349" i="1" a="1"/>
  <c r="N349" i="1"/>
  <c r="M349" i="1"/>
  <c r="O348" i="1" a="1"/>
  <c r="O348" i="1" s="1"/>
  <c r="N348" i="1"/>
  <c r="M348" i="1"/>
  <c r="O347" i="1"/>
  <c r="O347" i="1" a="1"/>
  <c r="N347" i="1"/>
  <c r="M347" i="1"/>
  <c r="O346" i="1" a="1"/>
  <c r="O346" i="1" s="1"/>
  <c r="N346" i="1"/>
  <c r="M346" i="1"/>
  <c r="O345" i="1"/>
  <c r="O345" i="1" a="1"/>
  <c r="N345" i="1"/>
  <c r="M345" i="1"/>
  <c r="O344" i="1"/>
  <c r="O344" i="1" a="1"/>
  <c r="N344" i="1"/>
  <c r="M344" i="1"/>
  <c r="O343" i="1"/>
  <c r="O343" i="1" a="1"/>
  <c r="N343" i="1"/>
  <c r="M343" i="1"/>
  <c r="O342" i="1"/>
  <c r="O342" i="1" a="1"/>
  <c r="N342" i="1"/>
  <c r="M342" i="1"/>
  <c r="O341" i="1" a="1"/>
  <c r="O341" i="1" s="1"/>
  <c r="N341" i="1"/>
  <c r="M341" i="1"/>
  <c r="O340" i="1"/>
  <c r="O340" i="1" a="1"/>
  <c r="N340" i="1"/>
  <c r="M340" i="1"/>
  <c r="O339" i="1" a="1"/>
  <c r="O339" i="1" s="1"/>
  <c r="N339" i="1"/>
  <c r="M339" i="1"/>
  <c r="O338" i="1" a="1"/>
  <c r="O338" i="1" s="1"/>
  <c r="N338" i="1"/>
  <c r="M338" i="1"/>
  <c r="O337" i="1" a="1"/>
  <c r="O337" i="1" s="1"/>
  <c r="N337" i="1"/>
  <c r="M337" i="1"/>
  <c r="O336" i="1"/>
  <c r="O336" i="1" a="1"/>
  <c r="N336" i="1"/>
  <c r="M336" i="1"/>
  <c r="O335" i="1"/>
  <c r="O335" i="1" a="1"/>
  <c r="N335" i="1"/>
  <c r="M335" i="1"/>
  <c r="O334" i="1" a="1"/>
  <c r="O334" i="1" s="1"/>
  <c r="N334" i="1"/>
  <c r="M334" i="1"/>
  <c r="O333" i="1" a="1"/>
  <c r="O333" i="1" s="1"/>
  <c r="N333" i="1"/>
  <c r="M333" i="1"/>
  <c r="O332" i="1"/>
  <c r="O332" i="1" a="1"/>
  <c r="N332" i="1"/>
  <c r="M332" i="1"/>
  <c r="O331" i="1" a="1"/>
  <c r="O331" i="1" s="1"/>
  <c r="N331" i="1"/>
  <c r="M331" i="1"/>
  <c r="O330" i="1" a="1"/>
  <c r="O330" i="1" s="1"/>
  <c r="N330" i="1"/>
  <c r="M330" i="1"/>
  <c r="O329" i="1" a="1"/>
  <c r="O329" i="1" s="1"/>
  <c r="N329" i="1"/>
  <c r="M329" i="1"/>
  <c r="O328" i="1"/>
  <c r="O328" i="1" a="1"/>
  <c r="N328" i="1"/>
  <c r="M328" i="1"/>
  <c r="O327" i="1" a="1"/>
  <c r="O327" i="1" s="1"/>
  <c r="N327" i="1"/>
  <c r="M327" i="1"/>
  <c r="O326" i="1" a="1"/>
  <c r="O326" i="1" s="1"/>
  <c r="N326" i="1"/>
  <c r="M326" i="1"/>
  <c r="O325" i="1"/>
  <c r="O325" i="1" a="1"/>
  <c r="N325" i="1"/>
  <c r="M325" i="1"/>
  <c r="O324" i="1" a="1"/>
  <c r="O324" i="1" s="1"/>
  <c r="N324" i="1"/>
  <c r="M324" i="1"/>
  <c r="O323" i="1" a="1"/>
  <c r="O323" i="1" s="1"/>
  <c r="N323" i="1"/>
  <c r="M323" i="1"/>
  <c r="O322" i="1" a="1"/>
  <c r="O322" i="1" s="1"/>
  <c r="N322" i="1"/>
  <c r="M322" i="1"/>
  <c r="O321" i="1" a="1"/>
  <c r="O321" i="1" s="1"/>
  <c r="N321" i="1"/>
  <c r="M321" i="1"/>
  <c r="O320" i="1"/>
  <c r="O320" i="1" a="1"/>
  <c r="N320" i="1"/>
  <c r="M320" i="1"/>
  <c r="O319" i="1" a="1"/>
  <c r="O319" i="1" s="1"/>
  <c r="N319" i="1"/>
  <c r="M319" i="1"/>
  <c r="O318" i="1"/>
  <c r="O318" i="1" a="1"/>
  <c r="N318" i="1"/>
  <c r="M318" i="1"/>
  <c r="O317" i="1"/>
  <c r="O317" i="1" a="1"/>
  <c r="N317" i="1"/>
  <c r="M317" i="1"/>
  <c r="O316" i="1" a="1"/>
  <c r="O316" i="1" s="1"/>
  <c r="N316" i="1"/>
  <c r="M316" i="1"/>
  <c r="O315" i="1" a="1"/>
  <c r="O315" i="1" s="1"/>
  <c r="N315" i="1"/>
  <c r="M315" i="1"/>
  <c r="O314" i="1"/>
  <c r="O314" i="1" a="1"/>
  <c r="N314" i="1"/>
  <c r="M314" i="1"/>
  <c r="O313" i="1" a="1"/>
  <c r="O313" i="1" s="1"/>
  <c r="N313" i="1"/>
  <c r="M313" i="1"/>
  <c r="O312" i="1" a="1"/>
  <c r="O312" i="1" s="1"/>
  <c r="N312" i="1"/>
  <c r="M312" i="1"/>
  <c r="O311" i="1"/>
  <c r="O311" i="1" a="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c r="O304" i="1" a="1"/>
  <c r="N304" i="1"/>
  <c r="M304" i="1"/>
  <c r="O303" i="1"/>
  <c r="O303" i="1" a="1"/>
  <c r="N303" i="1"/>
  <c r="M303" i="1"/>
  <c r="O302" i="1"/>
  <c r="O302" i="1" a="1"/>
  <c r="N302" i="1"/>
  <c r="M302" i="1"/>
  <c r="O301" i="1" a="1"/>
  <c r="O301" i="1" s="1"/>
  <c r="N301" i="1"/>
  <c r="M301" i="1"/>
  <c r="O300" i="1" a="1"/>
  <c r="O300" i="1" s="1"/>
  <c r="N300" i="1"/>
  <c r="M300" i="1"/>
  <c r="O299" i="1"/>
  <c r="O299" i="1" a="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c r="O293" i="1" a="1"/>
  <c r="N293" i="1"/>
  <c r="M293" i="1"/>
  <c r="O292" i="1" a="1"/>
  <c r="O292" i="1" s="1"/>
  <c r="N292" i="1"/>
  <c r="M292" i="1"/>
  <c r="O291" i="1" a="1"/>
  <c r="O291" i="1" s="1"/>
  <c r="N291" i="1"/>
  <c r="M291" i="1"/>
  <c r="O290" i="1"/>
  <c r="O290" i="1" a="1"/>
  <c r="N290" i="1"/>
  <c r="M290" i="1"/>
  <c r="O289" i="1" a="1"/>
  <c r="O289" i="1" s="1"/>
  <c r="N289" i="1"/>
  <c r="M289" i="1"/>
  <c r="O288" i="1"/>
  <c r="O288" i="1" a="1"/>
  <c r="N288" i="1"/>
  <c r="M288" i="1"/>
  <c r="O287" i="1" a="1"/>
  <c r="O287" i="1" s="1"/>
  <c r="N287" i="1"/>
  <c r="M287" i="1"/>
  <c r="O286" i="1" a="1"/>
  <c r="O286" i="1" s="1"/>
  <c r="N286" i="1"/>
  <c r="M286" i="1"/>
  <c r="O285" i="1" a="1"/>
  <c r="O285" i="1" s="1"/>
  <c r="N285" i="1"/>
  <c r="M285" i="1"/>
  <c r="O284" i="1" a="1"/>
  <c r="O284" i="1" s="1"/>
  <c r="N284" i="1"/>
  <c r="M284" i="1"/>
  <c r="O283" i="1"/>
  <c r="O283" i="1" a="1"/>
  <c r="N283" i="1"/>
  <c r="M283" i="1"/>
  <c r="O282" i="1" a="1"/>
  <c r="O282" i="1" s="1"/>
  <c r="N282" i="1"/>
  <c r="M282" i="1"/>
  <c r="O281" i="1" a="1"/>
  <c r="O281" i="1" s="1"/>
  <c r="N281" i="1"/>
  <c r="M281" i="1"/>
  <c r="O280" i="1" a="1"/>
  <c r="O280" i="1" s="1"/>
  <c r="N280" i="1"/>
  <c r="M280" i="1"/>
  <c r="O279" i="1" a="1"/>
  <c r="O279" i="1" s="1"/>
  <c r="N279" i="1"/>
  <c r="M279" i="1"/>
  <c r="O278" i="1"/>
  <c r="O278" i="1" a="1"/>
  <c r="N278" i="1"/>
  <c r="M278" i="1"/>
  <c r="O277" i="1" a="1"/>
  <c r="O277" i="1" s="1"/>
  <c r="N277" i="1"/>
  <c r="M277" i="1"/>
  <c r="O276" i="1"/>
  <c r="O276" i="1" a="1"/>
  <c r="N276" i="1"/>
  <c r="M276" i="1"/>
  <c r="O275" i="1"/>
  <c r="O275" i="1" a="1"/>
  <c r="N275" i="1"/>
  <c r="M275" i="1"/>
  <c r="O274" i="1" a="1"/>
  <c r="O274" i="1" s="1"/>
  <c r="N274" i="1"/>
  <c r="M274" i="1"/>
  <c r="O273" i="1" a="1"/>
  <c r="O273" i="1" s="1"/>
  <c r="N273" i="1"/>
  <c r="M273" i="1"/>
  <c r="O272" i="1"/>
  <c r="O272" i="1" a="1"/>
  <c r="N272" i="1"/>
  <c r="M272" i="1"/>
  <c r="O271" i="1" a="1"/>
  <c r="O271" i="1" s="1"/>
  <c r="N271" i="1"/>
  <c r="M271" i="1"/>
  <c r="O270" i="1" a="1"/>
  <c r="O270" i="1" s="1"/>
  <c r="N270" i="1"/>
  <c r="M270" i="1"/>
  <c r="O269" i="1"/>
  <c r="O269" i="1" a="1"/>
  <c r="N269" i="1"/>
  <c r="M269" i="1"/>
  <c r="O268" i="1"/>
  <c r="O268" i="1" a="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c r="O262" i="1" a="1"/>
  <c r="N262" i="1"/>
  <c r="M262" i="1"/>
  <c r="O261" i="1" a="1"/>
  <c r="O261" i="1" s="1"/>
  <c r="N261" i="1"/>
  <c r="M261" i="1"/>
  <c r="O260" i="1"/>
  <c r="O260" i="1" a="1"/>
  <c r="N260" i="1"/>
  <c r="M260" i="1"/>
  <c r="O259" i="1" a="1"/>
  <c r="O259" i="1" s="1"/>
  <c r="N259" i="1"/>
  <c r="M259" i="1"/>
  <c r="O258" i="1" a="1"/>
  <c r="O258" i="1" s="1"/>
  <c r="N258" i="1"/>
  <c r="M258" i="1"/>
  <c r="O257" i="1"/>
  <c r="O257" i="1" a="1"/>
  <c r="N257" i="1"/>
  <c r="M257" i="1"/>
  <c r="O256" i="1" a="1"/>
  <c r="O256" i="1" s="1"/>
  <c r="N256" i="1"/>
  <c r="M256" i="1"/>
  <c r="O255" i="1" a="1"/>
  <c r="O255" i="1" s="1"/>
  <c r="N255" i="1"/>
  <c r="M255" i="1"/>
  <c r="O254" i="1" a="1"/>
  <c r="O254" i="1" s="1"/>
  <c r="N254" i="1"/>
  <c r="M254" i="1"/>
  <c r="O253" i="1"/>
  <c r="O253" i="1" a="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c r="O237" i="1" a="1"/>
  <c r="N237" i="1"/>
  <c r="M237" i="1"/>
  <c r="O236" i="1" a="1"/>
  <c r="O236" i="1" s="1"/>
  <c r="N236" i="1"/>
  <c r="M236" i="1"/>
  <c r="O235" i="1" a="1"/>
  <c r="O235" i="1" s="1"/>
  <c r="N235" i="1"/>
  <c r="M235" i="1"/>
  <c r="O234" i="1"/>
  <c r="O234" i="1" a="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c r="O220" i="1" a="1"/>
  <c r="N220" i="1"/>
  <c r="M220" i="1"/>
  <c r="O219" i="1"/>
  <c r="O219" i="1" a="1"/>
  <c r="N219" i="1"/>
  <c r="M219" i="1"/>
  <c r="O218" i="1" a="1"/>
  <c r="O218" i="1" s="1"/>
  <c r="N218" i="1"/>
  <c r="M218" i="1"/>
  <c r="O217" i="1" a="1"/>
  <c r="O217" i="1" s="1"/>
  <c r="N217" i="1"/>
  <c r="M217" i="1"/>
  <c r="O216" i="1"/>
  <c r="O216" i="1" a="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c r="O205" i="1" a="1"/>
  <c r="N205" i="1"/>
  <c r="M205" i="1"/>
  <c r="O204" i="1"/>
  <c r="O204" i="1" a="1"/>
  <c r="N204" i="1"/>
  <c r="M204" i="1"/>
  <c r="O203" i="1" a="1"/>
  <c r="O203" i="1" s="1"/>
  <c r="N203" i="1"/>
  <c r="M203" i="1"/>
  <c r="O202" i="1" a="1"/>
  <c r="O202" i="1" s="1"/>
  <c r="N202" i="1"/>
  <c r="M202" i="1"/>
  <c r="O201" i="1"/>
  <c r="O201" i="1" a="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c r="O195" i="1" a="1"/>
  <c r="N195" i="1"/>
  <c r="M195" i="1"/>
  <c r="O194" i="1" a="1"/>
  <c r="O194" i="1" s="1"/>
  <c r="N194" i="1"/>
  <c r="M194" i="1"/>
  <c r="O193" i="1" a="1"/>
  <c r="O193" i="1" s="1"/>
  <c r="N193" i="1"/>
  <c r="M193" i="1"/>
  <c r="O192" i="1"/>
  <c r="O192" i="1" a="1"/>
  <c r="N192" i="1"/>
  <c r="M192" i="1"/>
  <c r="O191" i="1" a="1"/>
  <c r="O191" i="1" s="1"/>
  <c r="N191" i="1"/>
  <c r="M191" i="1"/>
  <c r="O190" i="1"/>
  <c r="O190" i="1" a="1"/>
  <c r="N190" i="1"/>
  <c r="M190" i="1"/>
  <c r="O189" i="1" a="1"/>
  <c r="O189" i="1" s="1"/>
  <c r="N189" i="1"/>
  <c r="M189" i="1"/>
  <c r="O188" i="1" a="1"/>
  <c r="O188" i="1" s="1"/>
  <c r="N188" i="1"/>
  <c r="M188" i="1"/>
  <c r="O187" i="1" a="1"/>
  <c r="O187" i="1" s="1"/>
  <c r="N187" i="1"/>
  <c r="M187" i="1"/>
  <c r="O186" i="1" a="1"/>
  <c r="O186" i="1" s="1"/>
  <c r="N186" i="1"/>
  <c r="M186" i="1"/>
  <c r="O185" i="1"/>
  <c r="O185" i="1" a="1"/>
  <c r="N185" i="1"/>
  <c r="M185" i="1"/>
  <c r="O184" i="1" a="1"/>
  <c r="O184" i="1" s="1"/>
  <c r="N184" i="1"/>
  <c r="M184" i="1"/>
  <c r="O183" i="1" a="1"/>
  <c r="O183" i="1" s="1"/>
  <c r="N183" i="1"/>
  <c r="M183" i="1"/>
  <c r="O182" i="1" a="1"/>
  <c r="O182" i="1" s="1"/>
  <c r="N182" i="1"/>
  <c r="M182" i="1"/>
  <c r="O181" i="1" a="1"/>
  <c r="O181" i="1" s="1"/>
  <c r="N181" i="1"/>
  <c r="M181" i="1"/>
  <c r="O180" i="1"/>
  <c r="O180" i="1" a="1"/>
  <c r="N180" i="1"/>
  <c r="M180" i="1"/>
  <c r="O179" i="1" a="1"/>
  <c r="O179" i="1" s="1"/>
  <c r="N179" i="1"/>
  <c r="M179" i="1"/>
  <c r="O178" i="1" a="1"/>
  <c r="O178" i="1" s="1"/>
  <c r="N178" i="1"/>
  <c r="M178" i="1"/>
  <c r="O177" i="1"/>
  <c r="O177" i="1" a="1"/>
  <c r="N177" i="1"/>
  <c r="M177" i="1"/>
  <c r="O176" i="1" a="1"/>
  <c r="O176" i="1" s="1"/>
  <c r="N176" i="1"/>
  <c r="M176" i="1"/>
  <c r="O175" i="1" a="1"/>
  <c r="O175" i="1" s="1"/>
  <c r="N175" i="1"/>
  <c r="M175" i="1"/>
  <c r="O174" i="1"/>
  <c r="O174" i="1" a="1"/>
  <c r="N174" i="1"/>
  <c r="M174" i="1"/>
  <c r="O173" i="1" a="1"/>
  <c r="O173" i="1" s="1"/>
  <c r="N173" i="1"/>
  <c r="M173" i="1"/>
  <c r="O172" i="1" a="1"/>
  <c r="O172" i="1" s="1"/>
  <c r="N172" i="1"/>
  <c r="M172" i="1"/>
  <c r="O171" i="1" a="1"/>
  <c r="O171" i="1" s="1"/>
  <c r="N171" i="1"/>
  <c r="M171" i="1"/>
  <c r="O170" i="1"/>
  <c r="O170" i="1" a="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c r="O162" i="1" a="1"/>
  <c r="N162" i="1"/>
  <c r="M162" i="1"/>
  <c r="O161" i="1" a="1"/>
  <c r="O161" i="1" s="1"/>
  <c r="N161" i="1"/>
  <c r="M161" i="1"/>
  <c r="O160" i="1" a="1"/>
  <c r="O160" i="1" s="1"/>
  <c r="N160" i="1"/>
  <c r="M160" i="1"/>
  <c r="O159" i="1"/>
  <c r="O159" i="1" a="1"/>
  <c r="N159" i="1"/>
  <c r="M159" i="1"/>
  <c r="O158" i="1" a="1"/>
  <c r="O158" i="1" s="1"/>
  <c r="N158" i="1"/>
  <c r="M158" i="1"/>
  <c r="O157" i="1"/>
  <c r="O157" i="1" a="1"/>
  <c r="N157" i="1"/>
  <c r="M157" i="1"/>
  <c r="O156" i="1" a="1"/>
  <c r="O156" i="1" s="1"/>
  <c r="N156" i="1"/>
  <c r="M156" i="1"/>
  <c r="O155" i="1"/>
  <c r="O155" i="1" a="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c r="O142" i="1" a="1"/>
  <c r="N142" i="1"/>
  <c r="M142" i="1"/>
  <c r="O141" i="1" a="1"/>
  <c r="O141" i="1" s="1"/>
  <c r="N141" i="1"/>
  <c r="M141" i="1"/>
  <c r="O140" i="1" a="1"/>
  <c r="O140" i="1" s="1"/>
  <c r="N140" i="1"/>
  <c r="M140" i="1"/>
  <c r="O139" i="1"/>
  <c r="O139" i="1" a="1"/>
  <c r="N139" i="1"/>
  <c r="M139" i="1"/>
  <c r="O138" i="1" a="1"/>
  <c r="O138" i="1" s="1"/>
  <c r="N138" i="1"/>
  <c r="M138" i="1"/>
  <c r="O137" i="1" a="1"/>
  <c r="O137" i="1" s="1"/>
  <c r="N137" i="1"/>
  <c r="M137" i="1"/>
  <c r="O136" i="1"/>
  <c r="O136" i="1" a="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c r="O127" i="1" a="1"/>
  <c r="N127" i="1"/>
  <c r="M127" i="1"/>
  <c r="O126" i="1" a="1"/>
  <c r="O126" i="1" s="1"/>
  <c r="N126" i="1"/>
  <c r="M126" i="1"/>
  <c r="O125" i="1" a="1"/>
  <c r="O125" i="1" s="1"/>
  <c r="N125" i="1"/>
  <c r="M125" i="1"/>
  <c r="O124" i="1"/>
  <c r="O124" i="1" a="1"/>
  <c r="N124" i="1"/>
  <c r="M124" i="1"/>
  <c r="O123" i="1" a="1"/>
  <c r="O123" i="1" s="1"/>
  <c r="N123" i="1"/>
  <c r="M123" i="1"/>
  <c r="O122" i="1"/>
  <c r="O122" i="1" a="1"/>
  <c r="N122" i="1"/>
  <c r="M122" i="1"/>
  <c r="O121" i="1"/>
  <c r="O121" i="1" a="1"/>
  <c r="N121" i="1"/>
  <c r="M121" i="1"/>
  <c r="O120" i="1" a="1"/>
  <c r="O120" i="1" s="1"/>
  <c r="N120" i="1"/>
  <c r="M120" i="1"/>
  <c r="O119" i="1" a="1"/>
  <c r="O119" i="1" s="1"/>
  <c r="N119" i="1"/>
  <c r="M119" i="1"/>
  <c r="O118" i="1"/>
  <c r="O118" i="1" a="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c r="O107" i="1" a="1"/>
  <c r="N107" i="1"/>
  <c r="M107" i="1"/>
  <c r="O106" i="1"/>
  <c r="O106" i="1" a="1"/>
  <c r="N106" i="1"/>
  <c r="M106" i="1"/>
  <c r="O105" i="1" a="1"/>
  <c r="O105" i="1" s="1"/>
  <c r="N105" i="1"/>
  <c r="M105" i="1"/>
  <c r="O104" i="1" a="1"/>
  <c r="O104" i="1" s="1"/>
  <c r="N104" i="1"/>
  <c r="M104" i="1"/>
  <c r="O103" i="1"/>
  <c r="O103" i="1" a="1"/>
  <c r="N103" i="1"/>
  <c r="M103" i="1"/>
  <c r="O102" i="1" a="1"/>
  <c r="O102" i="1" s="1"/>
  <c r="N102" i="1"/>
  <c r="M102" i="1"/>
  <c r="O101" i="1" a="1"/>
  <c r="O101" i="1" s="1"/>
  <c r="N101" i="1"/>
  <c r="M101" i="1"/>
  <c r="O100" i="1" a="1"/>
  <c r="O100" i="1" s="1"/>
  <c r="N100" i="1"/>
  <c r="M100" i="1"/>
  <c r="O99" i="1" a="1"/>
  <c r="O99" i="1" s="1"/>
  <c r="N99" i="1"/>
  <c r="M99" i="1"/>
  <c r="O98" i="1" a="1"/>
  <c r="O98" i="1" s="1"/>
  <c r="N98" i="1"/>
  <c r="M98" i="1"/>
  <c r="O97" i="1"/>
  <c r="O97" i="1" a="1"/>
  <c r="N97" i="1"/>
  <c r="M97" i="1"/>
  <c r="O96" i="1" a="1"/>
  <c r="O96" i="1" s="1"/>
  <c r="N96" i="1"/>
  <c r="M96" i="1"/>
  <c r="O95" i="1" a="1"/>
  <c r="O95" i="1" s="1"/>
  <c r="N95" i="1"/>
  <c r="M95" i="1"/>
  <c r="O94" i="1"/>
  <c r="O94" i="1" a="1"/>
  <c r="N94" i="1"/>
  <c r="M94" i="1"/>
  <c r="O93" i="1" a="1"/>
  <c r="O93" i="1" s="1"/>
  <c r="N93" i="1"/>
  <c r="M93" i="1"/>
  <c r="O92" i="1"/>
  <c r="O92" i="1" a="1"/>
  <c r="N92" i="1"/>
  <c r="M92" i="1"/>
  <c r="O91" i="1" a="1"/>
  <c r="O91" i="1" s="1"/>
  <c r="N91" i="1"/>
  <c r="M91" i="1"/>
  <c r="O90" i="1" a="1"/>
  <c r="O90" i="1" s="1"/>
  <c r="N90" i="1"/>
  <c r="M90" i="1"/>
  <c r="O89" i="1" a="1"/>
  <c r="O89" i="1" s="1"/>
  <c r="N89" i="1"/>
  <c r="M89" i="1"/>
  <c r="O88" i="1" a="1"/>
  <c r="O88" i="1" s="1"/>
  <c r="N88" i="1"/>
  <c r="M88" i="1"/>
  <c r="O87" i="1"/>
  <c r="O87" i="1" a="1"/>
  <c r="N87" i="1"/>
  <c r="M87" i="1"/>
  <c r="O86" i="1" a="1"/>
  <c r="O86" i="1" s="1"/>
  <c r="N86" i="1"/>
  <c r="M86" i="1"/>
  <c r="O85" i="1" a="1"/>
  <c r="O85" i="1" s="1"/>
  <c r="N85" i="1"/>
  <c r="M85" i="1"/>
  <c r="O84" i="1" a="1"/>
  <c r="O84" i="1" s="1"/>
  <c r="N84" i="1"/>
  <c r="M84" i="1"/>
  <c r="O83" i="1" a="1"/>
  <c r="O83" i="1" s="1"/>
  <c r="N83" i="1"/>
  <c r="M83" i="1"/>
  <c r="O82" i="1"/>
  <c r="O82" i="1" a="1"/>
  <c r="N82" i="1"/>
  <c r="M82" i="1"/>
  <c r="O81" i="1" a="1"/>
  <c r="O81" i="1" s="1"/>
  <c r="N81" i="1"/>
  <c r="M81" i="1"/>
  <c r="O80" i="1" a="1"/>
  <c r="O80" i="1" s="1"/>
  <c r="N80" i="1"/>
  <c r="M80" i="1"/>
  <c r="O79" i="1"/>
  <c r="O79" i="1" a="1"/>
  <c r="N79" i="1"/>
  <c r="M79" i="1"/>
  <c r="O78" i="1" a="1"/>
  <c r="O78" i="1" s="1"/>
  <c r="N78" i="1"/>
  <c r="M78" i="1"/>
  <c r="O77" i="1" a="1"/>
  <c r="O77" i="1" s="1"/>
  <c r="N77" i="1"/>
  <c r="M77" i="1"/>
  <c r="O76" i="1"/>
  <c r="O76" i="1" a="1"/>
  <c r="N76" i="1"/>
  <c r="M76" i="1"/>
  <c r="O75" i="1" a="1"/>
  <c r="O75" i="1" s="1"/>
  <c r="N75" i="1"/>
  <c r="M75" i="1"/>
  <c r="O74" i="1" a="1"/>
  <c r="O74" i="1" s="1"/>
  <c r="N74" i="1"/>
  <c r="M74" i="1"/>
  <c r="O73" i="1" a="1"/>
  <c r="O73" i="1" s="1"/>
  <c r="N73" i="1"/>
  <c r="M73" i="1"/>
  <c r="O72" i="1"/>
  <c r="O72" i="1" a="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c r="O64" i="1" a="1"/>
  <c r="N64" i="1"/>
  <c r="M64" i="1"/>
  <c r="O63" i="1" a="1"/>
  <c r="O63" i="1" s="1"/>
  <c r="N63" i="1"/>
  <c r="M63" i="1"/>
  <c r="O62" i="1" a="1"/>
  <c r="O62" i="1" s="1"/>
  <c r="N62" i="1"/>
  <c r="M62" i="1"/>
  <c r="O61" i="1"/>
  <c r="O61" i="1" a="1"/>
  <c r="N61" i="1"/>
  <c r="M61" i="1"/>
  <c r="O60" i="1" a="1"/>
  <c r="O60" i="1" s="1"/>
  <c r="N60" i="1"/>
  <c r="M60" i="1"/>
  <c r="O59" i="1"/>
  <c r="O59" i="1" a="1"/>
  <c r="N59" i="1"/>
  <c r="M59" i="1"/>
  <c r="O58" i="1" a="1"/>
  <c r="O58" i="1" s="1"/>
  <c r="N58" i="1"/>
  <c r="M58" i="1"/>
  <c r="O57" i="1"/>
  <c r="O57" i="1" a="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c r="O44" i="1" a="1"/>
  <c r="N44" i="1"/>
  <c r="M44" i="1"/>
  <c r="O43" i="1" a="1"/>
  <c r="O43" i="1" s="1"/>
  <c r="N43" i="1"/>
  <c r="M43" i="1"/>
  <c r="O42" i="1" a="1"/>
  <c r="O42" i="1" s="1"/>
  <c r="N42" i="1"/>
  <c r="M42" i="1"/>
  <c r="O41" i="1"/>
  <c r="O41" i="1" a="1"/>
  <c r="N41" i="1"/>
  <c r="M41" i="1"/>
  <c r="O40" i="1" a="1"/>
  <c r="O40" i="1" s="1"/>
  <c r="N40" i="1"/>
  <c r="M40" i="1"/>
  <c r="O39" i="1" a="1"/>
  <c r="O39" i="1" s="1"/>
  <c r="N39" i="1"/>
  <c r="M39" i="1"/>
  <c r="O38" i="1"/>
  <c r="O38" i="1" a="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c r="O29" i="1" a="1"/>
  <c r="N29" i="1"/>
  <c r="M29" i="1"/>
  <c r="O28" i="1" a="1"/>
  <c r="O28" i="1" s="1"/>
  <c r="N28" i="1"/>
  <c r="M28" i="1"/>
  <c r="O27" i="1" a="1"/>
  <c r="O27" i="1" s="1"/>
  <c r="N27" i="1"/>
  <c r="M27" i="1"/>
  <c r="O26" i="1" a="1"/>
  <c r="O26" i="1" s="1"/>
  <c r="N26" i="1"/>
  <c r="M26" i="1"/>
  <c r="O25" i="1" a="1"/>
  <c r="O25" i="1" s="1"/>
  <c r="N25" i="1"/>
  <c r="M25" i="1"/>
  <c r="O24" i="1"/>
  <c r="O24" i="1" a="1"/>
  <c r="N24" i="1"/>
  <c r="M24" i="1"/>
  <c r="O23" i="1"/>
  <c r="O23" i="1" a="1"/>
  <c r="N23" i="1"/>
  <c r="M23" i="1"/>
  <c r="O22" i="1" a="1"/>
  <c r="O22" i="1" s="1"/>
  <c r="N22" i="1"/>
  <c r="M22" i="1"/>
  <c r="O21" i="1" a="1"/>
  <c r="O21" i="1" s="1"/>
  <c r="N21" i="1"/>
  <c r="M21" i="1"/>
  <c r="O20" i="1"/>
  <c r="O20" i="1" a="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c r="O9" i="1" a="1"/>
  <c r="N9" i="1"/>
  <c r="M9" i="1"/>
  <c r="O8" i="1"/>
  <c r="O8" i="1" a="1"/>
  <c r="N8" i="1"/>
  <c r="M8" i="1"/>
  <c r="O7" i="1" a="1"/>
  <c r="O7" i="1" s="1"/>
  <c r="N7" i="1"/>
  <c r="M7" i="1"/>
  <c r="O6" i="1" a="1"/>
  <c r="O6" i="1" s="1"/>
  <c r="N6" i="1"/>
  <c r="M6" i="1"/>
  <c r="O5" i="1"/>
  <c r="O5" i="1" a="1"/>
  <c r="N5" i="1"/>
  <c r="M5" i="1"/>
  <c r="O4" i="1" a="1"/>
  <c r="O4" i="1" s="1"/>
  <c r="N4" i="1"/>
  <c r="M4" i="1"/>
  <c r="O3" i="1" a="1"/>
  <c r="O3" i="1" s="1"/>
  <c r="N3" i="1"/>
  <c r="M3" i="1"/>
  <c r="O2" i="1" a="1"/>
  <c r="O2" i="1" s="1"/>
  <c r="N2" i="1"/>
  <c r="M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<sst xmlns="http://schemas.openxmlformats.org/spreadsheetml/2006/main" count="14849" uniqueCount="2574">
  <si>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</si>
  <si>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</si>
  <si>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</si>
  <si>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</si>
  <si>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</si>
  <si>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</si>
  <si>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</si>
  <si>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</si>
  <si>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</si>
  <si>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</si>
  <si>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</si>
  <si>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</si>
  <si>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</si>
  <si>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</si>
  <si>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</si>
  <si>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</si>
  <si>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</si>
  <si>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</si>
  <si>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</si>
  <si>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</si>
  <si>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</si>
  <si>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</si>
  <si>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</si>
  <si>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</si>
  <si>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</si>
  <si>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</si>
  <si>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</si>
  <si>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</si>
  <si>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</si>
  <si>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</si>
  <si>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</si>
  <si>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</si>
  <si>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</si>
  <si>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</si>
  <si>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</si>
  <si>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</si>
  <si>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</si>
  <si>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</si>
  <si>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</si>
  <si>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</si>
  <si>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</si>
  <si>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</si>
  <si>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</si>
  <si>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</si>
  <si>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</si>
  <si>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</si>
  <si>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</si>
  <si>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</si>
  <si>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</si>
  <si>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</si>
  <si>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</si>
  <si>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</si>
  <si>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</si>
  <si>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</si>
  <si>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</si>
  <si>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</si>
  <si>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</si>
  <si>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</si>
  <si>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</si>
  <si>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</si>
  <si>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</si>
  <si>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</si>
  <si>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</si>
  <si>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</si>
  <si>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</si>
  <si>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</si>
  <si>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</si>
  <si>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</si>
  <si>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</si>
  <si>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</si>
  <si>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</si>
  <si>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</si>
  <si>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</si>
  <si>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</si>
  <si>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</si>
  <si>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</si>
  <si>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</si>
  <si>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</si>
  <si>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</si>
  <si>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</si>
  <si>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</si>
  <si>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</si>
  <si>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</si>
  <si>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</si>
  <si>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</si>
  <si>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</si>
  <si>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</si>
  <si>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</si>
  <si>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</si>
  <si>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</si>
  <si>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</si>
  <si>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</si>
  <si>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</si>
  <si>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</si>
  <si>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</si>
  <si>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</si>
  <si>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</si>
  <si>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</si>
  <si>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</si>
  <si>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</si>
  <si>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</si>
  <si>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</si>
  <si>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</si>
  <si>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</si>
  <si>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</si>
  <si>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</si>
  <si>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</si>
  <si>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</si>
  <si>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</si>
  <si>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</si>
  <si>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</si>
  <si>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</si>
  <si>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</si>
  <si>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</si>
  <si>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</si>
  <si>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</si>
  <si>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</si>
  <si>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</si>
  <si>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</si>
  <si>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</si>
  <si>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</si>
  <si>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</si>
  <si>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</si>
  <si>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</si>
  <si>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</si>
  <si>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</si>
  <si>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</si>
  <si>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</si>
  <si>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</si>
  <si>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</si>
  <si>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</si>
  <si>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</si>
  <si>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</si>
  <si>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</si>
  <si>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</si>
  <si>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</si>
  <si>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</si>
  <si>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</si>
  <si>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</si>
  <si>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</si>
  <si>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</si>
  <si>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</si>
  <si>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</si>
  <si>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</si>
  <si>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</si>
  <si>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</si>
  <si>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</si>
  <si>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</si>
  <si>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</si>
  <si>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</si>
  <si>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</si>
  <si>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</si>
  <si>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</si>
  <si>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</si>
  <si>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</si>
  <si>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</si>
  <si>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</si>
  <si>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</si>
  <si>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</si>
  <si>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</si>
  <si>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</si>
  <si>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</si>
  <si>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</si>
  <si>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</si>
  <si>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</si>
  <si>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</si>
  <si>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</si>
  <si>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</si>
  <si>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</si>
  <si>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</si>
  <si>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</si>
  <si>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</si>
  <si>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</si>
  <si>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</si>
  <si>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</si>
  <si>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</si>
  <si>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</si>
  <si>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</si>
  <si>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</si>
  <si>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</si>
  <si>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</si>
  <si>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</si>
  <si>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</si>
  <si>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</si>
  <si>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</si>
  <si>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</si>
  <si>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</si>
  <si>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</si>
  <si>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</si>
  <si>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</si>
  <si>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</si>
  <si>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</si>
  <si>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</si>
  <si>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</si>
  <si>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</si>
  <si>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</si>
  <si>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</si>
  <si>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</si>
  <si>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</si>
  <si>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</si>
  <si>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</si>
  <si>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</si>
  <si>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</si>
  <si>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</si>
  <si>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</si>
  <si>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</si>
  <si>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</si>
  <si>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</si>
  <si>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</si>
  <si>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</si>
  <si>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</si>
  <si>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</si>
  <si>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</si>
  <si>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</si>
  <si>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</si>
  <si>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</si>
  <si>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</si>
  <si>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</si>
  <si>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</si>
  <si>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</si>
  <si>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</si>
  <si>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</si>
  <si>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</si>
  <si>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</si>
  <si>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</si>
  <si>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</si>
  <si>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</si>
  <si>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</si>
  <si>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</si>
  <si>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</si>
  <si>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</si>
  <si>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</si>
  <si>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</si>
  <si>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</si>
  <si>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</si>
  <si>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</si>
  <si>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</si>
  <si>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</si>
  <si>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</si>
  <si>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</si>
  <si>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</si>
  <si>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</si>
  <si>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</si>
  <si>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</si>
  <si>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</si>
  <si>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</si>
  <si>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</si>
  <si>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</si>
  <si>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</si>
  <si>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</si>
  <si>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</si>
  <si>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</si>
  <si>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</si>
  <si>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</si>
  <si>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</si>
  <si>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</si>
  <si>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</si>
  <si>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</si>
  <si>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</si>
  <si>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</si>
  <si>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</si>
  <si>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</si>
  <si>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</si>
  <si>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</si>
  <si>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</si>
  <si>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</si>
  <si>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</si>
  <si>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</si>
  <si>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</si>
  <si>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</si>
  <si>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</si>
  <si>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</si>
  <si>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</si>
  <si>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</si>
  <si>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</si>
  <si>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</si>
  <si>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</si>
  <si>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</si>
  <si>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</si>
  <si>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</si>
  <si>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</si>
  <si>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</si>
  <si>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</si>
  <si>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</si>
  <si>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</si>
  <si>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</si>
  <si>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</si>
  <si>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</si>
  <si>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</si>
  <si>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</si>
  <si>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</si>
  <si>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</si>
  <si>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</si>
  <si>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</si>
  <si>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</si>
  <si>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</si>
  <si>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</si>
  <si>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</si>
  <si>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</si>
  <si>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</si>
  <si>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</si>
  <si>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</si>
  <si>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</si>
  <si>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</si>
  <si>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</si>
  <si>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</si>
  <si>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</si>
  <si>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</si>
  <si>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</si>
  <si>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</si>
  <si>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</si>
  <si>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</si>
  <si>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</si>
  <si>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</si>
  <si>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</si>
  <si>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</si>
  <si>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</si>
  <si>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</si>
  <si>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</si>
  <si>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</si>
  <si>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</si>
  <si>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</si>
  <si>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</si>
  <si>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</si>
  <si>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</si>
  <si>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</si>
  <si>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</si>
  <si>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</si>
  <si>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</si>
  <si>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</si>
  <si>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</si>
  <si>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</si>
  <si>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</si>
  <si>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</si>
  <si>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</si>
  <si>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</si>
  <si>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</si>
  <si>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</si>
  <si>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</si>
  <si>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</si>
  <si>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</si>
  <si>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</si>
  <si>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</si>
  <si>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</si>
  <si>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</si>
  <si>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</si>
  <si>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</si>
  <si>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</si>
  <si>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</si>
  <si>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</si>
  <si>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</si>
  <si>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</si>
  <si>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</si>
  <si>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</si>
  <si>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</si>
  <si>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</si>
  <si>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</si>
  <si>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</si>
  <si>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</si>
  <si>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</si>
  <si>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</si>
  <si>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</si>
  <si>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</si>
  <si>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</si>
  <si>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</si>
  <si>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</si>
  <si>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</si>
  <si>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</si>
  <si>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</si>
  <si>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</si>
  <si>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</si>
  <si>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</si>
  <si>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</si>
  <si>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</si>
  <si>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</si>
  <si>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</si>
  <si>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</si>
  <si>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</si>
  <si>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</si>
  <si>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</si>
  <si>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</si>
  <si>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</si>
  <si>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</si>
  <si>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</si>
  <si>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</si>
  <si>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</si>
  <si>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</si>
  <si>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</si>
  <si>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</si>
  <si>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</si>
  <si>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</si>
  <si>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</si>
  <si>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</si>
  <si>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</si>
  <si>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</si>
  <si>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</si>
  <si>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</si>
  <si>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</si>
  <si>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</si>
  <si>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</si>
  <si>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</si>
  <si>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</si>
  <si>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</si>
  <si>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</si>
  <si>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</si>
  <si>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</si>
  <si>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</si>
  <si>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</si>
  <si>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</si>
  <si>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</si>
  <si>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</si>
  <si>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</si>
  <si>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</si>
  <si>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</si>
  <si>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</si>
  <si>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</si>
  <si>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</si>
  <si>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</si>
  <si>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</si>
  <si>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</si>
  <si>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</si>
  <si>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</si>
  <si>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</si>
  <si>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</si>
  <si>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</si>
  <si>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</si>
  <si>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</si>
  <si>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</si>
  <si>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</si>
  <si>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</si>
  <si>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</si>
  <si>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</si>
  <si>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</si>
  <si>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</si>
  <si>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</si>
  <si>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</si>
  <si>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</si>
  <si>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</si>
  <si>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</si>
  <si>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</si>
  <si>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</si>
  <si>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</si>
  <si>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</si>
  <si>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</si>
  <si>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</si>
  <si>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</si>
  <si>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</si>
  <si>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</si>
  <si>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</si>
  <si>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</si>
  <si>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</si>
  <si>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</si>
  <si>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</si>
  <si>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</si>
  <si>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</si>
  <si>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</si>
  <si>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</si>
  <si>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</si>
  <si>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</si>
  <si>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</si>
  <si>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</si>
  <si>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</si>
  <si>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</si>
  <si>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</si>
  <si>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</si>
  <si>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</si>
  <si>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</si>
  <si>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</si>
  <si>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</si>
  <si>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</si>
  <si>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</si>
  <si>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</si>
  <si>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</si>
  <si>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</si>
  <si>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</si>
  <si>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</si>
  <si>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</si>
  <si>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</si>
  <si>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</si>
  <si>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</si>
  <si>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</si>
  <si>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</si>
  <si>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</si>
  <si>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</si>
  <si>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</si>
  <si>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</si>
  <si>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</si>
  <si>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</si>
  <si>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</si>
  <si>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</si>
  <si>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</si>
  <si>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</si>
  <si>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</si>
  <si>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</si>
  <si>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</si>
  <si>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</si>
  <si>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</si>
  <si>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</si>
  <si>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</si>
  <si>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</si>
  <si>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</si>
  <si>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</si>
  <si>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</si>
  <si>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</si>
  <si>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</si>
  <si>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</si>
  <si>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</si>
  <si>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</si>
  <si>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</si>
  <si>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</si>
  <si>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</si>
  <si>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</si>
  <si>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</si>
  <si>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</si>
  <si>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</si>
  <si>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</si>
  <si>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</si>
  <si>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</si>
  <si>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</si>
  <si>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</si>
  <si>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</si>
  <si>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</si>
  <si>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</si>
  <si>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</si>
  <si>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</si>
  <si>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</si>
  <si>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</si>
  <si>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</si>
  <si>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</si>
  <si>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</si>
  <si>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</si>
  <si>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</si>
  <si>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</si>
  <si>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</si>
  <si>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</si>
  <si>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</si>
  <si>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</si>
  <si>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</si>
  <si>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</si>
  <si>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</si>
  <si>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</si>
  <si>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</si>
  <si>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</si>
  <si>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</si>
  <si>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</si>
  <si>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</si>
  <si>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</si>
  <si>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</si>
  <si>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</si>
  <si>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</si>
  <si>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</si>
  <si>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</si>
  <si>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</si>
  <si>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</si>
  <si>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</si>
  <si>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</si>
  <si>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</si>
  <si>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</si>
  <si>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</si>
  <si>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</si>
  <si>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</si>
  <si>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</si>
  <si>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</si>
  <si>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</si>
  <si>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</si>
  <si>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</si>
  <si>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</si>
  <si>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</si>
  <si>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</si>
  <si>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</si>
  <si>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</si>
  <si>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</si>
  <si>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</si>
  <si>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</si>
  <si>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</si>
  <si>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</si>
  <si>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</si>
  <si>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</si>
  <si>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</si>
  <si>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</si>
  <si>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</si>
  <si>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</si>
  <si>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</si>
  <si>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</si>
  <si>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</si>
  <si>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</si>
  <si>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</si>
  <si>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</si>
  <si>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</si>
  <si>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</si>
  <si>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</si>
  <si>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</si>
  <si>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</si>
  <si>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</si>
  <si>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</si>
  <si>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</si>
  <si>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</si>
  <si>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</si>
  <si>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</si>
  <si>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</si>
  <si>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</si>
  <si>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</si>
  <si>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</si>
  <si>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</si>
  <si>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</si>
  <si>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</si>
  <si>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</si>
  <si>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</si>
  <si>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</si>
  <si>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</si>
  <si>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</si>
  <si>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</si>
  <si>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</si>
  <si>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</si>
  <si>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</si>
  <si>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</si>
  <si>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</si>
  <si>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</si>
  <si>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</si>
  <si>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</si>
  <si>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</si>
  <si>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</si>
  <si>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</si>
  <si>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</si>
  <si>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</si>
  <si>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</si>
  <si>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</si>
  <si>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</si>
  <si>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</si>
  <si>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</si>
  <si>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</si>
  <si>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</si>
  <si>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</si>
  <si>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</si>
  <si>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</si>
  <si>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</si>
  <si>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</si>
  <si>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</si>
  <si>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</si>
  <si>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</si>
  <si>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</si>
  <si>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</si>
  <si>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</si>
  <si>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</si>
  <si>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</si>
  <si>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</si>
  <si>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</si>
  <si>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</si>
  <si>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</si>
  <si>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</si>
  <si>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</si>
  <si>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</si>
  <si>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</si>
  <si>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</si>
  <si>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</si>
  <si>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</si>
  <si>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</si>
  <si>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</si>
  <si>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</si>
  <si>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</si>
  <si>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</si>
  <si>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</si>
  <si>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</si>
  <si>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</si>
  <si>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</si>
  <si>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</si>
  <si>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</si>
  <si>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</si>
  <si>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</si>
  <si>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</si>
  <si>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</si>
  <si>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</si>
  <si>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</si>
  <si>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</si>
  <si>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</si>
  <si>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</si>
  <si>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</si>
  <si>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</si>
  <si>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</si>
  <si>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</si>
  <si>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</si>
  <si>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</si>
  <si>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</si>
  <si>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</si>
  <si>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</si>
  <si>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</si>
  <si>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</si>
  <si>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</si>
  <si>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</si>
  <si>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</si>
  <si>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</si>
  <si>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</si>
  <si>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</si>
  <si>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</si>
  <si>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</si>
  <si>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</si>
  <si>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</si>
  <si>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</si>
  <si>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</si>
  <si>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</si>
  <si>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</si>
  <si>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</si>
  <si>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</si>
  <si>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</si>
  <si>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</si>
  <si>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</si>
  <si>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</si>
  <si>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</si>
  <si>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</si>
  <si>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</si>
  <si>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</si>
  <si>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</si>
  <si>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</si>
  <si>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</si>
  <si>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</si>
  <si>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</si>
  <si>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</si>
  <si>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</si>
  <si>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</si>
  <si>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</si>
  <si>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</si>
  <si>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</si>
  <si>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</si>
  <si>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</si>
  <si>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</si>
  <si>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</si>
  <si>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</si>
  <si>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</si>
  <si>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</si>
  <si>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</si>
  <si>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</si>
  <si>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</si>
  <si>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</si>
  <si>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</si>
  <si>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</si>
  <si>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</si>
  <si>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</si>
  <si>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</si>
  <si>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</si>
  <si>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</si>
  <si>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</si>
  <si>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</si>
  <si>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</si>
  <si>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</si>
  <si>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</si>
  <si>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</si>
  <si>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</si>
  <si>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</si>
  <si>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</si>
  <si>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</si>
  <si>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</si>
  <si>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</si>
  <si>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</si>
  <si>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</si>
  <si>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</si>
  <si>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</si>
  <si>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</si>
  <si>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</si>
  <si>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</si>
  <si>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</si>
  <si>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</si>
  <si>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</si>
  <si>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</si>
  <si>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</si>
  <si>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</si>
  <si>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</si>
  <si>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</si>
  <si>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</si>
  <si>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</si>
  <si>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</si>
  <si>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</si>
  <si>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</si>
  <si>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</si>
  <si>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</si>
  <si>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</si>
  <si>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</si>
  <si>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</si>
  <si>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</si>
  <si>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</si>
  <si>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</si>
  <si>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</si>
  <si>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</si>
  <si>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</si>
  <si>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</si>
  <si>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</si>
  <si>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</si>
  <si>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</si>
  <si>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</si>
  <si>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</si>
  <si>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</si>
  <si>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</si>
  <si>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</si>
  <si>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</si>
  <si>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</si>
  <si>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</si>
  <si>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</si>
  <si>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</si>
  <si>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</si>
  <si>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</si>
  <si>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</si>
  <si>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</si>
  <si>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</si>
  <si>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</si>
  <si>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</si>
  <si>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</si>
  <si>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</si>
  <si>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</si>
  <si>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</si>
  <si>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</si>
  <si>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</si>
  <si>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</si>
  <si>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</si>
  <si>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</si>
  <si>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</si>
  <si>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</si>
  <si>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</si>
  <si>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</si>
  <si>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</si>
  <si>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</si>
  <si>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</si>
  <si>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</si>
  <si>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</si>
  <si>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</si>
  <si>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</si>
  <si>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</si>
  <si>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</si>
  <si>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</si>
  <si>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</si>
  <si>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</si>
  <si>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</si>
  <si>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</si>
  <si>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</si>
  <si>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</si>
  <si>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</si>
  <si>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</si>
  <si>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</si>
  <si>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</si>
  <si>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</si>
  <si>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</si>
  <si>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</si>
  <si>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</si>
  <si>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</si>
  <si>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</si>
  <si>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</si>
  <si>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</si>
  <si>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</si>
  <si>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</si>
  <si>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</si>
  <si>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</si>
  <si>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</si>
  <si>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</si>
  <si>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</si>
  <si>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</si>
  <si>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</si>
  <si>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</si>
  <si>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</si>
  <si>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</si>
  <si>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</si>
  <si>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</si>
  <si>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</si>
  <si>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</si>
  <si>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</si>
  <si>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</si>
  <si>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</si>
  <si>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</si>
  <si>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</si>
  <si>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</si>
  <si>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</si>
  <si>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</si>
  <si>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</si>
  <si>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</si>
  <si>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</si>
  <si>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</si>
  <si>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</si>
  <si>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</si>
  <si>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</si>
  <si>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</si>
  <si>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</si>
  <si>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</si>
  <si>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</si>
  <si>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</si>
  <si>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</si>
  <si>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</si>
  <si>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</si>
  <si>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</si>
  <si>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</si>
  <si>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</si>
  <si>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</si>
  <si>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</si>
  <si>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</si>
  <si>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</si>
  <si>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</si>
  <si>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</si>
  <si>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</si>
  <si>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</si>
  <si>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</si>
  <si>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</si>
  <si>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</si>
  <si>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</si>
  <si>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</si>
  <si>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</si>
  <si>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</si>
  <si>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</si>
  <si>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</si>
  <si>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</si>
  <si>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</si>
  <si>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</si>
  <si>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</si>
  <si>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</si>
  <si>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</si>
  <si>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</si>
  <si>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</si>
  <si>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</si>
  <si>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</si>
  <si>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</si>
  <si>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</si>
  <si>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</si>
  <si>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</si>
  <si>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</si>
  <si>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</si>
  <si>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</si>
  <si>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</si>
  <si>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</si>
  <si>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</si>
  <si>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</si>
  <si>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</si>
  <si>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</si>
  <si>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</si>
  <si>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</si>
  <si>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</si>
  <si>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</si>
  <si>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</si>
  <si>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</si>
  <si>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</si>
  <si>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</si>
  <si>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</si>
  <si>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</si>
  <si>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</si>
  <si>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</si>
  <si>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</si>
  <si>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</si>
  <si>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</si>
  <si>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</si>
  <si>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</si>
  <si>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</si>
  <si>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</si>
  <si>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</si>
  <si>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</si>
  <si>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</si>
  <si>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</si>
  <si>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</si>
  <si>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</si>
  <si>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</si>
  <si>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</si>
  <si>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</si>
  <si>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</si>
  <si>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</si>
  <si>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</si>
  <si>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</si>
  <si>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</si>
  <si>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</si>
  <si>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</si>
  <si>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</si>
  <si>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</si>
  <si>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</si>
  <si>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</si>
  <si>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</si>
  <si>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</si>
  <si>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</si>
  <si>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</si>
  <si>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</si>
  <si>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</si>
  <si>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</si>
  <si>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</si>
  <si>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</si>
  <si>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</si>
  <si>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</si>
  <si>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</si>
  <si>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</si>
  <si>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</si>
  <si>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</si>
  <si>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</si>
  <si>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</si>
  <si>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</si>
  <si>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</si>
  <si>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</si>
  <si>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</si>
  <si>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</si>
  <si>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</si>
  <si>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</si>
  <si>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</si>
  <si>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</si>
  <si>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</si>
  <si>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</si>
  <si>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</si>
  <si>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</si>
  <si>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</si>
  <si>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</si>
  <si>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</si>
  <si>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</si>
  <si>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</si>
  <si>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</si>
  <si>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</si>
  <si>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</si>
  <si>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</si>
  <si>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</si>
  <si>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</si>
  <si>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</si>
  <si>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</si>
  <si>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</si>
  <si>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</si>
  <si>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</si>
  <si>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</si>
  <si>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</si>
  <si>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</si>
  <si>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</si>
  <si>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</si>
  <si>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</si>
  <si>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</si>
  <si>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</si>
  <si>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</si>
  <si>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</si>
  <si>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</si>
  <si>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</si>
  <si>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</si>
  <si>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</si>
  <si>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</si>
  <si>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</si>
  <si>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</si>
  <si>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</si>
  <si>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</si>
  <si>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</si>
  <si>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</si>
  <si>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</si>
  <si>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</si>
  <si>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</si>
  <si>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</si>
  <si>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</si>
  <si>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</si>
  <si>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</si>
  <si>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</si>
  <si>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</si>
  <si>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</si>
  <si>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</si>
  <si>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</si>
  <si>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</si>
  <si>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</si>
  <si>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</si>
  <si>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</si>
  <si>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</si>
  <si>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</si>
  <si>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</si>
  <si>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</si>
  <si>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</si>
  <si>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</si>
  <si>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</si>
  <si>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</si>
  <si>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</si>
  <si>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</si>
  <si>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</si>
  <si>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</si>
  <si>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</si>
  <si>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</si>
  <si>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</si>
  <si>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</si>
  <si>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</si>
  <si>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</si>
  <si>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</si>
  <si>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</si>
  <si>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</si>
  <si>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</si>
  <si>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</si>
  <si>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</si>
  <si>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</si>
  <si>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</si>
  <si>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</si>
  <si>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</si>
  <si>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</si>
  <si>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</si>
  <si>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</si>
  <si>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</si>
  <si>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</si>
  <si>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</si>
  <si>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</si>
  <si>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</si>
  <si>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</si>
  <si>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</si>
  <si>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</si>
  <si>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</si>
  <si>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</si>
  <si>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</si>
  <si>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</si>
  <si>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</si>
  <si>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</si>
  <si>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</si>
  <si>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</si>
  <si>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</si>
  <si>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</si>
  <si>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</si>
  <si>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</si>
  <si>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</si>
  <si>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</si>
  <si>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</si>
  <si>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</si>
  <si>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</si>
  <si>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</si>
  <si>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</si>
  <si>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</si>
  <si>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</si>
  <si>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</si>
  <si>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</si>
  <si>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</si>
  <si>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</si>
  <si>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</si>
  <si>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</si>
  <si>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</si>
  <si>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</si>
  <si>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</si>
  <si>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</si>
  <si>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</si>
  <si>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</si>
  <si>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</si>
  <si>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</si>
  <si>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</si>
  <si>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</si>
  <si>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</si>
  <si>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</si>
  <si>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</si>
  <si>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</si>
  <si>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</si>
  <si>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</si>
  <si>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</si>
  <si>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</si>
  <si>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</si>
  <si>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</si>
  <si>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</si>
  <si>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</si>
  <si>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</si>
  <si>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</si>
  <si>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</si>
  <si>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</si>
  <si>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</si>
  <si>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</si>
  <si>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</si>
  <si>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</si>
  <si>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</si>
  <si>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</si>
  <si>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</si>
  <si>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</si>
  <si>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</si>
  <si>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</si>
  <si>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</si>
  <si>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</si>
  <si>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</si>
  <si>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</si>
  <si>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</si>
  <si>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</si>
  <si>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</si>
  <si>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</si>
  <si>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</si>
  <si>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</si>
  <si>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</si>
  <si>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</si>
  <si>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</si>
  <si>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</si>
  <si>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</si>
  <si>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</si>
  <si>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</si>
  <si>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</si>
  <si>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</si>
  <si>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</si>
  <si>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</si>
  <si>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</si>
  <si>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</si>
  <si>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</si>
  <si>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</si>
  <si>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</si>
  <si>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</si>
  <si>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</si>
  <si>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</si>
  <si>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</si>
  <si>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</si>
  <si>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</si>
  <si>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</si>
  <si>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</si>
  <si>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</si>
  <si>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</si>
  <si>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</si>
  <si>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</si>
  <si>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</si>
  <si>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</si>
  <si>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</si>
  <si>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</si>
  <si>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</si>
  <si>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</si>
  <si>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</si>
  <si>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</si>
  <si>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</si>
  <si>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</si>
  <si>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</si>
  <si>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</si>
  <si>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</si>
  <si>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</si>
  <si>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</si>
  <si>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</si>
  <si>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</si>
  <si>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</si>
  <si>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</si>
  <si>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</si>
  <si>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</si>
  <si>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</si>
  <si>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</si>
  <si>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</si>
  <si>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</si>
  <si>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</si>
  <si>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</si>
  <si>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</si>
  <si>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</si>
  <si>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</si>
  <si>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</si>
  <si>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</si>
  <si>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</si>
  <si>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</si>
  <si>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</si>
  <si>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</si>
  <si>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</si>
  <si>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</si>
  <si>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</si>
  <si>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</si>
  <si>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</si>
  <si>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</si>
  <si>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</si>
  <si>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</si>
  <si>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</si>
  <si>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</si>
  <si>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</si>
  <si>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</si>
  <si>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</si>
  <si>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</si>
  <si>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</si>
  <si>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</si>
  <si>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</si>
  <si>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</si>
  <si>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</si>
  <si>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</si>
  <si>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</si>
  <si>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</si>
  <si>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</si>
  <si>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</si>
  <si>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</si>
  <si>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</si>
  <si>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</si>
  <si>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</si>
  <si>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</si>
  <si>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</si>
  <si>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</si>
  <si>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</si>
  <si>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</si>
  <si>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</si>
  <si>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</si>
  <si>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</si>
  <si>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</si>
  <si>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</si>
  <si>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</si>
  <si>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</si>
  <si>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</si>
  <si>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</si>
  <si>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</si>
  <si>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</si>
  <si>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</si>
  <si>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</si>
  <si>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</si>
  <si>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</si>
  <si>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</si>
  <si>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</si>
  <si>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</si>
  <si>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</si>
  <si>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</si>
  <si>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</si>
  <si>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</si>
  <si>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</si>
  <si>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</si>
  <si>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</si>
  <si>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</si>
  <si>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</si>
  <si>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</si>
  <si>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</si>
  <si>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</si>
  <si>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</si>
  <si>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</si>
  <si>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</si>
  <si>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</si>
  <si>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</si>
  <si>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</si>
  <si>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</si>
  <si>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</si>
  <si>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</si>
  <si>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</si>
  <si>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</si>
  <si>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</si>
  <si>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</si>
  <si>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</si>
  <si>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</si>
  <si>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</si>
  <si>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</si>
  <si>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</si>
  <si>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</si>
  <si>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</si>
  <si>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</si>
  <si>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</si>
  <si>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</si>
  <si>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</si>
  <si>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</si>
  <si>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</si>
  <si>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</si>
  <si>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</si>
  <si>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</si>
  <si>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</si>
  <si>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</si>
  <si>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</si>
  <si>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</si>
  <si>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</si>
  <si>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</si>
  <si>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</si>
  <si>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</si>
  <si>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</si>
  <si>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</si>
  <si>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</si>
  <si>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</si>
  <si>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</si>
  <si>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</si>
  <si>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</si>
  <si>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</si>
  <si>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</si>
  <si>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</si>
  <si>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</si>
  <si>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</si>
  <si>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</si>
  <si>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</si>
  <si>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</si>
  <si>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</si>
  <si>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</si>
  <si>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</si>
  <si>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</si>
  <si>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</si>
  <si>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</si>
  <si>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</si>
  <si>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</si>
  <si>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</si>
  <si>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</si>
  <si>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</si>
  <si>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</si>
  <si>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</si>
  <si>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</si>
  <si>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</si>
  <si>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</si>
  <si>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</si>
  <si>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</si>
  <si>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</si>
  <si>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</si>
  <si>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</si>
  <si>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</si>
  <si>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</si>
  <si>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</si>
  <si>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</si>
  <si>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</si>
  <si>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</si>
  <si>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</si>
  <si>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</si>
  <si>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</si>
  <si>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</si>
  <si>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</si>
  <si>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</si>
  <si>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</si>
  <si>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</si>
  <si>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</si>
  <si>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</si>
  <si>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</si>
  <si>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</si>
  <si>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</si>
  <si>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</si>
  <si>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</si>
  <si>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</si>
  <si>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</si>
  <si>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</si>
  <si>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</si>
  <si>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</si>
  <si>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</si>
  <si>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</si>
  <si>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</si>
  <si>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</si>
  <si>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</si>
  <si>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</si>
  <si>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</si>
  <si>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</si>
  <si>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</si>
  <si>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</si>
  <si>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</si>
  <si>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</si>
  <si>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</si>
  <si>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</si>
  <si>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</si>
  <si>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</si>
  <si>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</si>
  <si>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</si>
  <si>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</si>
  <si>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</si>
  <si>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</si>
  <si>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</si>
  <si>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</si>
  <si>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</si>
  <si>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</si>
  <si>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</si>
  <si>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</si>
  <si>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</si>
  <si>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</si>
  <si>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</si>
  <si>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</si>
  <si>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</si>
  <si>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</si>
  <si>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</si>
  <si>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</si>
  <si>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</si>
  <si>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</si>
  <si>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</si>
  <si>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</si>
  <si>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</si>
  <si>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</si>
  <si>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</si>
  <si>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</si>
  <si>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</si>
  <si>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</si>
  <si>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</si>
  <si>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</si>
  <si>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</si>
  <si>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</si>
  <si>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</si>
  <si>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</si>
  <si>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</si>
  <si>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</si>
  <si>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</si>
  <si>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</si>
  <si>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</si>
  <si>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</si>
  <si>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</si>
  <si>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</si>
  <si>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</si>
  <si>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</si>
  <si>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</si>
  <si>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</si>
  <si>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</si>
  <si>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</si>
  <si>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</si>
  <si>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</si>
  <si>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</si>
  <si>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</si>
  <si>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</si>
  <si>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</si>
  <si>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</si>
  <si>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</si>
  <si>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</si>
  <si>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</si>
  <si>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</si>
  <si>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</si>
  <si>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</si>
  <si>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</si>
  <si>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</si>
  <si>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</si>
  <si>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</si>
  <si>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</si>
  <si>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</si>
  <si>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</si>
  <si>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</si>
  <si>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</si>
  <si>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</si>
  <si>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</si>
  <si>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</si>
  <si>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</si>
  <si>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</si>
  <si>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</si>
  <si>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</si>
  <si>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</si>
  <si>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</si>
  <si>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</si>
  <si>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</si>
  <si>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</si>
  <si>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</si>
  <si>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</si>
  <si>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</si>
  <si>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</si>
  <si>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</si>
  <si>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</si>
  <si>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</si>
  <si>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</si>
  <si>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</si>
  <si>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</si>
  <si>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</si>
  <si>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</si>
  <si>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</si>
  <si>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</si>
  <si>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</si>
  <si>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</si>
  <si>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</si>
  <si>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</si>
  <si>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</si>
  <si>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</si>
  <si>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</si>
  <si>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</si>
  <si>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</si>
  <si>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</si>
  <si>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</si>
  <si>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</si>
  <si>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</si>
  <si>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</si>
  <si>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</si>
  <si>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</si>
  <si>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</si>
  <si>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</si>
  <si>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</si>
  <si>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</si>
  <si>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</si>
  <si>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</si>
  <si>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</si>
  <si>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</si>
  <si>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</si>
  <si>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</si>
  <si>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</si>
  <si>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</si>
  <si>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</si>
  <si>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</si>
  <si>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</si>
  <si>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</si>
  <si>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</si>
  <si>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</si>
  <si>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</si>
  <si>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</si>
  <si>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</si>
  <si>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</si>
  <si>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</si>
  <si>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</si>
  <si>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</si>
  <si>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</si>
  <si>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</si>
  <si>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</si>
  <si>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</si>
  <si>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</si>
  <si>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</si>
  <si>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</si>
  <si>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</si>
  <si>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</si>
  <si>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</si>
  <si>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</si>
  <si>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</si>
  <si>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</si>
  <si>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</si>
  <si>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</si>
  <si>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</si>
  <si>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</si>
  <si>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</si>
  <si>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</si>
  <si>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</si>
  <si>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</si>
  <si>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</si>
  <si>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</si>
  <si>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</si>
  <si>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</si>
  <si>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</si>
  <si>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</si>
  <si>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</si>
  <si>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</si>
  <si>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</si>
  <si>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</si>
  <si>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</si>
  <si>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</si>
  <si>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</si>
  <si>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</si>
  <si>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</si>
  <si>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</si>
  <si>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</si>
  <si>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</si>
  <si>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</si>
  <si>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</si>
  <si>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</si>
  <si>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</si>
  <si>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</si>
  <si>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</si>
  <si>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</si>
  <si>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</si>
  <si>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</si>
  <si>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</si>
  <si>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</si>
  <si>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</si>
  <si>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</si>
  <si>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</si>
  <si>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</si>
  <si>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</si>
  <si>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</si>
  <si>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</si>
  <si>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</si>
  <si>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</si>
  <si>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</si>
  <si>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</si>
  <si>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</si>
  <si>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</si>
  <si>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</si>
  <si>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</si>
  <si>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</si>
  <si>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</si>
  <si>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</si>
  <si>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</si>
  <si>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</si>
  <si>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</si>
  <si>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</si>
  <si>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</si>
  <si>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</si>
  <si>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</si>
  <si>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</si>
  <si>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</si>
  <si>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</si>
  <si>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</si>
  <si>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</si>
  <si>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</si>
  <si>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</si>
  <si>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</si>
  <si>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</si>
  <si>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</si>
  <si>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</si>
  <si>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</si>
  <si>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</si>
  <si>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</si>
  <si>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</si>
  <si>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</si>
  <si>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</si>
  <si>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</si>
  <si>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</si>
  <si>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</si>
  <si>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</si>
  <si>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</si>
  <si>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</si>
  <si>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</si>
  <si>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</si>
  <si>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</si>
  <si>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</si>
  <si>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</si>
  <si>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</si>
  <si>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</si>
  <si>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</si>
  <si>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</si>
  <si>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</si>
  <si>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</si>
  <si>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</si>
  <si>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</si>
  <si>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</si>
  <si>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</si>
  <si>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</si>
  <si>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</si>
  <si>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</si>
  <si>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</si>
  <si>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</si>
  <si>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</si>
  <si>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</si>
  <si>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</si>
  <si>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</si>
  <si>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</si>
  <si>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</si>
  <si>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</si>
  <si>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</si>
  <si>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</si>
  <si>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</si>
  <si>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</si>
  <si>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</si>
  <si>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</si>
  <si>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</si>
  <si>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</si>
  <si>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</si>
  <si>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</si>
  <si>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</si>
  <si>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</si>
  <si>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</si>
  <si>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</si>
  <si>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</si>
  <si>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</si>
  <si>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</si>
  <si>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</si>
  <si>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</si>
  <si>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</si>
  <si>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</si>
  <si>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</si>
  <si>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</si>
  <si>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</si>
  <si>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</si>
  <si>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</si>
  <si>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</si>
  <si>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</si>
  <si>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</si>
  <si>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</si>
  <si>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</si>
  <si>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</si>
  <si>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</si>
  <si>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</si>
  <si>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</si>
  <si>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</si>
  <si>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</si>
  <si>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</si>
  <si>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</si>
  <si>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</si>
  <si>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</si>
  <si>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</si>
  <si>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</si>
  <si>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</si>
  <si>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</si>
  <si>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</si>
  <si>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</si>
  <si>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</si>
  <si>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</si>
  <si>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</si>
  <si>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</si>
  <si>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</si>
  <si>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</si>
  <si>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</si>
  <si>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</si>
  <si>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</si>
  <si>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</si>
  <si>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</si>
  <si>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</si>
  <si>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</si>
  <si>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</si>
  <si>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</si>
  <si>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</si>
  <si>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</si>
  <si>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</si>
  <si>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</si>
  <si>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</si>
  <si>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</si>
  <si>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</si>
  <si>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</si>
  <si>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</si>
  <si>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</si>
  <si>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</si>
  <si>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</si>
  <si>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</si>
  <si>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</si>
  <si>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</si>
  <si>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</si>
  <si>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</si>
  <si>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</si>
  <si>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</si>
  <si>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</si>
  <si>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</si>
  <si>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</si>
  <si>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</si>
  <si>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</si>
  <si>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</si>
  <si>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</si>
  <si>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</si>
  <si>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</si>
  <si>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</si>
  <si>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</si>
  <si>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</si>
  <si>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</si>
  <si>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</si>
  <si>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</si>
  <si>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</si>
  <si>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</si>
  <si>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</si>
  <si>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</si>
  <si>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</si>
  <si>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</si>
  <si>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</si>
  <si>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</si>
  <si>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</si>
  <si>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</si>
  <si>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</si>
  <si>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</si>
  <si>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</si>
  <si>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</si>
  <si>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</si>
  <si>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</si>
  <si>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</si>
  <si>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</si>
  <si>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</si>
  <si>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</si>
  <si>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</si>
  <si>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</si>
  <si>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</si>
  <si>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</si>
  <si>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</si>
  <si>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</si>
  <si>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</si>
  <si>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</si>
  <si>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</si>
  <si>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</si>
  <si>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</si>
  <si>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</si>
  <si>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</si>
  <si>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</si>
  <si>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</si>
  <si>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</si>
  <si>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</si>
  <si>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</si>
  <si>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</si>
  <si>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</si>
  <si>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</si>
  <si>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</si>
  <si>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</si>
  <si>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</si>
  <si>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</si>
  <si>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</si>
  <si>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</si>
  <si>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</si>
  <si>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</si>
  <si>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</si>
  <si>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</si>
  <si>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</si>
  <si>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</si>
  <si>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</si>
  <si>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</si>
  <si>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</si>
  <si>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</si>
  <si>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</si>
  <si>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</si>
  <si>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</si>
  <si>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</si>
  <si>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</si>
  <si>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</si>
  <si>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</si>
  <si>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</si>
  <si>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</si>
  <si>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</si>
  <si>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</si>
  <si>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</si>
  <si>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</si>
  <si>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</si>
  <si>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</si>
  <si>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</si>
  <si>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</si>
  <si>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</si>
  <si>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</si>
  <si>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</si>
  <si>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</si>
  <si>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</si>
  <si>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</si>
  <si>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</si>
  <si>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</si>
  <si>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</si>
  <si>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</si>
  <si>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</si>
  <si>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</si>
  <si>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</si>
  <si>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</si>
  <si>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</si>
  <si>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</si>
  <si>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</si>
  <si>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</si>
  <si>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</si>
  <si>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</si>
  <si>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</si>
  <si>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</si>
  <si>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</si>
  <si>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</si>
  <si>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</si>
  <si>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</si>
  <si>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</si>
  <si>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</si>
  <si>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</si>
  <si>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</si>
  <si>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</si>
  <si>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</si>
  <si>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</si>
  <si>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</si>
  <si>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</si>
  <si>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</si>
  <si>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</si>
  <si>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</si>
  <si>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</si>
  <si>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</si>
  <si>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</si>
  <si>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</si>
  <si>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</si>
  <si>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</si>
  <si>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</si>
  <si>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</si>
  <si>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</si>
  <si>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</si>
  <si>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</si>
  <si>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</si>
  <si>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</si>
  <si>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</si>
  <si>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</si>
  <si>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</si>
  <si>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</si>
  <si>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</si>
  <si>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</si>
  <si>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</si>
  <si>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</si>
  <si>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</si>
  <si>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</si>
  <si>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</si>
  <si>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</si>
  <si>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</si>
  <si>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</si>
  <si>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</si>
  <si>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</si>
  <si>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</si>
  <si>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</si>
  <si>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</si>
  <si>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</si>
  <si>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</si>
  <si>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</si>
  <si>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</si>
  <si>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</si>
  <si>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</si>
  <si>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</si>
  <si>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</si>
  <si>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</si>
  <si>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</si>
  <si>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</si>
  <si>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</si>
  <si>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</si>
  <si>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</si>
  <si>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</si>
  <si>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</si>
  <si>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</si>
  <si>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</si>
  <si>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</si>
  <si>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</si>
  <si>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</si>
  <si>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</si>
  <si>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</si>
  <si>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</si>
  <si>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</si>
  <si>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</si>
  <si>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</si>
  <si>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</si>
  <si>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</si>
  <si>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</si>
  <si>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</si>
  <si>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</si>
  <si>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</si>
  <si>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</si>
  <si>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</si>
  <si>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</si>
  <si>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</si>
  <si>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</si>
  <si>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</si>
  <si>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</si>
  <si>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</si>
  <si>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</si>
  <si>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</si>
  <si>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</si>
  <si>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</si>
  <si>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</si>
  <si>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</si>
  <si>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</si>
  <si>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</si>
  <si>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</si>
  <si>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</si>
  <si>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</si>
  <si>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</si>
  <si>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</si>
  <si>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</si>
  <si>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</si>
  <si>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</si>
  <si>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</si>
  <si>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</si>
  <si>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</si>
  <si>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</si>
  <si>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</si>
  <si>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</si>
  <si>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</si>
  <si>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</si>
  <si>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</si>
  <si>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</si>
  <si>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</si>
  <si>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</si>
  <si>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</si>
  <si>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</si>
  <si>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</si>
  <si>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</si>
  <si>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</si>
  <si>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</si>
  <si>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</si>
  <si>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</si>
  <si>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</si>
  <si>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</si>
  <si>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</si>
  <si>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</si>
  <si>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</si>
  <si>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</si>
  <si>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</si>
  <si>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</si>
  <si>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</si>
  <si>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</si>
  <si>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</si>
  <si>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</si>
  <si>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</si>
  <si>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</si>
  <si>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</si>
  <si>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</si>
  <si>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</si>
  <si>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</si>
  <si>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</si>
  <si>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</si>
  <si>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</si>
  <si>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</si>
  <si>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</si>
  <si>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</si>
  <si>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</si>
  <si>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</si>
  <si>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</si>
  <si>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</si>
  <si>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</si>
  <si>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</si>
  <si>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</si>
  <si>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</si>
  <si>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</si>
  <si>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</si>
  <si>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</si>
  <si>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</si>
  <si>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</si>
  <si>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</si>
  <si>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</si>
  <si>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</si>
  <si>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</si>
  <si>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</si>
  <si>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</si>
  <si>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</si>
  <si>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</si>
  <si>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</si>
  <si>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</si>
  <si>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</si>
  <si>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</si>
  <si>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</si>
  <si>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</si>
  <si>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</si>
  <si>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</si>
  <si>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</si>
  <si>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</si>
  <si>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</si>
  <si>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</si>
  <si>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</si>
  <si>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</si>
  <si>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</si>
  <si>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</si>
  <si>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</si>
  <si>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</si>
  <si>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</si>
  <si>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</si>
  <si>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</si>
  <si>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</si>
  <si>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</si>
  <si>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</si>
  <si>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</si>
  <si>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</si>
  <si>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</si>
  <si>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</si>
  <si>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</si>
  <si>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</si>
  <si>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</si>
  <si>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</si>
  <si>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</si>
  <si>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</si>
  <si>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</si>
  <si>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</si>
  <si>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</si>
  <si>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</si>
  <si>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</si>
  <si>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</si>
  <si>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</si>
  <si>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</si>
  <si>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</si>
  <si>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</si>
  <si>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</si>
  <si>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</si>
  <si>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</si>
  <si>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</si>
  <si>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</si>
  <si>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</si>
  <si>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</si>
  <si>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</si>
  <si>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</si>
  <si>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</si>
  <si>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</si>
  <si>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</si>
  <si>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</si>
  <si>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</si>
  <si>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</si>
  <si>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</si>
  <si>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</si>
  <si>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</si>
  <si>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</si>
  <si>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</si>
  <si>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</si>
  <si>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</si>
  <si>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</si>
  <si>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</si>
  <si>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</si>
  <si>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</si>
  <si>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</si>
  <si>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</si>
  <si>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</si>
  <si>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</si>
  <si>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</si>
  <si>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</si>
  <si>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</si>
  <si>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</si>
  <si>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</si>
  <si>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</si>
  <si>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</si>
  <si>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</si>
  <si>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</si>
  <si>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</si>
  <si>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</si>
  <si>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</si>
  <si>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</si>
  <si>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</si>
  <si>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</si>
  <si>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</si>
  <si>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</si>
  <si>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</si>
  <si>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</si>
  <si>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</si>
  <si>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</si>
  <si>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</si>
  <si>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</si>
  <si>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</si>
  <si>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</si>
  <si>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</si>
  <si>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</si>
  <si>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</si>
  <si>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</si>
  <si>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</si>
  <si>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</si>
  <si>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</si>
  <si>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</si>
  <si>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</si>
  <si>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</si>
  <si>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</si>
  <si>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</si>
  <si>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</si>
  <si>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</si>
  <si>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</si>
  <si>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</si>
  <si>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</si>
  <si>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</si>
  <si>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</si>
  <si>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</si>
  <si>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</si>
  <si>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</si>
  <si>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</si>
  <si>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</si>
  <si>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</si>
  <si>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</si>
  <si>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</si>
  <si>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</si>
  <si>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</si>
  <si>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</si>
  <si>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</si>
  <si>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</si>
  <si>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</si>
  <si>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</si>
  <si>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</si>
  <si>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</si>
  <si>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</si>
  <si>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</si>
  <si>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</si>
  <si>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</si>
  <si>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</si>
  <si>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</si>
  <si>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</si>
  <si>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</si>
  <si>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</si>
  <si>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</si>
  <si>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</si>
  <si>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</si>
  <si>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</si>
  <si>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</si>
  <si>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</si>
  <si>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</si>
  <si>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</si>
  <si>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</si>
  <si>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</si>
  <si>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</si>
  <si>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</si>
  <si>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</si>
  <si>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</si>
  <si>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</si>
  <si>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</si>
  <si>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</si>
  <si>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</si>
  <si>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</si>
  <si>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</si>
  <si>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</si>
  <si>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</si>
  <si>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</si>
  <si>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</si>
  <si>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</si>
  <si>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</si>
  <si>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</si>
  <si>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</si>
  <si>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</si>
  <si>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</si>
  <si>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</si>
  <si>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</si>
  <si>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</si>
  <si>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</si>
  <si>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</si>
  <si>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</si>
  <si>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</si>
  <si>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</si>
  <si>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</si>
  <si>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</si>
  <si>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</si>
  <si>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</si>
  <si>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</si>
  <si>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</si>
  <si>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</si>
  <si>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</si>
  <si>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</si>
  <si>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</si>
  <si>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</si>
  <si>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</si>
  <si>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</si>
  <si>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</si>
  <si>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</si>
  <si>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</si>
  <si>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</si>
  <si>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</si>
  <si>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</si>
  <si>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</si>
  <si>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</si>
  <si>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</si>
  <si>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</si>
  <si>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</si>
  <si>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</si>
  <si>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</si>
  <si>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</si>
  <si>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</si>
  <si>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</si>
  <si>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</si>
  <si>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</si>
  <si>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</si>
  <si>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</si>
  <si>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</si>
  <si>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</si>
  <si>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</si>
  <si>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</si>
  <si>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</si>
  <si>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</si>
  <si>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</si>
  <si>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</si>
  <si>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</si>
  <si>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</si>
  <si>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</si>
  <si>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</si>
  <si>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</si>
  <si>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</si>
  <si>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</si>
  <si>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</si>
  <si>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</si>
  <si>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</si>
  <si>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</si>
  <si>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</si>
  <si>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</si>
  <si>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</si>
  <si>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</si>
  <si>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</si>
  <si>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</si>
  <si>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</si>
  <si>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</si>
  <si>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</si>
  <si>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</si>
  <si>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</si>
  <si>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</si>
  <si>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</si>
  <si>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</si>
  <si>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</si>
  <si>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</si>
  <si>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</si>
  <si>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</si>
  <si>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</si>
  <si>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</si>
  <si>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</si>
  <si>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</si>
  <si>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</si>
  <si>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</si>
  <si>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</si>
  <si>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</si>
  <si>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</si>
  <si>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</si>
  <si>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</si>
  <si>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</si>
  <si>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</si>
  <si>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</si>
  <si>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</si>
  <si>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</si>
  <si>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</si>
  <si>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</si>
  <si>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</si>
  <si>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</si>
  <si>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</si>
  <si>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</si>
  <si>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</si>
  <si>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</si>
  <si>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</si>
  <si>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</si>
  <si>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</si>
  <si>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</si>
  <si>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</si>
  <si>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</si>
  <si>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</si>
  <si>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</si>
  <si>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</si>
  <si>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</si>
  <si>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</si>
  <si>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</si>
  <si>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</si>
  <si>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</si>
  <si>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</si>
  <si>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</si>
  <si>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</si>
  <si>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</si>
  <si>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</si>
  <si>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</si>
  <si>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</si>
  <si>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</si>
  <si>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</si>
  <si>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</si>
  <si>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</si>
  <si>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</si>
  <si>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</si>
  <si>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</si>
  <si>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</si>
  <si>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</si>
  <si>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</si>
  <si>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</si>
  <si>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</si>
  <si>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</si>
  <si>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</si>
  <si>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</si>
  <si>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</si>
  <si>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</si>
  <si>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</si>
  <si>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</si>
  <si>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</si>
  <si>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</si>
  <si>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</si>
  <si>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</si>
  <si>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</si>
  <si>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</si>
  <si>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</si>
  <si>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</si>
  <si>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</si>
  <si>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</si>
  <si>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</si>
  <si>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</si>
  <si>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</si>
  <si>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</si>
  <si>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</si>
  <si>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</si>
  <si>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</si>
  <si>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</si>
  <si>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</si>
  <si>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</si>
  <si>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</si>
  <si>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</si>
  <si>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</si>
  <si>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</si>
  <si>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</si>
  <si>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</si>
  <si>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</si>
  <si>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</si>
  <si>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</si>
  <si>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</si>
  <si>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</si>
  <si>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</si>
  <si>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</si>
  <si>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</si>
  <si>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</si>
  <si>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</si>
  <si>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</si>
  <si>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</si>
  <si>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</si>
  <si>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</si>
  <si>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</si>
  <si>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</si>
  <si>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</si>
  <si>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</si>
  <si>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</si>
  <si>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</si>
  <si>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</si>
  <si>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</si>
  <si>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</si>
  <si>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</si>
  <si>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</si>
  <si>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</si>
  <si>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</si>
  <si>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</si>
  <si>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</si>
  <si>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</si>
  <si>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</si>
  <si>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</si>
  <si>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</si>
  <si>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</si>
  <si>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</si>
  <si>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</si>
  <si>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</si>
  <si>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</si>
  <si>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</si>
  <si>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</si>
  <si>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</si>
  <si>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</si>
  <si>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</si>
  <si>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</si>
  <si>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</si>
  <si>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</si>
  <si>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</si>
  <si>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</si>
  <si>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</si>
  <si>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</si>
  <si>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</si>
  <si>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</si>
  <si>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</si>
  <si>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</si>
  <si>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</si>
  <si>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</si>
  <si>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</si>
  <si>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</si>
  <si>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</si>
  <si>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</si>
  <si>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</si>
  <si>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</si>
  <si>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</si>
  <si>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</si>
  <si>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</si>
  <si>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</si>
  <si>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</si>
  <si>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</si>
  <si>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</si>
  <si>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</si>
  <si>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</si>
  <si>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</si>
  <si>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</si>
  <si>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</si>
  <si>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</si>
  <si>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</si>
  <si>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</si>
  <si>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</si>
  <si>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</si>
  <si>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</si>
  <si>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</si>
  <si>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</si>
  <si>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</si>
  <si>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</si>
  <si>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</si>
  <si>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</si>
  <si>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</si>
  <si>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</si>
  <si>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</si>
  <si>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</si>
  <si>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</si>
  <si>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</si>
  <si>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</si>
  <si>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</si>
  <si>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</si>
  <si>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</si>
  <si>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</si>
  <si>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</si>
  <si>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</si>
  <si>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</si>
  <si>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</si>
  <si>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</si>
  <si>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</si>
  <si>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</si>
  <si>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</si>
  <si>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</si>
  <si>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</si>
  <si>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</si>
  <si>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</si>
  <si>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</si>
  <si>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</si>
  <si>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</si>
  <si>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</si>
  <si>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</si>
  <si>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</si>
  <si>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</si>
  <si>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</si>
  <si>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</si>
  <si>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</si>
  <si>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</si>
  <si>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</si>
  <si>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</si>
  <si>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</si>
  <si>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</si>
  <si>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</si>
  <si>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</si>
  <si>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</si>
  <si>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</si>
  <si>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</si>
  <si>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</si>
  <si>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</si>
  <si>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</si>
  <si>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</si>
  <si>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</si>
  <si>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</si>
  <si>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</si>
  <si>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</si>
  <si>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Avg. Rating</t>
  </si>
  <si>
    <t>Avg. Days to Deliver</t>
  </si>
  <si>
    <t>Questions</t>
  </si>
  <si>
    <t>Trend in the last 13 weeks</t>
  </si>
  <si>
    <t>How our customers like to buy</t>
  </si>
  <si>
    <t>How many they buy?</t>
  </si>
  <si>
    <t>Which products are popular?</t>
  </si>
  <si>
    <t>Overall gender split</t>
  </si>
  <si>
    <t>Where do our customers live?</t>
  </si>
  <si>
    <t>How long we take to ship the orders</t>
  </si>
  <si>
    <t>How happy are our customers?</t>
  </si>
  <si>
    <t>Logo</t>
  </si>
  <si>
    <t>Color Scheme</t>
  </si>
  <si>
    <t>#9FBFAD</t>
  </si>
  <si>
    <t>#748C76</t>
  </si>
  <si>
    <t>#505947</t>
  </si>
  <si>
    <t>#BF7F5A</t>
  </si>
  <si>
    <t>#BF3939</t>
  </si>
  <si>
    <t>#4887E6</t>
  </si>
  <si>
    <t>Accent 1</t>
  </si>
  <si>
    <t>Accent 2</t>
  </si>
  <si>
    <t>Accent 3</t>
  </si>
  <si>
    <t>Accent 4</t>
  </si>
  <si>
    <t>Accent 5</t>
  </si>
  <si>
    <t>Accent 6</t>
  </si>
  <si>
    <t>Emojis</t>
  </si>
  <si>
    <t>🛒</t>
  </si>
  <si>
    <t>👕</t>
  </si>
  <si>
    <t>💰</t>
  </si>
  <si>
    <t>⭐</t>
  </si>
  <si>
    <t>📅</t>
  </si>
  <si>
    <t>Orders</t>
  </si>
  <si>
    <t>Rating</t>
  </si>
  <si>
    <t>Days to deliver</t>
  </si>
  <si>
    <t>Format Codes</t>
  </si>
  <si>
    <t>#,##</t>
  </si>
  <si>
    <t>value with thousand's seperator</t>
  </si>
  <si>
    <t>$#,##,.0k</t>
  </si>
  <si>
    <t>Amount in thousands with one decimal</t>
  </si>
  <si>
    <t>0.0</t>
  </si>
  <si>
    <t>Other numbers</t>
  </si>
  <si>
    <t>Resouces:</t>
  </si>
  <si>
    <t>Excel Dashboard Tutorial Video</t>
  </si>
  <si>
    <t>Adv. Excel Dashboards Course by Chandoo</t>
  </si>
  <si>
    <t>You will get the full workbook in the course!</t>
  </si>
  <si>
    <t>Count of TX ID</t>
  </si>
  <si>
    <t>Sum of Quantity</t>
  </si>
  <si>
    <t>Sum of Amount</t>
  </si>
  <si>
    <t>Average of Rating C</t>
  </si>
  <si>
    <t>Average of Days to Deliver</t>
  </si>
  <si>
    <t>Value dislay area</t>
  </si>
  <si>
    <t>Qty</t>
  </si>
  <si>
    <t>Avg. Days</t>
  </si>
  <si>
    <t>Row Labels</t>
  </si>
  <si>
    <t>Grand Total</t>
  </si>
  <si>
    <t>FOR TRENDS</t>
  </si>
  <si>
    <t>Column Labels</t>
  </si>
  <si>
    <t>Female</t>
  </si>
  <si>
    <t>Male</t>
  </si>
  <si>
    <t>Other</t>
  </si>
  <si>
    <t>Unknown</t>
  </si>
  <si>
    <t>For matrix</t>
  </si>
  <si>
    <t>6 TO 10</t>
  </si>
  <si>
    <t>More than 10</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</si>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</sst>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
    <numFmt numFmtId="165" formatCode="0.0%"/>
  </numFmts>
  <fonts count="7"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b/>
      <sz val="11"/>
      <color rgb="FF000000"/>
      <name val="Aptos Narrow"/>
      <family val="2"/>
    </font>
    <font>
      <sz val="11"/>
      <color rgb="FF000000"/>
      <name val="Aptos Narrow"/>
      <family val="2"/>
    </font>
    <font>
      <sz val="10"/>
      <color theme="1"/>
      <name val="Verdana"/>
      <family val="2"/>
    </font>
  </fonts>
  <fills count="9">
    <fill>
      <patternFill patternType="none"/>
    </fill>
    <fill>
      <patternFill patternType="gray125"/>
    </fill>
    <fill>
      <patternFill patternType="solid">
        <fgColor theme="9"/>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rgb="FFECF2EF"/>
        <bgColor indexed="64"/>
      </patternFill>
    </fill>
  </fills>
  <borders count="10">
    <border>
      <left/>
      <right/>
      <top/>
      <bottom/>
      <diagonal/>
    </border>
    <border>
      <left style="thick">
        <color theme="0"/>
      </left>
      <right style="thick">
        <color theme="0"/>
      </right>
      <top style="thick">
        <color theme="0"/>
      </top>
      <bottom style="thick">
        <color theme="0"/>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6D9CE"/>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s>
  <cellStyleXfs count="2">
    <xf numFmtId="0" fontId="0" fillId="0" borderId="0"/>
    <xf numFmtId="0" fontId="3" fillId="0" borderId="0" applyNumberFormat="0" applyFill="0" applyBorder="0" applyAlignment="0" applyProtection="0"/>
  </cellStyleXfs>
  <cellXfs count="38">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quotePrefix="1"/>
    <xf numFmtId="0" fontId="3" fillId="0" borderId="0" xfId="1"/>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165" fontId="0" fillId="0" borderId="0" xfId="0" applyNumberFormat="1"/>
    <xf numFmtId="165" fontId="0" fillId="0" borderId="1" xfId="0" applyNumberFormat="1" applyBorder="1"/>
    <xf numFmtId="0" fontId="4" fillId="8" borderId="2" xfId="0" applyFont="1" applyFill="1" applyBorder="1" applyAlignment="1">
      <alignment wrapText="1"/>
    </xf>
    <xf numFmtId="0" fontId="4" fillId="8" borderId="3" xfId="0" applyFont="1" applyFill="1" applyBorder="1" applyAlignment="1">
      <alignment wrapText="1"/>
    </xf>
    <xf numFmtId="0" fontId="4" fillId="0" borderId="4" xfId="0" applyFont="1" applyBorder="1" applyAlignment="1">
      <alignment wrapText="1"/>
    </xf>
    <xf numFmtId="0" fontId="5" fillId="0" borderId="5" xfId="0" applyFont="1" applyBorder="1" applyAlignment="1">
      <alignment wrapText="1"/>
    </xf>
    <xf numFmtId="0" fontId="5" fillId="0" borderId="5" xfId="0" applyFont="1" applyBorder="1" applyAlignment="1">
      <alignment horizontal="right" wrapText="1"/>
    </xf>
    <xf numFmtId="0" fontId="4" fillId="8" borderId="4" xfId="0" applyFont="1" applyFill="1" applyBorder="1" applyAlignment="1">
      <alignment wrapText="1"/>
    </xf>
    <xf numFmtId="0" fontId="6" fillId="8" borderId="5" xfId="0" applyFont="1" applyFill="1" applyBorder="1" applyAlignment="1">
      <alignment wrapText="1"/>
    </xf>
    <xf numFmtId="0" fontId="4" fillId="8" borderId="5" xfId="0" applyFont="1" applyFill="1" applyBorder="1" applyAlignment="1">
      <alignment horizontal="right" wrapText="1"/>
    </xf>
    <xf numFmtId="0" fontId="6" fillId="0" borderId="6" xfId="0" applyFont="1" applyBorder="1" applyAlignment="1">
      <alignment wrapText="1"/>
    </xf>
    <xf numFmtId="0" fontId="4" fillId="8" borderId="7" xfId="0" applyFont="1" applyFill="1" applyBorder="1" applyAlignment="1">
      <alignment wrapText="1"/>
    </xf>
    <xf numFmtId="0" fontId="4" fillId="8" borderId="7" xfId="0" applyFont="1" applyFill="1" applyBorder="1" applyAlignment="1">
      <alignment vertical="center"/>
    </xf>
    <xf numFmtId="0" fontId="4" fillId="0" borderId="6" xfId="0" applyFont="1" applyBorder="1" applyAlignment="1">
      <alignment wrapText="1"/>
    </xf>
    <xf numFmtId="0" fontId="5" fillId="0" borderId="6" xfId="0" applyFont="1" applyBorder="1" applyAlignment="1">
      <alignment wrapText="1"/>
    </xf>
    <xf numFmtId="0" fontId="5" fillId="0" borderId="6" xfId="0" applyFont="1" applyBorder="1" applyAlignment="1">
      <alignment horizontal="right" wrapText="1"/>
    </xf>
    <xf numFmtId="0" fontId="4" fillId="0" borderId="7" xfId="0" applyFont="1" applyBorder="1" applyAlignment="1">
      <alignment wrapText="1"/>
    </xf>
    <xf numFmtId="0" fontId="5" fillId="0" borderId="7" xfId="0" applyFont="1" applyBorder="1" applyAlignment="1">
      <alignment wrapText="1"/>
    </xf>
    <xf numFmtId="0" fontId="5" fillId="0" borderId="7" xfId="0" applyFont="1" applyBorder="1" applyAlignment="1">
      <alignment horizontal="right" wrapText="1"/>
    </xf>
    <xf numFmtId="0" fontId="4" fillId="8" borderId="6" xfId="0" applyFont="1" applyFill="1" applyBorder="1" applyAlignment="1">
      <alignment horizontal="right" wrapText="1"/>
    </xf>
    <xf numFmtId="0" fontId="4" fillId="8" borderId="8" xfId="0" applyFont="1" applyFill="1" applyBorder="1" applyAlignment="1">
      <alignment wrapText="1"/>
    </xf>
    <xf numFmtId="0" fontId="4" fillId="8" borderId="9" xfId="0" applyFont="1" applyFill="1" applyBorder="1" applyAlignment="1">
      <alignment wrapText="1"/>
    </xf>
  </cellXfs>
  <cellStyles count="2">
    <cellStyle name="Hyperlink" xfId="1" builtinId="8"/>
    <cellStyle name="Normal" xfId="0" builtinId="0"/>
  </cellStyles>
  <dxfs count="5">
    <dxf>
      <numFmt numFmtId="0" formatCode="General"/>
    </dxf>
    <dxf>
      <numFmt numFmtId="0" formatCode="General"/>
    </dxf>
    <dxf>
      <numFmt numFmtId="0" formatCode="General"/>
    </dxf>
    <dxf>
      <numFmt numFmtId="20" formatCode="d\-mmm\-yy"/>
    </dxf>
    <dxf>
      <numFmt numFmtId="20" formatCode="d\-mmm\-yy"/>
    </dxf>
  </dxfs>
  <tableStyles count="0" defaultTableStyle="TableStyleMedium2" defaultPivotStyle="PivotStyleLight16"/>
  <colors>
    <mruColors>
      <color rgb="FFEDFAE4"/>
      <color rgb="FF33D359"/>
      <color rgb="FF8414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[VivaCalif.xlsx]pivot!PivotTable2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Last 13 Week Trends - Qty 7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tx2">
                <a:lumMod val="90000"/>
                <a:lumOff val="10000"/>
              </a:schemeClr>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711330955425448E-2"/>
          <c:y val="7.4074119113489198E-2"/>
          <c:w val="0.80372703412073487"/>
          <c:h val="0.84204505686789155"/>
        </c:manualLayout>
      </c:layout>
      <c:lineChart>
        <c:grouping val="standard"/>
        <c:varyColors val="0"/>
        <c:ser>
          <c:idx val="1"/>
          <c:order val="1"/>
          <c:tx>
            <c:strRef>
              <c:f>pivot!$C$9</c:f>
              <c:strCache>
                <c:ptCount val="1"/>
                <c:pt idx="0">
                  <c:v>Sum of Quantity</c:v>
                </c:pt>
              </c:strCache>
            </c:strRef>
          </c:tx>
          <c:spPr>
            <a:ln w="28575" cap="rnd">
              <a:solidFill>
                <a:schemeClr val="accent2"/>
              </a:solidFill>
              <a:round/>
            </a:ln>
            <a:effectLst/>
          </c:spPr>
          <c:marker>
            <c:symbol val="none"/>
          </c:marker>
          <c:cat>
            <c:strRef>
              <c:f>pivot!$A$10:$A$23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pivot!$C$10:$C$23</c:f>
              <c:numCache>
                <c:formatCode>General</c:formatCode>
                <c:ptCount val="13"/>
                <c:pt idx="0">
                  <c:v>546</c:v>
                </c:pt>
                <c:pt idx="1">
                  <c:v>905</c:v>
                </c:pt>
                <c:pt idx="2">
                  <c:v>796</c:v>
                </c:pt>
                <c:pt idx="3">
                  <c:v>913</c:v>
                </c:pt>
                <c:pt idx="4">
                  <c:v>844</c:v>
                </c:pt>
                <c:pt idx="5">
                  <c:v>1202</c:v>
                </c:pt>
                <c:pt idx="6">
                  <c:v>935</c:v>
                </c:pt>
                <c:pt idx="7">
                  <c:v>1128</c:v>
                </c:pt>
                <c:pt idx="8">
                  <c:v>1007</c:v>
                </c:pt>
                <c:pt idx="9">
                  <c:v>1128</c:v>
                </c:pt>
                <c:pt idx="10">
                  <c:v>861</c:v>
                </c:pt>
                <c:pt idx="11">
                  <c:v>944</c:v>
                </c:pt>
                <c:pt idx="12">
                  <c:v>788</c:v>
                </c:pt>
              </c:numCache>
            </c:numRef>
          </c:val>
          <c:smooth val="0"/>
          <c:extLst>
            <c:ext xmlns:c16="http://schemas.microsoft.com/office/drawing/2014/chart" uri="{C3380CC4-5D6E-409C-BE32-E72D297353CC}">
              <c16:uniqueId val="{00000001-B4D3-4956-9CFD-B879C8778BF6}"/>
            </c:ext>
          </c:extLst>
        </c:ser>
        <c:dLbls>
          <c:showLegendKey val="0"/>
          <c:showVal val="0"/>
          <c:showCatName val="0"/>
          <c:showSerName val="0"/>
          <c:showPercent val="0"/>
          <c:showBubbleSize val="0"/>
        </c:dLbls>
        <c:marker val="1"/>
        <c:smooth val="0"/>
        <c:axId val="2110861839"/>
        <c:axId val="2110860879"/>
      </c:lineChart>
      <c:lineChart>
        <c:grouping val="standard"/>
        <c:varyColors val="0"/>
        <c:ser>
          <c:idx val="0"/>
          <c:order val="0"/>
          <c:tx>
            <c:strRef>
              <c:f>pivot!$B$9</c:f>
              <c:strCache>
                <c:ptCount val="1"/>
                <c:pt idx="0">
                  <c:v>Sum of Amount</c:v>
                </c:pt>
              </c:strCache>
            </c:strRef>
          </c:tx>
          <c:spPr>
            <a:ln w="28575" cap="rnd">
              <a:solidFill>
                <a:schemeClr val="tx2">
                  <a:lumMod val="90000"/>
                  <a:lumOff val="10000"/>
                </a:schemeClr>
              </a:solidFill>
              <a:round/>
            </a:ln>
            <a:effectLst/>
          </c:spPr>
          <c:marker>
            <c:symbol val="circle"/>
            <c:size val="5"/>
            <c:spPr>
              <a:solidFill>
                <a:schemeClr val="accent1"/>
              </a:solidFill>
              <a:ln w="9525">
                <a:solidFill>
                  <a:schemeClr val="accent1"/>
                </a:solidFill>
              </a:ln>
              <a:effectLst/>
            </c:spPr>
          </c:marker>
          <c:cat>
            <c:strRef>
              <c:f>pivot!$A$10:$A$23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pivot!$B$10:$B$23</c:f>
              <c:numCache>
                <c:formatCode>"$"#,##0</c:formatCode>
                <c:ptCount val="13"/>
                <c:pt idx="0">
                  <c:v>32413.300000000003</c:v>
                </c:pt>
                <c:pt idx="1">
                  <c:v>49562.999999999993</c:v>
                </c:pt>
                <c:pt idx="2">
                  <c:v>41700.400000000016</c:v>
                </c:pt>
                <c:pt idx="3">
                  <c:v>46782.599999999984</c:v>
                </c:pt>
                <c:pt idx="4">
                  <c:v>42676.100000000006</c:v>
                </c:pt>
                <c:pt idx="5">
                  <c:v>62910.7</c:v>
                </c:pt>
                <c:pt idx="6">
                  <c:v>50332.200000000004</c:v>
                </c:pt>
                <c:pt idx="7">
                  <c:v>58760.599999999977</c:v>
                </c:pt>
                <c:pt idx="8">
                  <c:v>52017.299999999996</c:v>
                </c:pt>
                <c:pt idx="9">
                  <c:v>64915.700000000033</c:v>
                </c:pt>
                <c:pt idx="10">
                  <c:v>45943.80000000001</c:v>
                </c:pt>
                <c:pt idx="11">
                  <c:v>55077.900000000031</c:v>
                </c:pt>
                <c:pt idx="12">
                  <c:v>45926.19999999999</c:v>
                </c:pt>
              </c:numCache>
            </c:numRef>
          </c:val>
          <c:smooth val="0"/>
          <c:extLst>
            <c:ext xmlns:c16="http://schemas.microsoft.com/office/drawing/2014/chart" uri="{C3380CC4-5D6E-409C-BE32-E72D297353CC}">
              <c16:uniqueId val="{00000000-B4D3-4956-9CFD-B879C8778BF6}"/>
            </c:ext>
          </c:extLst>
        </c:ser>
        <c:dLbls>
          <c:showLegendKey val="0"/>
          <c:showVal val="0"/>
          <c:showCatName val="0"/>
          <c:showSerName val="0"/>
          <c:showPercent val="0"/>
          <c:showBubbleSize val="0"/>
        </c:dLbls>
        <c:marker val="1"/>
        <c:smooth val="0"/>
        <c:axId val="2035367487"/>
        <c:axId val="2035367007"/>
      </c:lineChart>
      <c:catAx>
        <c:axId val="211086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0860879"/>
        <c:crosses val="autoZero"/>
        <c:auto val="1"/>
        <c:lblAlgn val="ctr"/>
        <c:lblOffset val="100"/>
        <c:noMultiLvlLbl val="0"/>
      </c:catAx>
      <c:valAx>
        <c:axId val="2110860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0861839"/>
        <c:crosses val="autoZero"/>
        <c:crossBetween val="between"/>
      </c:valAx>
      <c:valAx>
        <c:axId val="2035367007"/>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367487"/>
        <c:crosses val="max"/>
        <c:crossBetween val="between"/>
      </c:valAx>
      <c:catAx>
        <c:axId val="2035367487"/>
        <c:scaling>
          <c:orientation val="minMax"/>
        </c:scaling>
        <c:delete val="1"/>
        <c:axPos val="b"/>
        <c:numFmt formatCode="General" sourceLinked="1"/>
        <c:majorTickMark val="out"/>
        <c:minorTickMark val="none"/>
        <c:tickLblPos val="nextTo"/>
        <c:crossAx val="2035367007"/>
        <c:crosses val="autoZero"/>
        <c:auto val="1"/>
        <c:lblAlgn val="ctr"/>
        <c:lblOffset val="100"/>
        <c:noMultiLvlLbl val="0"/>
      </c:catAx>
      <c:spPr>
        <a:noFill/>
        <a:ln>
          <a:noFill/>
        </a:ln>
        <a:effectLst/>
      </c:spPr>
    </c:plotArea>
    <c:legend>
      <c:legendPos val="r"/>
      <c:layout>
        <c:manualLayout>
          <c:xMode val="edge"/>
          <c:yMode val="edge"/>
          <c:x val="0.5025887951056478"/>
          <c:y val="0.50957589760739364"/>
          <c:w val="0.25846925972396489"/>
          <c:h val="0.242667376941349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[VivaCalif.xlsx]Sheet4!PivotTable6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How many they buy?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solidFill>
              <a:srgbClr val="00206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450601263047482E-2"/>
          <c:y val="0.13866489664179876"/>
          <c:w val="0.90225461916270366"/>
          <c:h val="0.72125801983085447"/>
        </c:manualLayout>
      </c:layout>
      <c:barChart>
        <c:barDir val="col"/>
        <c:grouping val="clustered"/>
        <c:varyColors val="0"/>
        <c:ser>
          <c:idx val="0"/>
          <c:order val="0"/>
          <c:tx>
            <c:strRef>
              <c:f>Sheet4!$B$3</c:f>
              <c:strCache>
                <c:ptCount val="1"/>
                <c:pt idx="0">
                  <c:v>Total</c:v>
                </c:pt>
              </c:strCache>
            </c:strRef>
          </c:tx>
          <c:spPr>
            <a:solidFill>
              <a:schemeClr val="tx2">
                <a:lumMod val="90000"/>
                <a:lumOff val="10000"/>
              </a:schemeClr>
            </a:solidFill>
            <a:ln>
              <a:solidFill>
                <a:srgbClr val="002060"/>
              </a:solidFill>
            </a:ln>
            <a:effectLst/>
          </c:spPr>
          <c:invertIfNegative val="0"/>
          <c:cat>
            <c:strRef>
              <c:f>Sheet4!$A$4:$A$11</c:f>
              <c:strCache>
                <c:ptCount val="7"/>
                <c:pt idx="0">
                  <c:v>1</c:v>
                </c:pt>
                <c:pt idx="1">
                  <c:v>2</c:v>
                </c:pt>
                <c:pt idx="2">
                  <c:v>3</c:v>
                </c:pt>
                <c:pt idx="3">
                  <c:v>4</c:v>
                </c:pt>
                <c:pt idx="4">
                  <c:v>5</c:v>
                </c:pt>
                <c:pt idx="5">
                  <c:v>6 TO 10</c:v>
                </c:pt>
                <c:pt idx="6">
                  <c:v>More than 10</c:v>
                </c:pt>
              </c:strCache>
            </c:strRef>
          </c:cat>
          <c:val>
            <c:numRef>
              <c:f>Sheet4!$B$4:$B$11</c:f>
              <c:numCache>
                <c:formatCode>General</c:formatCode>
                <c:ptCount val="7"/>
                <c:pt idx="0">
                  <c:v>397</c:v>
                </c:pt>
                <c:pt idx="1">
                  <c:v>540</c:v>
                </c:pt>
                <c:pt idx="2">
                  <c:v>375</c:v>
                </c:pt>
                <c:pt idx="3">
                  <c:v>246</c:v>
                </c:pt>
                <c:pt idx="4">
                  <c:v>195</c:v>
                </c:pt>
                <c:pt idx="5">
                  <c:v>414</c:v>
                </c:pt>
                <c:pt idx="6">
                  <c:v>233</c:v>
                </c:pt>
              </c:numCache>
            </c:numRef>
          </c:val>
          <c:extLst>
            <c:ext xmlns:c16="http://schemas.microsoft.com/office/drawing/2014/chart" uri="{C3380CC4-5D6E-409C-BE32-E72D297353CC}">
              <c16:uniqueId val="{00000000-62EC-480D-8ABB-594E9F870E1E}"/>
            </c:ext>
          </c:extLst>
        </c:ser>
        <c:dLbls>
          <c:showLegendKey val="0"/>
          <c:showVal val="0"/>
          <c:showCatName val="0"/>
          <c:showSerName val="0"/>
          <c:showPercent val="0"/>
          <c:showBubbleSize val="0"/>
        </c:dLbls>
        <c:gapWidth val="0"/>
        <c:overlap val="-27"/>
        <c:axId val="31124975"/>
        <c:axId val="31121615"/>
      </c:barChart>
      <c:catAx>
        <c:axId val="311249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21615"/>
        <c:crosses val="autoZero"/>
        <c:auto val="1"/>
        <c:lblAlgn val="ctr"/>
        <c:lblOffset val="100"/>
        <c:noMultiLvlLbl val="0"/>
      </c:catAx>
      <c:valAx>
        <c:axId val="3112161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249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[VivaCalif.xlsx]Sheet5!PivotTable7</c:name>
    <c:fmtId val="2"/>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29177602799651"/>
          <c:y val="0.15637440247505294"/>
          <c:w val="0.52483398950131233"/>
          <c:h val="0.82182509794971281"/>
        </c:manualLayout>
      </c:layout>
      <c:barChart>
        <c:barDir val="bar"/>
        <c:grouping val="stacked"/>
        <c:varyColors val="0"/>
        <c:ser>
          <c:idx val="0"/>
          <c:order val="0"/>
          <c:tx>
            <c:strRef>
              <c:f>Sheet5!$B$3:$B$4</c:f>
              <c:strCache>
                <c:ptCount val="1"/>
              </c:strCache>
            </c:strRef>
          </c:tx>
          <c:spPr>
            <a:solidFill>
              <a:schemeClr val="accent1"/>
            </a:solidFill>
            <a:ln>
              <a:noFill/>
            </a:ln>
            <a:effectLst/>
          </c:spPr>
          <c:invertIfNegative val="0"/>
          <c:cat>
            <c:strRef>
              <c:f>Sheet5!$A$5:$A$25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Sheet5!$B$5:$B$25</c:f>
              <c:numCache>
                <c:formatCode>General</c:formatCode>
                <c:ptCount val="20"/>
                <c:pt idx="0">
                  <c:v>98</c:v>
                </c:pt>
                <c:pt idx="1">
                  <c:v>214</c:v>
                </c:pt>
                <c:pt idx="2">
                  <c:v>137</c:v>
                </c:pt>
                <c:pt idx="3">
                  <c:v>16</c:v>
                </c:pt>
                <c:pt idx="4">
                  <c:v>22</c:v>
                </c:pt>
                <c:pt idx="5">
                  <c:v>24</c:v>
                </c:pt>
                <c:pt idx="6">
                  <c:v>39</c:v>
                </c:pt>
                <c:pt idx="7">
                  <c:v>15</c:v>
                </c:pt>
                <c:pt idx="8">
                  <c:v>9</c:v>
                </c:pt>
                <c:pt idx="9">
                  <c:v>23</c:v>
                </c:pt>
                <c:pt idx="10">
                  <c:v>8</c:v>
                </c:pt>
                <c:pt idx="11">
                  <c:v>31</c:v>
                </c:pt>
                <c:pt idx="12">
                  <c:v>24</c:v>
                </c:pt>
                <c:pt idx="13">
                  <c:v>28</c:v>
                </c:pt>
                <c:pt idx="14">
                  <c:v>12</c:v>
                </c:pt>
                <c:pt idx="16">
                  <c:v>24</c:v>
                </c:pt>
                <c:pt idx="17">
                  <c:v>6</c:v>
                </c:pt>
                <c:pt idx="18">
                  <c:v>6</c:v>
                </c:pt>
              </c:numCache>
            </c:numRef>
          </c:val>
          <c:extLst>
            <c:ext xmlns:c16="http://schemas.microsoft.com/office/drawing/2014/chart" uri="{C3380CC4-5D6E-409C-BE32-E72D297353CC}">
              <c16:uniqueId val="{00000000-56AE-4FAA-A403-352B0242D9FF}"/>
            </c:ext>
          </c:extLst>
        </c:ser>
        <c:ser>
          <c:idx val="1"/>
          <c:order val="1"/>
          <c:tx>
            <c:strRef>
              <c:f>Sheet5!$C$3:$C$4</c:f>
              <c:strCache>
                <c:ptCount val="1"/>
                <c:pt idx="0">
                  <c:v>F</c:v>
                </c:pt>
              </c:strCache>
            </c:strRef>
          </c:tx>
          <c:spPr>
            <a:solidFill>
              <a:schemeClr val="tx2">
                <a:lumMod val="90000"/>
                <a:lumOff val="10000"/>
              </a:schemeClr>
            </a:solidFill>
            <a:ln>
              <a:noFill/>
            </a:ln>
            <a:effectLst/>
          </c:spPr>
          <c:invertIfNegative val="0"/>
          <c:cat>
            <c:strRef>
              <c:f>Sheet5!$A$5:$A$25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Sheet5!$C$5:$C$25</c:f>
              <c:numCache>
                <c:formatCode>General</c:formatCode>
                <c:ptCount val="20"/>
                <c:pt idx="0">
                  <c:v>744</c:v>
                </c:pt>
                <c:pt idx="1">
                  <c:v>716</c:v>
                </c:pt>
                <c:pt idx="2">
                  <c:v>627</c:v>
                </c:pt>
                <c:pt idx="3">
                  <c:v>568</c:v>
                </c:pt>
                <c:pt idx="4">
                  <c:v>482</c:v>
                </c:pt>
                <c:pt idx="5">
                  <c:v>428</c:v>
                </c:pt>
                <c:pt idx="6">
                  <c:v>445</c:v>
                </c:pt>
                <c:pt idx="7">
                  <c:v>431</c:v>
                </c:pt>
                <c:pt idx="8">
                  <c:v>264</c:v>
                </c:pt>
                <c:pt idx="9">
                  <c:v>296</c:v>
                </c:pt>
                <c:pt idx="10">
                  <c:v>153</c:v>
                </c:pt>
                <c:pt idx="11">
                  <c:v>189</c:v>
                </c:pt>
                <c:pt idx="12">
                  <c:v>234</c:v>
                </c:pt>
                <c:pt idx="13">
                  <c:v>146</c:v>
                </c:pt>
                <c:pt idx="14">
                  <c:v>127</c:v>
                </c:pt>
                <c:pt idx="15">
                  <c:v>179</c:v>
                </c:pt>
                <c:pt idx="16">
                  <c:v>99</c:v>
                </c:pt>
                <c:pt idx="17">
                  <c:v>75</c:v>
                </c:pt>
                <c:pt idx="18">
                  <c:v>43</c:v>
                </c:pt>
                <c:pt idx="19">
                  <c:v>26</c:v>
                </c:pt>
              </c:numCache>
            </c:numRef>
          </c:val>
          <c:extLst>
            <c:ext xmlns:c16="http://schemas.microsoft.com/office/drawing/2014/chart" uri="{C3380CC4-5D6E-409C-BE32-E72D297353CC}">
              <c16:uniqueId val="{00000001-56AE-4FAA-A403-352B0242D9FF}"/>
            </c:ext>
          </c:extLst>
        </c:ser>
        <c:ser>
          <c:idx val="2"/>
          <c:order val="2"/>
          <c:tx>
            <c:strRef>
              <c:f>Sheet5!$D$3:$D$4</c:f>
              <c:strCache>
                <c:ptCount val="1"/>
                <c:pt idx="0">
                  <c:v>M</c:v>
                </c:pt>
              </c:strCache>
            </c:strRef>
          </c:tx>
          <c:spPr>
            <a:solidFill>
              <a:schemeClr val="tx2">
                <a:lumMod val="50000"/>
                <a:lumOff val="50000"/>
              </a:schemeClr>
            </a:solidFill>
            <a:ln>
              <a:noFill/>
            </a:ln>
            <a:effectLst/>
          </c:spPr>
          <c:invertIfNegative val="0"/>
          <c:cat>
            <c:strRef>
              <c:f>Sheet5!$A$5:$A$25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Sheet5!$D$5:$D$25</c:f>
              <c:numCache>
                <c:formatCode>General</c:formatCode>
                <c:ptCount val="20"/>
                <c:pt idx="0">
                  <c:v>713</c:v>
                </c:pt>
                <c:pt idx="1">
                  <c:v>598</c:v>
                </c:pt>
                <c:pt idx="2">
                  <c:v>393</c:v>
                </c:pt>
                <c:pt idx="3">
                  <c:v>306</c:v>
                </c:pt>
                <c:pt idx="4">
                  <c:v>295</c:v>
                </c:pt>
                <c:pt idx="5">
                  <c:v>293</c:v>
                </c:pt>
                <c:pt idx="6">
                  <c:v>202</c:v>
                </c:pt>
                <c:pt idx="7">
                  <c:v>187</c:v>
                </c:pt>
                <c:pt idx="8">
                  <c:v>318</c:v>
                </c:pt>
                <c:pt idx="9">
                  <c:v>275</c:v>
                </c:pt>
                <c:pt idx="10">
                  <c:v>246</c:v>
                </c:pt>
                <c:pt idx="11">
                  <c:v>168</c:v>
                </c:pt>
                <c:pt idx="12">
                  <c:v>93</c:v>
                </c:pt>
                <c:pt idx="13">
                  <c:v>94</c:v>
                </c:pt>
                <c:pt idx="14">
                  <c:v>118</c:v>
                </c:pt>
                <c:pt idx="15">
                  <c:v>76</c:v>
                </c:pt>
                <c:pt idx="16">
                  <c:v>69</c:v>
                </c:pt>
                <c:pt idx="17">
                  <c:v>103</c:v>
                </c:pt>
                <c:pt idx="18">
                  <c:v>90</c:v>
                </c:pt>
                <c:pt idx="19">
                  <c:v>35</c:v>
                </c:pt>
              </c:numCache>
            </c:numRef>
          </c:val>
          <c:extLst>
            <c:ext xmlns:c16="http://schemas.microsoft.com/office/drawing/2014/chart" uri="{C3380CC4-5D6E-409C-BE32-E72D297353CC}">
              <c16:uniqueId val="{00000002-56AE-4FAA-A403-352B0242D9FF}"/>
            </c:ext>
          </c:extLst>
        </c:ser>
        <c:ser>
          <c:idx val="3"/>
          <c:order val="3"/>
          <c:tx>
            <c:strRef>
              <c:f>Sheet5!$E$3:$E$4</c:f>
              <c:strCache>
                <c:ptCount val="1"/>
                <c:pt idx="0">
                  <c:v>O</c:v>
                </c:pt>
              </c:strCache>
            </c:strRef>
          </c:tx>
          <c:spPr>
            <a:solidFill>
              <a:schemeClr val="accent4"/>
            </a:solidFill>
            <a:ln>
              <a:noFill/>
            </a:ln>
            <a:effectLst/>
          </c:spPr>
          <c:invertIfNegative val="0"/>
          <c:cat>
            <c:strRef>
              <c:f>Sheet5!$A$5:$A$25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Sheet5!$E$5:$E$25</c:f>
              <c:numCache>
                <c:formatCode>General</c:formatCode>
                <c:ptCount val="20"/>
                <c:pt idx="0">
                  <c:v>90</c:v>
                </c:pt>
                <c:pt idx="1">
                  <c:v>18</c:v>
                </c:pt>
                <c:pt idx="2">
                  <c:v>29</c:v>
                </c:pt>
                <c:pt idx="3">
                  <c:v>22</c:v>
                </c:pt>
                <c:pt idx="4">
                  <c:v>8</c:v>
                </c:pt>
                <c:pt idx="6">
                  <c:v>14</c:v>
                </c:pt>
                <c:pt idx="7">
                  <c:v>14</c:v>
                </c:pt>
                <c:pt idx="8">
                  <c:v>15</c:v>
                </c:pt>
                <c:pt idx="9">
                  <c:v>9</c:v>
                </c:pt>
                <c:pt idx="10">
                  <c:v>30</c:v>
                </c:pt>
                <c:pt idx="11">
                  <c:v>10</c:v>
                </c:pt>
                <c:pt idx="12">
                  <c:v>19</c:v>
                </c:pt>
                <c:pt idx="13">
                  <c:v>4</c:v>
                </c:pt>
                <c:pt idx="14">
                  <c:v>13</c:v>
                </c:pt>
                <c:pt idx="15">
                  <c:v>3</c:v>
                </c:pt>
                <c:pt idx="16">
                  <c:v>3</c:v>
                </c:pt>
                <c:pt idx="17">
                  <c:v>4</c:v>
                </c:pt>
                <c:pt idx="18">
                  <c:v>8</c:v>
                </c:pt>
                <c:pt idx="19">
                  <c:v>4</c:v>
                </c:pt>
              </c:numCache>
            </c:numRef>
          </c:val>
          <c:extLst>
            <c:ext xmlns:c16="http://schemas.microsoft.com/office/drawing/2014/chart" uri="{C3380CC4-5D6E-409C-BE32-E72D297353CC}">
              <c16:uniqueId val="{00000003-56AE-4FAA-A403-352B0242D9FF}"/>
            </c:ext>
          </c:extLst>
        </c:ser>
        <c:dLbls>
          <c:showLegendKey val="0"/>
          <c:showVal val="0"/>
          <c:showCatName val="0"/>
          <c:showSerName val="0"/>
          <c:showPercent val="0"/>
          <c:showBubbleSize val="0"/>
        </c:dLbls>
        <c:gapWidth val="150"/>
        <c:overlap val="100"/>
        <c:axId val="31119695"/>
        <c:axId val="31116815"/>
      </c:barChart>
      <c:catAx>
        <c:axId val="31119695"/>
        <c:scaling>
          <c:orientation val="maxMin"/>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16815"/>
        <c:crosses val="autoZero"/>
        <c:auto val="1"/>
        <c:lblAlgn val="ctr"/>
        <c:lblOffset val="100"/>
        <c:noMultiLvlLbl val="0"/>
      </c:catAx>
      <c:valAx>
        <c:axId val="31116815"/>
        <c:scaling>
          <c:orientation val="minMax"/>
        </c:scaling>
        <c:delete val="0"/>
        <c:axPos val="t"/>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Which Produts are popular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19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[VivaCalif.xlsx]Sheet5!PivotTable8</c:name>
    <c:fmtId val="1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7777777777777778"/>
              <c:y val="-0.118895886523305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4.0404040404040331E-2"/>
              <c:y val="7.6433069907838977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9.696969696969697E-2"/>
              <c:y val="-2.547768996927965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0.10505050505050509"/>
              <c:y val="-0.254776899692796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3617561441183487"/>
          <c:y val="0.3574519902689936"/>
          <c:w val="0.56290972719319177"/>
          <c:h val="0.59159262979244709"/>
        </c:manualLayout>
      </c:layout>
      <c:doughnutChart>
        <c:varyColors val="1"/>
        <c:ser>
          <c:idx val="0"/>
          <c:order val="0"/>
          <c:tx>
            <c:strRef>
              <c:f>Sheet5!$L$3</c:f>
              <c:strCache>
                <c:ptCount val="1"/>
                <c:pt idx="0">
                  <c:v>Total</c:v>
                </c:pt>
              </c:strCache>
            </c:strRef>
          </c:tx>
          <c:explosion val="23"/>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CA46-4855-9EBD-668912CDE43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CA46-4855-9EBD-668912CDE430}"/>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CA46-4855-9EBD-668912CDE430}"/>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CA46-4855-9EBD-668912CDE430}"/>
              </c:ext>
            </c:extLst>
          </c:dPt>
          <c:dLbls>
            <c:dLbl>
              <c:idx val="0"/>
              <c:layout>
                <c:manualLayout>
                  <c:x val="0.17777777777777778"/>
                  <c:y val="-0.1188958865233051"/>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A46-4855-9EBD-668912CDE430}"/>
                </c:ext>
              </c:extLst>
            </c:dLbl>
            <c:dLbl>
              <c:idx val="1"/>
              <c:layout>
                <c:manualLayout>
                  <c:x val="4.0404040404040331E-2"/>
                  <c:y val="7.6433069907838977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A46-4855-9EBD-668912CDE430}"/>
                </c:ext>
              </c:extLst>
            </c:dLbl>
            <c:dLbl>
              <c:idx val="2"/>
              <c:layout>
                <c:manualLayout>
                  <c:x val="-9.696969696969697E-2"/>
                  <c:y val="-2.5477689969279658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A46-4855-9EBD-668912CDE430}"/>
                </c:ext>
              </c:extLst>
            </c:dLbl>
            <c:dLbl>
              <c:idx val="3"/>
              <c:layout>
                <c:manualLayout>
                  <c:x val="-0.10505050505050509"/>
                  <c:y val="-0.2547768996927966"/>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A46-4855-9EBD-668912CDE430}"/>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Sheet5!$K$4:$K$8</c:f>
              <c:strCache>
                <c:ptCount val="4"/>
                <c:pt idx="1">
                  <c:v>F</c:v>
                </c:pt>
                <c:pt idx="2">
                  <c:v>M</c:v>
                </c:pt>
                <c:pt idx="3">
                  <c:v>O</c:v>
                </c:pt>
              </c:strCache>
            </c:strRef>
          </c:cat>
          <c:val>
            <c:numRef>
              <c:f>Sheet5!$L$4:$L$8</c:f>
              <c:numCache>
                <c:formatCode>General</c:formatCode>
                <c:ptCount val="4"/>
                <c:pt idx="0">
                  <c:v>736</c:v>
                </c:pt>
                <c:pt idx="1">
                  <c:v>6272</c:v>
                </c:pt>
                <c:pt idx="2">
                  <c:v>4672</c:v>
                </c:pt>
                <c:pt idx="3">
                  <c:v>317</c:v>
                </c:pt>
              </c:numCache>
            </c:numRef>
          </c:val>
          <c:extLst>
            <c:ext xmlns:c16="http://schemas.microsoft.com/office/drawing/2014/chart" uri="{C3380CC4-5D6E-409C-BE32-E72D297353CC}">
              <c16:uniqueId val="{00000008-CA46-4855-9EBD-668912CDE430}"/>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7061385508629598"/>
          <c:y val="6.0507841912605526E-2"/>
          <c:w val="0.1809012964288555"/>
          <c:h val="0.7261181763591110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[VivaCalif.xlsx]Sheet8!PivotTable13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How long we take to ship?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solidFill>
              <a:schemeClr val="accent6">
                <a:lumMod val="50000"/>
              </a:schemeClr>
            </a:solidFill>
          </a:ln>
          <a:effectLst>
            <a:outerShdw blurRad="50800" dist="12700" dir="5400000" algn="ctr" rotWithShape="0">
              <a:srgbClr val="000000">
                <a:alpha val="43137"/>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580927384076988E-2"/>
          <c:y val="0.11245689655172414"/>
          <c:w val="0.87764129483814524"/>
          <c:h val="0.74048160467010593"/>
        </c:manualLayout>
      </c:layout>
      <c:barChart>
        <c:barDir val="col"/>
        <c:grouping val="clustered"/>
        <c:varyColors val="0"/>
        <c:ser>
          <c:idx val="0"/>
          <c:order val="0"/>
          <c:tx>
            <c:strRef>
              <c:f>Sheet8!$B$3</c:f>
              <c:strCache>
                <c:ptCount val="1"/>
                <c:pt idx="0">
                  <c:v>Total</c:v>
                </c:pt>
              </c:strCache>
            </c:strRef>
          </c:tx>
          <c:spPr>
            <a:solidFill>
              <a:schemeClr val="tx2">
                <a:lumMod val="90000"/>
                <a:lumOff val="10000"/>
              </a:schemeClr>
            </a:solidFill>
            <a:ln>
              <a:solidFill>
                <a:schemeClr val="accent6">
                  <a:lumMod val="50000"/>
                </a:schemeClr>
              </a:solidFill>
            </a:ln>
            <a:effectLst>
              <a:outerShdw blurRad="50800" dist="12700" dir="5400000" algn="ctr" rotWithShape="0">
                <a:srgbClr val="000000">
                  <a:alpha val="43137"/>
                </a:srgbClr>
              </a:outerShdw>
            </a:effectLst>
          </c:spPr>
          <c:invertIfNegative val="0"/>
          <c:cat>
            <c:strRef>
              <c:f>Sheet8!$A$4:$A$19</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Sheet8!$B$4:$B$19</c:f>
              <c:numCache>
                <c:formatCode>General</c:formatCode>
                <c:ptCount val="15"/>
                <c:pt idx="0">
                  <c:v>175</c:v>
                </c:pt>
                <c:pt idx="1">
                  <c:v>888</c:v>
                </c:pt>
                <c:pt idx="2">
                  <c:v>538</c:v>
                </c:pt>
                <c:pt idx="3">
                  <c:v>344</c:v>
                </c:pt>
                <c:pt idx="4">
                  <c:v>200</c:v>
                </c:pt>
                <c:pt idx="5">
                  <c:v>94</c:v>
                </c:pt>
                <c:pt idx="6">
                  <c:v>51</c:v>
                </c:pt>
                <c:pt idx="7">
                  <c:v>32</c:v>
                </c:pt>
                <c:pt idx="8">
                  <c:v>23</c:v>
                </c:pt>
                <c:pt idx="9">
                  <c:v>9</c:v>
                </c:pt>
                <c:pt idx="10">
                  <c:v>8</c:v>
                </c:pt>
                <c:pt idx="11">
                  <c:v>11</c:v>
                </c:pt>
                <c:pt idx="12">
                  <c:v>4</c:v>
                </c:pt>
                <c:pt idx="13">
                  <c:v>10</c:v>
                </c:pt>
                <c:pt idx="14">
                  <c:v>13</c:v>
                </c:pt>
              </c:numCache>
            </c:numRef>
          </c:val>
          <c:extLst>
            <c:ext xmlns:c16="http://schemas.microsoft.com/office/drawing/2014/chart" uri="{C3380CC4-5D6E-409C-BE32-E72D297353CC}">
              <c16:uniqueId val="{00000000-2232-45F5-BD97-7630A79FF5E9}"/>
            </c:ext>
          </c:extLst>
        </c:ser>
        <c:dLbls>
          <c:showLegendKey val="0"/>
          <c:showVal val="0"/>
          <c:showCatName val="0"/>
          <c:showSerName val="0"/>
          <c:showPercent val="0"/>
          <c:showBubbleSize val="0"/>
        </c:dLbls>
        <c:gapWidth val="0"/>
        <c:overlap val="-27"/>
        <c:axId val="1826600223"/>
        <c:axId val="1826599743"/>
      </c:barChart>
      <c:catAx>
        <c:axId val="18266002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599743"/>
        <c:crosses val="autoZero"/>
        <c:auto val="1"/>
        <c:lblAlgn val="ctr"/>
        <c:lblOffset val="100"/>
        <c:noMultiLvlLbl val="0"/>
      </c:catAx>
      <c:valAx>
        <c:axId val="1826599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600223"/>
        <c:crosses val="autoZero"/>
        <c:crossBetween val="between"/>
      </c:valAx>
      <c:spPr>
        <a:noFill/>
        <a:ln>
          <a:noFill/>
        </a:ln>
        <a:effectLst>
          <a:glow rad="812800">
            <a:schemeClr val="accent1">
              <a:alpha val="40000"/>
            </a:schemeClr>
          </a:glow>
          <a:outerShdw blurRad="50800" dist="50800" dir="5400000" sx="46000" sy="46000" algn="ctr" rotWithShape="0">
            <a:srgbClr val="000000">
              <a:alpha val="43137"/>
            </a:srgbClr>
          </a:out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[VivaCalif.xlsx]Sheet8!PivotTable15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How satisfied are our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Sheet8!$B$20:$B$21</c:f>
              <c:strCache>
                <c:ptCount val="1"/>
                <c:pt idx="0">
                  <c:v>1</c:v>
                </c:pt>
              </c:strCache>
            </c:strRef>
          </c:tx>
          <c:spPr>
            <a:solidFill>
              <a:schemeClr val="accent1"/>
            </a:solidFill>
            <a:ln>
              <a:noFill/>
            </a:ln>
            <a:effectLst/>
          </c:spPr>
          <c:invertIfNegative val="0"/>
          <c:cat>
            <c:strRef>
              <c:f>Sheet8!$A$22:$A$25</c:f>
              <c:strCache>
                <c:ptCount val="3"/>
                <c:pt idx="0">
                  <c:v>Jan</c:v>
                </c:pt>
                <c:pt idx="1">
                  <c:v>Feb</c:v>
                </c:pt>
                <c:pt idx="2">
                  <c:v>Mar</c:v>
                </c:pt>
              </c:strCache>
            </c:strRef>
          </c:cat>
          <c:val>
            <c:numRef>
              <c:f>Sheet8!$B$22:$B$25</c:f>
              <c:numCache>
                <c:formatCode>General</c:formatCode>
                <c:ptCount val="3"/>
                <c:pt idx="0">
                  <c:v>7</c:v>
                </c:pt>
                <c:pt idx="1">
                  <c:v>8</c:v>
                </c:pt>
                <c:pt idx="2">
                  <c:v>6</c:v>
                </c:pt>
              </c:numCache>
            </c:numRef>
          </c:val>
          <c:extLst>
            <c:ext xmlns:c16="http://schemas.microsoft.com/office/drawing/2014/chart" uri="{C3380CC4-5D6E-409C-BE32-E72D297353CC}">
              <c16:uniqueId val="{00000000-14B1-412D-9EE0-AEBD75D82DD5}"/>
            </c:ext>
          </c:extLst>
        </c:ser>
        <c:ser>
          <c:idx val="1"/>
          <c:order val="1"/>
          <c:tx>
            <c:strRef>
              <c:f>Sheet8!$C$20:$C$21</c:f>
              <c:strCache>
                <c:ptCount val="1"/>
                <c:pt idx="0">
                  <c:v>2</c:v>
                </c:pt>
              </c:strCache>
            </c:strRef>
          </c:tx>
          <c:spPr>
            <a:solidFill>
              <a:srgbClr val="FFC000"/>
            </a:solidFill>
            <a:ln>
              <a:noFill/>
            </a:ln>
            <a:effectLst/>
          </c:spPr>
          <c:invertIfNegative val="0"/>
          <c:cat>
            <c:strRef>
              <c:f>Sheet8!$A$22:$A$25</c:f>
              <c:strCache>
                <c:ptCount val="3"/>
                <c:pt idx="0">
                  <c:v>Jan</c:v>
                </c:pt>
                <c:pt idx="1">
                  <c:v>Feb</c:v>
                </c:pt>
                <c:pt idx="2">
                  <c:v>Mar</c:v>
                </c:pt>
              </c:strCache>
            </c:strRef>
          </c:cat>
          <c:val>
            <c:numRef>
              <c:f>Sheet8!$C$22:$C$25</c:f>
              <c:numCache>
                <c:formatCode>General</c:formatCode>
                <c:ptCount val="3"/>
                <c:pt idx="0">
                  <c:v>37</c:v>
                </c:pt>
                <c:pt idx="1">
                  <c:v>51</c:v>
                </c:pt>
                <c:pt idx="2">
                  <c:v>39</c:v>
                </c:pt>
              </c:numCache>
            </c:numRef>
          </c:val>
          <c:extLst>
            <c:ext xmlns:c16="http://schemas.microsoft.com/office/drawing/2014/chart" uri="{C3380CC4-5D6E-409C-BE32-E72D297353CC}">
              <c16:uniqueId val="{00000001-14B1-412D-9EE0-AEBD75D82DD5}"/>
            </c:ext>
          </c:extLst>
        </c:ser>
        <c:ser>
          <c:idx val="2"/>
          <c:order val="2"/>
          <c:tx>
            <c:strRef>
              <c:f>Sheet8!$D$20:$D$21</c:f>
              <c:strCache>
                <c:ptCount val="1"/>
                <c:pt idx="0">
                  <c:v>3</c:v>
                </c:pt>
              </c:strCache>
            </c:strRef>
          </c:tx>
          <c:spPr>
            <a:solidFill>
              <a:srgbClr val="00B050"/>
            </a:solidFill>
            <a:ln>
              <a:noFill/>
            </a:ln>
            <a:effectLst/>
          </c:spPr>
          <c:invertIfNegative val="0"/>
          <c:cat>
            <c:strRef>
              <c:f>Sheet8!$A$22:$A$25</c:f>
              <c:strCache>
                <c:ptCount val="3"/>
                <c:pt idx="0">
                  <c:v>Jan</c:v>
                </c:pt>
                <c:pt idx="1">
                  <c:v>Feb</c:v>
                </c:pt>
                <c:pt idx="2">
                  <c:v>Mar</c:v>
                </c:pt>
              </c:strCache>
            </c:strRef>
          </c:cat>
          <c:val>
            <c:numRef>
              <c:f>Sheet8!$D$22:$D$25</c:f>
              <c:numCache>
                <c:formatCode>General</c:formatCode>
                <c:ptCount val="3"/>
                <c:pt idx="0">
                  <c:v>150</c:v>
                </c:pt>
                <c:pt idx="1">
                  <c:v>182</c:v>
                </c:pt>
                <c:pt idx="2">
                  <c:v>163</c:v>
                </c:pt>
              </c:numCache>
            </c:numRef>
          </c:val>
          <c:extLst>
            <c:ext xmlns:c16="http://schemas.microsoft.com/office/drawing/2014/chart" uri="{C3380CC4-5D6E-409C-BE32-E72D297353CC}">
              <c16:uniqueId val="{00000002-14B1-412D-9EE0-AEBD75D82DD5}"/>
            </c:ext>
          </c:extLst>
        </c:ser>
        <c:ser>
          <c:idx val="3"/>
          <c:order val="3"/>
          <c:tx>
            <c:strRef>
              <c:f>Sheet8!$E$20:$E$21</c:f>
              <c:strCache>
                <c:ptCount val="1"/>
                <c:pt idx="0">
                  <c:v>4</c:v>
                </c:pt>
              </c:strCache>
            </c:strRef>
          </c:tx>
          <c:spPr>
            <a:solidFill>
              <a:schemeClr val="tx2">
                <a:lumMod val="50000"/>
                <a:lumOff val="50000"/>
              </a:schemeClr>
            </a:solidFill>
            <a:ln>
              <a:noFill/>
            </a:ln>
            <a:effectLst/>
          </c:spPr>
          <c:invertIfNegative val="0"/>
          <c:cat>
            <c:strRef>
              <c:f>Sheet8!$A$22:$A$25</c:f>
              <c:strCache>
                <c:ptCount val="3"/>
                <c:pt idx="0">
                  <c:v>Jan</c:v>
                </c:pt>
                <c:pt idx="1">
                  <c:v>Feb</c:v>
                </c:pt>
                <c:pt idx="2">
                  <c:v>Mar</c:v>
                </c:pt>
              </c:strCache>
            </c:strRef>
          </c:cat>
          <c:val>
            <c:numRef>
              <c:f>Sheet8!$E$22:$E$25</c:f>
              <c:numCache>
                <c:formatCode>General</c:formatCode>
                <c:ptCount val="3"/>
                <c:pt idx="0">
                  <c:v>312</c:v>
                </c:pt>
                <c:pt idx="1">
                  <c:v>373</c:v>
                </c:pt>
                <c:pt idx="2">
                  <c:v>351</c:v>
                </c:pt>
              </c:numCache>
            </c:numRef>
          </c:val>
          <c:extLst>
            <c:ext xmlns:c16="http://schemas.microsoft.com/office/drawing/2014/chart" uri="{C3380CC4-5D6E-409C-BE32-E72D297353CC}">
              <c16:uniqueId val="{00000003-14B1-412D-9EE0-AEBD75D82DD5}"/>
            </c:ext>
          </c:extLst>
        </c:ser>
        <c:ser>
          <c:idx val="4"/>
          <c:order val="4"/>
          <c:tx>
            <c:strRef>
              <c:f>Sheet8!$F$20:$F$21</c:f>
              <c:strCache>
                <c:ptCount val="1"/>
                <c:pt idx="0">
                  <c:v>5</c:v>
                </c:pt>
              </c:strCache>
            </c:strRef>
          </c:tx>
          <c:spPr>
            <a:solidFill>
              <a:srgbClr val="7030A0"/>
            </a:solidFill>
            <a:ln>
              <a:noFill/>
            </a:ln>
            <a:effectLst/>
          </c:spPr>
          <c:invertIfNegative val="0"/>
          <c:cat>
            <c:strRef>
              <c:f>Sheet8!$A$22:$A$25</c:f>
              <c:strCache>
                <c:ptCount val="3"/>
                <c:pt idx="0">
                  <c:v>Jan</c:v>
                </c:pt>
                <c:pt idx="1">
                  <c:v>Feb</c:v>
                </c:pt>
                <c:pt idx="2">
                  <c:v>Mar</c:v>
                </c:pt>
              </c:strCache>
            </c:strRef>
          </c:cat>
          <c:val>
            <c:numRef>
              <c:f>Sheet8!$F$22:$F$25</c:f>
              <c:numCache>
                <c:formatCode>General</c:formatCode>
                <c:ptCount val="3"/>
                <c:pt idx="0">
                  <c:v>224</c:v>
                </c:pt>
                <c:pt idx="1">
                  <c:v>247</c:v>
                </c:pt>
                <c:pt idx="2">
                  <c:v>250</c:v>
                </c:pt>
              </c:numCache>
            </c:numRef>
          </c:val>
          <c:extLst>
            <c:ext xmlns:c16="http://schemas.microsoft.com/office/drawing/2014/chart" uri="{C3380CC4-5D6E-409C-BE32-E72D297353CC}">
              <c16:uniqueId val="{00000009-14B1-412D-9EE0-AEBD75D82DD5}"/>
            </c:ext>
          </c:extLst>
        </c:ser>
        <c:dLbls>
          <c:showLegendKey val="0"/>
          <c:showVal val="0"/>
          <c:showCatName val="0"/>
          <c:showSerName val="0"/>
          <c:showPercent val="0"/>
          <c:showBubbleSize val="0"/>
        </c:dLbls>
        <c:gapWidth val="219"/>
        <c:overlap val="-27"/>
        <c:axId val="31119695"/>
        <c:axId val="31113455"/>
      </c:barChart>
      <c:catAx>
        <c:axId val="3111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13455"/>
        <c:crosses val="autoZero"/>
        <c:auto val="1"/>
        <c:lblAlgn val="ctr"/>
        <c:lblOffset val="100"/>
        <c:noMultiLvlLbl val="0"/>
      </c:catAx>
      <c:valAx>
        <c:axId val="31113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19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Where do our customers live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Where do our customers live</a:t>
          </a:r>
        </a:p>
      </cx:txPr>
    </cx:title>
    <cx:plotArea>
      <cx:plotAreaRegion>
        <cx:series layoutId="regionMap" uniqueId="{81FC85AF-1CFD-4FAF-9054-53AB53D22120}">
          <cx:tx>
            <cx:txData>
              <cx:f>_xlchart.v5.2</cx:f>
              <cx:v>Sum of Quantity</cx:v>
            </cx:txData>
          </cx:tx>
          <cx:dataId val="0"/>
          <cx:layoutPr>
            <cx:geography cultureLanguage="en-US" cultureRegion="US" attribution="Powered by Bing">
              <cx:geoCache provider="{E9337A44-BEBE-4D9F-B70C-5C5E7DAFC167}">
                <cx:binary>5H1pc9s41u5fSeXzpRsrAU5Nv1UNUpLlNY6d9QtLsRXuO7j++vcodjIWJWfoutGHq6vuma5EOuAh
HuDsOPj3ffev+3i9Kt90SZxW/7rv/n7ra53/66+/qnt/nayqkyS4L7Mq+65P7rPkr+z79+B+/ddD
uWqD1PuLIMz+uvdXpV53b//n3zCat84usvuVDrL0pl6X/ft1Vce6+s13e796s3pIgtQJKl0G9xr/
/dZexcH3rEyD1dvt78jfby+zNHtjZ3Wq+7dv1qkOdH/X5+u/324NQt6++Wv8rB2+3sTAuq4fgJjK
E8K5kKa0Hj/i7Zs4S72nrw2MrRNCpLQEsn4+9mqVAOVUfn5ws3p4KNdVBS/1478j6q03gFn457+8
/f1mFjaz7gEAf7/9kAZ6/fDmVq/0unr7JqiyH9NU9na2ecUPtz/m5K9t3P7n36O/gFka/c0zaMdT
+t++2kbvvyD7TwwT+rA6ALjiRCImiTTpfnAJOSGCMGHCsnlcUo/YvoKj/fCOB5iA8JjkyEC+XJVB
nlWHQZlJRgSXBP344N0tbJlMSAJ7+MdnG+zXcLYf7Z0RJsC9Q3NkeKta6/UBtrR1wjGhDHH2iKUc
gU3wCefMxJjAMni+pycztB/jbfIJAG8THBm6/8R5kB4CXnliWpSb+CV4QR0L+IDKZtvwTudoP74j
+gkAjyiODGFnHb+5ysDk+/N7mOETwZkQBD8ZXWObi7ATghgFtTzSy69iaj/Ou0NMgHqX6MjQXib5
ugxW8Z8Hm5ITYRHJGcWP2pmOBDbmJ9zknGNh/tTez8X2azjbj/jOCBMA36E5Mrz/SVYPWXkAtOUJ
BXMaEQniecuPIggENyEWRdY+mKcztB/kEf0EiEcURwawnYGHuDG2K30Ik1ueoI3wplS8YIWRE0yZ
5AKDffZ8O7+Wr/1o7x1lAuZ76Y4M+dtV+uYSIgGHCJaIE/C0hAAL7RH2HcUN/jSRmFlsZHy/iqn9
mO8OMQHwXaIjQ/u6XKXeAWw0SkFtYyal+YKfhSG2wkGYm2gE9XSO9uM8op8A8ojiyBCGmOiqWZer
6iDaGlsmwUSIR9sMzO2x0jYlssDfNkdi/DVM7cd5970mQL1LdGRof6m/HUJfWyeYYbCxIYz947MD
NERNpDAlM8E8f66vp/KzH+Mt6gnwbv3+yJCF8HwaVPGqPsRGFicmQwICJ/RFfBEiDOy1kT32Oq72
o7xnjAlY76E6MsTtLK4PEvCGlNRGKEOU7AW0yQlCkpoW49u7eTpH+5Ee0U9AeURxZAjP4jdOVoIr
fRDdLIhlcvKUurIg/TjWzeB8gYnG98ZNXsXafrR3h5gA+C7RkWF+G1RR0Gf1n4d8ExelGNJYP9OV
O5CTExNkPEdjLf0anvZjvTPCBKh3aI4M6atVfghbDCoOLEg6Q4LqUXqPA6KbpLS0IMMlR9Hvqfzs
R3iLegK6W78/MmTnUIxxkGoSc7ODIZoNZSOPn5HQ3qSvJId/8EgzT+doP7oj+gn4jiiODOFFvE7T
Py+iKaSfCQI/ioBDvK2OIeJpSQw2+GjXTuZkP7Db5BNw3SY4Mlg38Ty1hnqnQ1hcJkS0yKa64Cm6
uaN+8QlDBJl4HA15HVf7cd4zxgSw91AdGeKndfItix/0n9/LDDJSEsBku3uZnWATUwSVYz+l+POY
yGtY2g/2zggToN6hOTKgb4N1+SNjVf/hCk8Q2SaigCV7wd5CJ/AlghLQR3d6FM+eztd+rEf0E5Ae
URwbzqv7Euo904OIcHnCBRQQMQha//jsJKhAhFubf6CCbPMZY/0q3l7Ae3eMKZjvUh0Z7su0P5DS
RgRsMvGUpxorbSzBLrNMU8pR5HMqP/tR3qKegO/W748M2ct1+pDdBwdxqDaJC9jJQjw5y7Bht81u
CrFQYVJqwVZ/rqRfxdR+jHeHmAD0LtGRoX2+Lg/hWPETKn6U9T5GMzeSeQto8Jw3JSeYkhHQU/nZ
j/EW9QR4t35/ZMje1fGqPEQtgXlCKcJQnf9Y+rUPW2KBgMZ8lH2cztF+dEf0E/AdURwZwudwnOsQ
6UcAGGoICGMveM6weU34DkKe4807laH9+G6/zwR4twmODN2LVXSI3QuCF4p34ezMS7llcmJhjk2o
H9hWwVP52Y/tFvUEaLd+f3TIVtX6AFoXQiBQFsKk9XRyCu3kIhBsXEhGSHO0cS9WUzl6Cd0t+kn4
blEcG8JZ9eYfqOSL14eQz+wEcUKo/Cmfx4emwEnaFIcwAdt8j1t88TrmXkB8zyBTYN9DdmTYX64e
oL7vzwc4qXkC1X2QkBBPdSJjmxpq8iGVDCW9GLzmLedpMkf7sR690QSYRxRHh3AZHEB8U3FiCcYB
3qcikfG+hlQypxiEtzUKfmxOn05i6CV8n5NPgvc5wbGhuy7v4fy9/cd7E4gTikzL/NWcYAdeUN8S
ajqx2BvNvJzM1wsob9NPgXmb4shwhmTb5jBNWQ8HwBpktWCYIWw+Rq53sIaaPuhDAT70yMp+HVf7
kd4zxgS091AdGeKXGQQ2/zzYUOjFLGSBQ/wE9k4xATrhjMAZaDwKiExmaD/O2+QTIN4mODJ0P4LJ
Ux/E8ILzy5BQpOil43EQD4GTkBiZaKSXX8HSfoTHA0zAeExyZCjfrf1VcgDrGnxnOLJsgmP1Qq3X
po6Pgkg3N5FP+IxyjdP52o/0iH4C0COKI8MZ+jHpdbnu/7y4Bj/KFKYQFD2dntmJkuATk5twdmbc
R+g1PO1HeWeECTjv0BwZ0lfrZnWQdlEglU0iQG4/+ct7cEYYDlWwsQ02naP9KI/oJ2A8ojgyhN/F
q/v1YdoTQCe3zaGJp0zUPoTFplUFebTCR3GR6Xztx3lEPwHnEcXR4VxD98EDSGzrxKKmgMMzT7oZ
otdb2WSIfEFQGyxwOqrDfhdP5eglhLfoJyG8RXFkCL8P4OxyFTwcIjFFTyyJOKVPFQO7aWWIn8DJ
Zkg6jrbxq5jaj/PuEBOg3iU6MrRvs3h1kDKgTZdOkNobG+ynLb29nyE6wiwo4NwpzZ7M0X6cR280
AeQRxbEh/KMAv0xX5cNhCr6g9Bo8ZyyhYuTHZ6yhoe8EgcNRoMW3UxYQjIKTAa9h7AXA948zBfj9
lEe2AO5qONWcHKT3H2QzJGDLIDa2f5OjEyjjxlgSWBTP01Wv4Wk/6jsjTMB7h+bIkN7sKCdYe4eo
2oWmcBjyVtAYbmSYwfbGJpWw/59KibaRfhVP+6HeHWIC1rtERwj2HHoJ3QfVffZzzv9Ef20Bh2wQ
ElDd98ujGmtuBg3GuaR7BPovjqa4CC/DvTvMRMh3CY8Q9rNsVdTTssGv7K0OAh02OSMA8F5dDr16
iQVVg5a1/+QNCKBXMPcy/uNBJqI/JjtC7C/qoHpz/S2o8kNIeQ5pEGJCxAwkwOazp/4EAugIejXv
2fuvZO1l9PcNNHEF7CM9vlUASW21Kr+tDpQKg92/qUB5IUuyKQ22JORJoF3Nj89P5fPYiR8U7+vY
e3Ed7Blm2irYQ3iUa8CG6v8D5MmgSGlTWQjVw08WwNjkAy2wqf2HsPooFveI/WS2fof89iCTcd8m
OzbU/VUFa9v+02VLkBiF7uxgxNOXms0R8OPAywfdMNrskzl6Aett+ikwb1McG8JwZc4hUt9waQ6j
lgldbF5KiP7w70wGpaUjhCdz9ALC2/RTEN6mODaEN7dsHCJRBucuKSHQGvRJbe8R2uYmJLuTCr2d
zNELCG/TT0F4m+LIEL6Dwlm46uogYlrAqS1w0J4Mr50cGZzrgS5UYJiNK1ems7Qf4/E7TQB5THJk
KH/J4kM4YHCbioCD8YDiKMwGNhd8ITC0OdkW0FMZ2Q/sFvUEVLd+//8ApL9nceuFN3ee/fNzbvcE
0l57Tx2kPeBaIxPcqP2+9MaPwqCQoc/vPj/q+c16j6HzfTztR/U57dY7Pr7i7yflMLfRvXxT3a/L
/pyVXs1+XBP47LK633/74/XhbsMR6VOuYc+E/Wr1tXz4+y10KKCbXgXPkN0MtJWpeLrk7ee62CZb
gz3+91sDdO4J2xT9S7i1TMI1OLB52/XTV2A6CzjHhSgliGICX6VwSY8PFxlCsA1SoJDwZpsyclDO
b99UWf30FThXFM5nwi1o0PsEbtX5+abvsrj3svTXtDz9+U1aJ++yINUVvNbmzG7++LsNvxxx6DsK
hVLQ7MwE3x7qWOH7+9X7zVFe+Pn/kZ1XWLX06+sw0PmZjC12WabduUzjwuZ1+dFMEqcIdXSaZiIe
1n5WFcZN3feqL4bAlriLbyw/T5WO+hvtsbOsSrJ5EVeBwkPfKBFhYxHEDVMs9+de1PjLttDI9nKX
qaqtPN+2miKdJyKP69vey79Yfp8pA+pBlNBdENo5qdhZ0xnDGc/TznftXvbBWR1HTk9c41Qb5XfP
Sgc7MJC76HFWKx9H1jKuveZjDgfVz0lgRpeSpvkCB7d5Tf18JpMezXMsA6cpDeSIxkqdjA7UieOA
KGJaniqxdR6JUs8KD9tcEz3nXX4lud+ohmbWvImHThmu7uaVn7anZVtd4aqybJ0WX8rWu+hxO/NR
75CKXCLmnbeD9pUO81oFbl+oUEq7rat6lgLCynMNPYOHed/dNjO/9kPYuPOCF76qkTHY0q/wqVXW
7/2I3soQpfUyN31D3wQ4LU55kdtp4ZunBe+r9NbUyCqVX7uiUVS4bEFx24SKu/x75NbtctMOdVGn
UeQMSfquD6srk+VnaexfFYicS23Ms6o9MxLTyQZvXhWpQuFg8yB/aFPyPtDWl+c3VG6tyfss78vA
858uF/31x/+5yxL498eVlf/5y83dpP/502KdbYJI1fhHG+Hx61f/ufZys1l/3YE5EgGPF5z+3DWv
+fIVwgOOcYGZ/ev60h3hsUlCPYtIjoXII/lPIQL6gAmw0Ddne6UlGThiv4QIhkt6JIIEu/UoR/4j
RDjc+gA0UB5HoYCdW0D1U4iwEyid20RyMbLgQk3I3P2cji3AQHzuESIwzrYIgU4e0AXT2mQGMIYS
6m0RUsKpxQoKuLxrL/ZURc4D5qtnU7PvCRtL5tkzJIhiCeli6JcrERaQUYS5fS6mEpwhK4/77sqL
xDL1a2veERKWc5F0lx3tzNYRaV8tQOSEM9PIy1BhLfkt0XmQOVJb5qUohVUtU88tLuvSkIWd1NQs
Lk3TQN2MVXXvOSjHYphVLZpleYvy08hPkllpMLToumJYlJlHZi1YYYvSZ8WsytpwQc0cqbQx34Ui
9RZ5lCCnzrxyERheTGZemYXGIk3aIbtNy8H/noS6mVMcuENoywoZMyvuGQltK4Y/zXDOEjzzWYLo
rU7zCIRf0RU3ugMugmKYDwbmyuj8zzTH537nlwrFRqEiK1rSplg0wrxoaxOD4DSuar/5yCN6V1jV
bRkNF17afDR5kippFpmKAnZRlGzmseLC98Ml9rxoics6cLzOPG9xrCRKpGq8bIGCDinkBmrI+rOS
oy95GPZ2HAtToay4LgMzPLVS/6Lu0DffjPpzP6fCZi4blIzx2o+z2Okta9ZnZqi0BfLVYzSZ667j
i5S6w3nR5+eNayy6JAJpHniLJOalE9DB9oZ8VrTBZdJyOnMpK5Tn54thKJduGbz3eREvwpSnjmdE
y3LIXOVVeJlWXTkr/eQWVO25T7tWGT0y7/smquy+9FobEXPe5bBUOxzMGNOeMmTqJI277PLismUp
qK7Qh2nV0uZSguz0Qn7LGagl2rH6tEpTrlLXIk7iMm2jXl8WZmPYnlUum6jrF1mM1sysH3DC5aKM
zeScWokRKz/iwU2eysTBHQu4jaNEYYGNMysK8aKS6D4y/OVgGlcaiw/aNxax75pK9uXMjaRdU3wx
JPKmSdO5FRInLN1ZhQ07MdvotI3JQraaOAWFieepOK1Q8wkPOlM59xwwAr4OZnOZIU1VUHZnPEbv
Bhi0wellIn01MLyoc2NFKrw2jG6ZseGCgnq1xMfO/ZrJ4Uwkg5zz0JuVgn8oBqz8pvvW1BFcnSn1
OUuiC076d54bYpuSyFRuZH2JPfJlE3tyyhZfWCz17JZdF/5pnzDf9oeaKj4Uc+Ebd7KrPrComXVe
1Dnc996xJicKBWBoJE1wrrNoyQWK1dDgj7nh30mZfDDyTA1pOxde/p2I7qywjLOuQ4OqQvOsCK1F
bMa1kqJyaIbrJauZfs/a8Aze75yH6CutjVD1NA6UlZX+nNA8vEpYF512RkK+ZK0UnyuZBaXd9b37
IdFu9L5zRaW6LsYzVrqlMgLtO4UBujSMtWf7uq9VQcCiaGFbXDQ5D65qNhi9isvGrew6Nzc7DIop
MlVYupnJwpXfBlN6js/Nj0ZFzFlTmVeun7szN84bpZlVwWKmkWr6Oj7vpeHZHuHvNUKlokVbOF6T
S4VxeN5k/W2SR60K2yxXTV5588hin03zNgTknaI2Bkd0VXomaWxeurkPkz3kgYrM7BvzwlCZRe/D
lrMAI36HvDyCeeyjhdd7F2GCB9VH7k2ks291Z9mhGzoyJIVyDXTrmoAyzb9WdTQbsvC0CfV3UbbX
MR/Cuef6kaJt/IWE9dw3xdesN1QtK6IYLhLltmGudJVKFYr+onK50/eBHcZiFhbkITF1t8gL7oRp
86Wh7oIznashqL9Wms3zEmCO2jlxxSecVh95nX7iOEuU1YW3XdxfpFZ7qgsMG7wNP3l+vwxa2KJd
d9m4ycJLXDBtYvO91sM1r8wvnc+vspDZkjWf2qG0cZudBWJo5g0De7BDpQ1ozFIz+joUQaWs0Fyw
kHPVxUWgtAyWXtX5M5+mmR1y8xYPgFoV40h5qbgrmuBMU1PbVYC+gCY4L9wsgvWTvguCQZ9mofeJ
94VQFJWnPKEzEDeOUXeXNIW3T3xxIWtxWkbeGdb8i5U3jjtkdi6ja8rlaZSALV25iUpItDKk4fA2
OK3joVVF7a6Qjs5grp1g6FJlEeuM1f1NlSNgk1VnITJOS25+dVG+bPpYMd3cukw4UvJhXnVWppLA
f4dY991FLVf9kH5FLKSKDMGlxeNF4RZ3SaoHJ0qz08ZrilNpJf0FxtQJCbmoy+Cr6WbnqKShIiTT
8zRBWGWMte+g2NdXsvToLJLl5xT53txA8hpZbabatCjOKyw8W/tdMuemeR/EBrgiyDM+t7kJ62XA
8axHuasoC+KHTgfCITTxTaftyWXrV+733xsh4HONTBALAuXgK1FOoTn0pm3/cxMERxwnSeoaV2H4
wYw+RtY3xhf/d4/YWFrPnLEeVrEZ1fAIVPTKFNd1ft2F737/DEjL7HkNOOoGtiE1oeJ6+xmE1H3S
WoF3jVrQ8uJ60Bddd2cYzu8fA57yzmPgXlgoF4GDVEygjd/57FW8LOypiBrvuk6GWRH6YBjCPiw+
1Oxd22BlVqXq+dmPZz7FB949d2+fm/zPPYAjdSUApN+7Eo99tPd4EZvqyp+hCMjlwSUkkL8lEHei
FtjYz7wISPCgzd1h0F8TbVyFn6EIOMsOyT0Cm/Fn/OKnE2FCM07ozwoxZ4wox9x8jRMBsY2tFQOR
CAs8HEgkcuheA8GQTQ/I5ysGLHDOm0gaV4InoR1nyyZwW5XGZqpSrLN5JPpTo2LUDv3kBklh2U1Q
5qotok9trzMnDvVyKHHi5GEd2sg0M0Xa3nWKQrZOUFXf2qT7mIXd1xwVl31NlwPcoXWRJ3E5Y1mr
3Jx+ABNukeAkdDwdv+9ICCGQgt6bOLDBtq5sl6IbC4E6b6XLVRmWn1AnvnfM7OZhm98mJPwgMFjw
QzQUqjbAl0is4jOr89oJcO4kkdHOQy/PnSIz5mkR1Qob5aKNwDZkLm1UVSdn/iDawOFu5qmh5aHh
uB37mseN0d+EbSObedzhNqEK7grN7uoiRHkH6p95jgX2Upa1FsQ1wPtpqj6ZEVQLu+jprOFpqyIj
fFeHvVZWGttJJmO7RuGDFmLtQixKuYHkiuqruPlAqkwot2/BFLDqAOzn7FZ0oMhwQr6GcWWozirJ
rO9wY1dZc266VXVWoPRbQfywdCCUkKEZ7xtQvGbCyE0ReZFKfcFBMkd3CAyPSNS9qroIOR1in1OW
fUwCkV3nQ5ddoDTobUOAphXWNfXyZRpnVxWuFgnYaLElzjrufhYWwrmKaL8Er2JepwwtcQ3mtA/v
PaO6I7ZrZjGo94HawM8n6engrAmEN8th+pTErmG7LU2uXYnuYhk38yQXYAeaAizZQEdKt0XwMaoM
Es/AgjfNGW7l5UD6G1QNkUJmVYDJl8lZmaNbr+lv3KJM1VDS68Kz5kZHTovKvOGhWLrxsIia+tRH
Q+U02rvTMrnurGZBOtKrCDU2SwD5Nld+yMFITcJPYB7eicxftK38mBiDp6yyOu1q7y5Ph4uyDW7L
pP4caHyKO1mqMPZz2yx4CXYRXXRNy+fgQpN5B/aUmWboHCAPVV2H67BjqimBN6P3+IzSlp+axFXd
IBZ04F9JmczcFLlK1/Hl4LnvE4gsLXuuvQtqsNugbr+lRjVLqruyxti2CuvG80MnrxqV5sNZaeKP
yApbJ8zCRRWUp0EfapVRegl38HxNai9YGMKc57oHK6fIHT/3Ahsb5gArtF1ZLs5mKGmdwRyuWtRc
+0h+IqQ9zyrDyXDnwK3U32iOTAe54e3g+dctZp+Ksr3wOf4YFwjPEOnnRQpOcxAZVy6yFmGSXtWB
lsq30m+Ny5IZbd0Ly+tbRZv4PI7hZxDla3WtVVsmS+nVF41Oz+GXw6zrKD0TGdcqkuBczTHk9Wxz
MNLkvQ8VsARClN6XMCCzlIe1Ar/4+2BUp1HQfKmsdt5azayXwAKVX7UEF6tmhp312qG4trWmp6WX
f+6F8BVJek+1zLyQpH4vcRGDc9jGdlnSz0FdLtuqtGOjcVUm2Q0NvSWcqrkhqRXY/dBc8qb17Y6n
Czct5dIq81M/EotARp9CEl14qPogUohPxCF6r33mkDy+9NPiPEL1J7AZb8sAsEjy5p4lsNVQeRk0
5LqLk3rp9bhWYdCcxqQ4LyzyHhbJWVbHsMNKfV25aN4IiITWdfM5IYUz+CyeNxUCFd6eGxY+NyjK
VdEaS9azU1SyuS6LZTK0p23DHWuILjpLL3Q83Ogm0kokxSWl5XmXw5KVSaGSKv7govRr1AbXrOBL
XbJ1BVFKPzOXmPofmyq45bK6g3LVWHHTnTfcX4pGfovAisVJPaghyZYuKS96nZ6lA4EdhttLP4vO
AzBgu5jeWrEHRmwPHnhWIDs00YI1wTzN82ueZOeBkI/W4/9ntslzA4NDUf/vzJLnmabHLNWPjMMP
qp8mCYYTQpABgUuwCOFwlQ4M+MskYXBBB5QSw12IEjJlm0uIn0wSBufDIAgIocBNeoz8CAb+tEk2
PbJgQChTl1CyBIHJ19gkeDvquDFJoN8DNMM04agahdLnjUvwzIjVA83yoq67q7Sl1qxpwTEHiRaK
yI5E29yYBu/Pwq5JoxlCkf6iM9Z8iFjVFaqy0uLTs9l7Mm63cjW7BhLMhQU2GnSIYpta3G1uWNrn
keXXzRUpUgyB0CF1VS0yE0RAozNLNS2rv4gmNwJVJlIXdhGCx6jcoRLg1VoifbC0Rtcwhl87JI7x
h4EbEi96k7tr3Bu4m/+eY7ITGYakF3RbgLA11I4jSdCI40D4gG2vr2jHPc8xuyH+AN60pHMt+oxD
UKPDoRMIVyowxvoAYgyILpKm7LFTNpl+8LuqwpDayblT6SCDgEjiI8gqlTzyZuBj+O+i2jpLKsuv
HChvsj5WPoi3uOXdLKgM8zIo/SZZ/P6tdmGAQ+VIABBw2y7EzkdOmugNrzXyuLpKtWt9zDyJIZYR
EVgaeVp379qutG5zF8eff//YbfeTI2gMBhewC/BAYS3C/23YerYWOeo8BkGd9CqVA77CkV9fpaAc
Aun6H3//pE0s/XlKcPMkC+7GgQQB1HtDtH37SXnK+qEo/exK5oitijYr44WrZU9UlPszVEBkwaao
lxBAoLxN/tui2SyK7cfDQoFbABhcVAwXt4wfDwou8L00Ca5EEfFVEtZ8FcUbHviQVDOzzDLVI4B+
0cZFS1QRZWKtY4jtt1bPLjqTlsimbZhFNsTkkw+0zAl1fNn369xocgcSaomwuZUxiLRQc6j/S65i
c/nXmH+xERtQAw2OL1RsbE8fMmuecu4al7h2k1VQ6soDOz/SKVO071PvrPWD6JsnrfyiGwp/bmas
C2yCG/FdiwHCOr3vQQA9C5t1UFLx0PDcF4+eMnjCL6Rs+A7IlFFYRJtyIWjKz8UoDGCWMkClr+ll
yIrctaSjLX9YdLqj1lw3dW2XXYFumqTnkFD1fWGXOF1UpMwXMcuJHcVF8j6PedIpEbfepzYEhdtX
WkO4ucg/mFUkHbdIXbvOwjBQgaYhuFhhlV61uVFdF8ZAZ56HrVAZg5smNmn85JSb4HaR0Hvn9Snt
VFyL4kpDfEmTxKCO2UAEAQc9AdnA6mFQqJXhRexz+cVFNTvzTQkBcq9rwG1BkESB20z7YGnIEpR8
28vBwS03nCHs7vOq0LeQWQXzq020mLtVAZa3S8hd4eM2WrjCwJDv8CP3G1RCl40K0sL4WicCfMu8
IssoS8HMKKz4IWhyE/Y9TaLbwHI7oZqCeWcQGq7tHuZhgRmxrgtwPGesLYs5xuAzzWIusGc3rQdJ
qIb4LpjUtHTq3Lr2XcNDDsaZPgVVQ1o7RSEkALSIP3cJ8s9JaeW3nGq+qK3QIPPKTIaVNLNyVqEu
HObgPkMMDWLgEMeP2+8V+JrcHohGtUo90njzTocZbI62nfVeU8t5mbm+E2uanILlw8H/YWUGE500
QoVVGBq2cFuhwAzuBogMxq5NNVjAi9KMIHVU9+impZiBc11CaD6ElaTnVLdWteio6C7MaBhi96aG
hH+SqD6I+7R88F2fkOFL1RqdSHxwbUCUZ/dgiIWalpBLqOscXelIJ1F3ZkHSa9FYtXaXSRkEuQpJ
nN0iYdAlRJdobdeAgQuVCMjqAK5ESid1XdCHOo7aYmZGrYfsMtbYvfYLZIrsNOpF6zt9F1v6wqw0
hRXVuhmuWrsGXTg3DT90rxvYOqZnFzKXsOBoVCXzNA5KS8UFKC931jWBaRsuVPdAPBTMVGZnEHxN
bN+qW3fexiJOZpULVsGcp14C6fuBg8RMScRqO/FL8PbBS/Wqd1VgQH4x8wL53agbESAHZUQvAiZr
ecUN13PPUiq04KGddlUx9JDTAenmz3LPF+CrVQ0kT8A3TIN5D1mm/hRVVZLbkIaJA1t0vI8XkDYM
DBtgJZ+MPBmwAw0YosSB/yHjGtwCo4IpT9NPYZJYyZKWlo5nka/N90OtKZ2HRkYg0wjBVJEq4RNf
L9yyydNbUMb0LPQGEs3rHDiYZTr2hhmUg0D+QIZ93kJWqYelbcBWKR0X4/qspJzHjudSr4ZkbQNw
BqIC+yQdQjqs4wgSRY4EBhKH9olfLDEK2KkXiMi0SRQV1AmywHWG2o0gCdqWufUuhOwBs2lQhAO4
MeFgnCM3ZnOcux5Uj/iWyGe494ds6Qe49WaQDvFbtfmdwlZgpbB8PFrYXRsYg4JaE+NrCdfeQHoi
gH1ErvCQBkOgZMMMetfHLamvzNzqMye1Cn0JyQZQSV4lIiCwEgqz5QY+Tr9AWDr1z4o+iaE05H/Z
O7smOXGsW/8iJpAAAZeHj/ysrG9XuXxDVNllIZAQIECCX39WeqJ7umfOvBEd8Z6LiZi5mOhuu+zM
hNzae61nbWy0iTOZ+PQcNjR6j1ylKqgPuHkhWrg4KA3bBF78TBpVyGCAR5nYqhREDG/SWnQWDW+W
JxMx+9HDBzosseVVmbSRT7MuqfDnRBKa1q4bF3K7uT4IH8wUkWcyefgdlnkmySeyxq5cqGrEAeM/
tccu5obeCagsL50/XG/OphnMPpamNvduDeF8+oPFtalthxemDYruGSdY+gLSAHe3QpUcC2wzdfo4
mbSi9804t+0jTbo0PLqwsfNlctO1+axXdx+1HnOltgp/tdbbtmSOqmnb+218ffPXl25Rn/C6ekVu
w6jDu5iHCB9V3ep2y9N2wVcHlm0rHroxxld+nNEVcPwaaiqduvpuIOEKBSboax+X245uviiv7k0m
/HlwO4dtYEG5LgO9Fg18mXK8IxQQl5Jrnzx16qXCw5tPySJEkiV11OK+WDl7t12Al+HGZn2ErOSb
M0eb25x1D6HhKcFpsTedT26HlA9v0FfZkNVhLehJJzydz1Wt+VKsYzxYNLhrsO8pPtbcj4f1eyvb
6N7NxteHwYc7/WqZ4uagKk/9XLf0WkPEIOsCc0ASlIKutdn1TKWv4JzUTtmeD1kcosyto60fhZ7M
OVVtExURHSlH2YM6ny01TV/Gxlt4KWmHr8nmVUF6DDtNhk+FgryeQIbhu2GvFbtsIg+fqFu2BSJa
ZIczkADK8iqV04KTNlh8tN5D821Ml/TZW9Gmn7Z0GskPOHiryRTwswUmG8zY0ilSb3loOePHHpfF
5l6bst2ml2W6uDWWT81ihqs7ewiVW6LDZhkuTusTs+172Wp96ZgLb7zJD3VZD51azlBu+jpPIqPq
Z3Qi5oefdigjKJ3QoNoaOFmWQiMdcAqsw5PkAxFfid6CZMk2dGDrl34KvBR/mKnGso492Gle1duP
mvvekssY5stRQFl8cMarwHvMgxGl2GbcpIJOTXDvWrlFt4r1UmZDv/jsEpI6dPmK7saUtu5x1WzS
CeBjW6xQO4yRJQGfMhaLpMm435IBd38bOh4Xa7X60JR7w4ZXG63kualH3Gs46dIX3OvK3HdpR1Bg
aZ82uwTOls3c/EaT2SYka9sl/hLRbrCFjfgUXsJKJsvjUJl0xOGOO7rswVAMOwwOq7sRwdTqm3js
6+CeOtiex8rpFO/LOY9f2tHrbaGg69AM3dg8XaSs8PrHtAUCVidtXVjn+8d1CPG9XxmDVhpWdXz5
NXj8b2skF/F91Eb/nP6ZBfuTEfSfB4xdJ4X/weX5lYz4owBzZVSxJAc/9ZuccoVNoZRcHcqrH3PF
Rn+XU8h1SRYMm5DAe6XXqeo3hyf9G/wWPO8WKS8sscXS4n9wYgkegRxeVzKxGJMYi/8SbIq1qf80
GkUYh5BDwWxH/QiKwD/pKQvt6DR46XoXsdTsfE92pQl900LJT6rhnPiNi7JhiTwvj6quv1g7P/kq
2kdJCwVvxKwmaj+6cR0UlqWhXTaDDYVm4udyDcyOkim9Zdrqg1uG/oGGsIdYOHlnaKzR3jT6a7qR
Jvci/3s3hH6GCvWgBHx4UJey8PpFZgGHIwo/IO80ih3vIfUIbbeMJJALZ8G7vFP0oQ08eVyUnYEA
RSXmqOjgxc5lUVCZI2ln4Awp66Jc9O1jSJJP2w5PehEwm+xYjD7zjo3z3ImnUubblPZ3/sy+IcHz
mA74UyrSXsDu2SKkc2FcJ4vKpoBI8dEE0DsdXx78dntRc/8lbYazqM033wv2Ta/wYjdL8w5zURit
LpttdNn65AeOkzZfVxxqCV3Oa6x1Xkk75N48QdGFfZXS6ntbByaLEr2rtCljb7h0tP/aCMixcdBX
uajVWKJOfWwCvZEY8S9J/4hRXeZ+EwzJvQkSb917c7dmfY2/D7zAkg+YJxICIKvXexwLO5j7e+pP
55mkOzJun1uSiDKKl3PnojEHo5eAZFjrrJtND2ekUfmY2P6QcoAIloavPbyJ2Qt4MYR9uTgKXWj9
rGJWUtpPOa34O0bsn3PMdRG3QMOmcNM74k/ykkh6X40ry2I2+Ie+6R/qEcMTzgKggsBqAKqxfAwN
2C4G75FOL02jH2Zf+RljPTwj2eyu5VSqMQfksZ8Je3CYfAHqpZCl0BmMkywWTwHrYbhdExNVmWj5
VMTr5h9i2YlSKxNmmldTKQYU+aq5bxVH/2HYubIJKutgXDFF4t1fN5APi36PXTDmxnmiuB5JhwoS
Y2GntsUMEArwHjPYPLL1hQt5mPGJP8VVjHtKB/RAlbpMlXY5YF/Yew5trxgw8gZheJaefWCkfuvi
oMo6p5ISBMyNYvQAkn3KF57euc6YQno0yuOaHH2YCRnryZRFUEFhOrk77bzjqCf4+Lb9Pjczhojg
o1/tfRPOriBcfaJI3aIXUdlok1sYU34J7HnMKtMtN+lq7oM++NGEOMFNXx8CuX7YJr11tHsSnWxy
FW1vEqx4ZryI75KoaXY9H+dsqtib0cMD5fV16Gw/mw3UCWDw/TbbOKfSY5kJjcxSLp50zeH2cCFL
r29fO6tfyViDrVjC99FvvnVshgMwacgWusJAooPLrJOXZvTOhC8noCx+6buoZHV/qjQGsVnP+YIn
xmdN6r1Nw7qPG32jRyUzGxubQbn5OmHgzloepIelj9PCYLI6WIIbbzBpeEdbDUBnwFzw4//L4fmf
dywSSFf//lj8+7NG/vVYvP7Ub8ci8GkfT8yJcDICK8B23z8ci9fl7BGyrRBVUWAZfum3YxHLbqCD
JghtXNPPVyvhd3ya/Q1Pqbxmnim7bjeDbfFX8Ol/gpthMyTXbXhYcEkh88LtwIv4o7Tr+WQ1dCL8
rkrVLl4hlkwm6jK5jrfBJF/71st6N6XFJtZTXK0KRDG/SD0fgGN/ht4ywKePUJSsyRHSOKOxq7It
bS5dvUBN8ryHTghI5zpBR6okXFqBI0+AycV37zuZ+6aYkvl2miFKkeWNSfWTNG0ZoeXNQPN/YykO
R8hVLyPKzaGr2jNXtoI0FC0FXrbezbO41RAzMk7o2yzjrhhE6DIThKawHgshO1U/F2s+AxmxbMNT
2ctEN32OVvdJt/WD49375tsXbx3wrWV8yXUktrL1olMEj6WYEXbIegRDMhPrD1SC73U83iq4Sqgs
eIvzaNrS9OTek6DOJL/ofjs3Wiz7BsZsYQS9R/W496+iohByym0yuVwisLNH9gGBDmO/V6YxuSTA
Hdo6kbutjtZC+s3zsqz3Yt5QNv0Jtk4g4xur0iejqkIp8mA6O+4aGarCS7dzLdNTPblzr2s/h9Jk
rjjdkZMeDLGO0YwkXGd6htLkCZMUKaCALwZq4iHV0VzOU9wgGDMFJ5g/zS5t3Q9vWdcTX2qS+53P
UUuaZB/YxEP5D27YQI5DmPS7da6qh9XrdFYPU7pbue9nGCDTjHtQqrq5qx808/Z69PaeiHe6Gb4B
nNv2hgcqk32tdi2PBbTNcBd3MGrDalkPrKt2Ex+2Mo67OMM88h0KscrhHfBMejDTZedc4VT1Tcb2
yPjYX0TbrwX+UKReErFrROcKH6OkqMhULh0zJ0qHx7aK6yKmiyvQ7OGGnOPo1gfWcxghAuZ83r7P
ox9kvZlTMDQhSnzbpflc6fggGroU25pcYhWmReLY59gvuhxTAoNu6iBO4laOwsaBihUSp8WaXAmD
p64Ovi3xlQxQBvdQEsvDZJzMDbdP3oqWDSrFd5g+HeRgANct75LCnxfcxml8D4HPZUMow4OngF42
9MNv9T723FRSZy6e8np8zsmQhbaDET58rGm44uLHQ1x0JmUPOMun8AQclEToCqJGlO4qSQf2U671
q+P4ztMWZoqccZhDqdmtwRTcx1a92a43RZUIgiNzAlkcrS+OgyFllR1L6FVZYtO20BpkQtvq10TP
FqYIRCWhuwyI/IgOl7PzOCxDNiQ1YOeoewYnfzeyHrx+apBV6H6KaXiiQX3saHJeEv9hm5rzttV7
2oJG8uqL33RwPdeGZ6GcQyix4aOvQRQT/Lm7wZFzErQWTcJw1DECEtAW32zKD8aGZ9/zfzII7KZd
r6UpLHWl1pP21nfqA3sYALNmg5tsJtaFnQDC7pBHc9UM52aaXjs+LHrn6j7c8tob9VOAxNSLds6+
uYqCT2a+WcZDAHDpG291dJoM5uZ7iRhKcsScEX6rOACXSxOJdq/SdirmtHrFwM7KyFHcGhWXZYX7
5RBqoOe22WRucd+VUY8uHHfh2wzcf2sVzUjFDjXbqiyG2HywmAPAjFcPybahT5qnfFPblntc3UvG
2y8zHhZRql6gPLVIgcy8+cnH+GFk0Ho88DkrVjgd5NrKPO7jxyCdfqh1eRkive3wLd4n1fiypXOd
Df52n4biPLdrlPe9/04c6rju7F1j1SNBTAMsSWUOg0R/2JnqDvYpzVe0h5nHGwfN35L22Okr/hB0
77Fe6jKgM/psJm5E23zQxKIauA8HXqhDDiPbkmhfhfBOuFzaDArJs+9uukWDXTskUG+7bS9mgDxL
cgeMXeyWtfnJgvq0qelYdQGFGSRKokKCgamD07EMAegO+6S2wBV1heo3KsV3XQBofV0xfDRUlJN2
W7GGag99ieTKAsaDkPYomigt5BjfVP1wr40v8sFaOAaJB5uG3oY1UL+Ie7toHE0Od/sFJPu9VsOt
x6ou1z57bZLle2MZnEInz7Z3OlvcdK767TUakgzRoLs10vCeJnbqK3S1c9PvoP8ce5N8Q6ZK7ANf
85x5mmSzIjddIIIcXFvWraB0ovgpTtsgIzT8ZEs67uyGYhsgC9EoOPAKujV+o9uNbDxBUOX5LEDC
izE+gjJDfQ6g4SwbqDzxBK3lfZjjIx3w36b1ZtHeSxvgUvvJUI6znlBuQKgR/tmk6SGy+qg9/GrV
Jz+npfnRG3JWtP67zf2/Lcb85/WTPoK+/76fhN8xff5rO3n9od/aSagseEr5ddHV7z3j7yoL0BSk
tmNstI2DX7m639rJ6xNGoisvi2cFQR/DP/yjnbw+QOZXDjeKAjwbHfTtX2gnf3G8fzKgobJcHxOH
UCBFfhgm+p/byaV36B55HdwZF/r55pajXcOhIE0QZCMbdhgOQaxN62tMEXk1PPw+BsnNlK5tEV21
5cYhNTqN9XmyGuE2v7t4DeImyQaO1Znl1o3MFGE66lzrGcdd91YLXsLweGzDZt+t0wmd7uPQo+tp
BiRi0p6abCT0plOwbrgXo+dJcd6laoLqW31BZuQ1gqUFfHVzOXPqLuLBHbGsTAd9iuVwbKMNuO5S
jfnconAvtdsDfylp0v9ErPhxtjw6Idm3R/z0IxFrlprtxSGInLUUxRtxJJwVoeqKq47hO4xwcV+/
WDJ/a90S5nVbHyhOQvQc8ZipGj7kBA4Q6k1w26rhJNswACA4/hzQiGXO06j3MrkTauxzy4e7Jlr6
k1MTpFpRIWuloCi19cjz1OfVrWHaL2ANbhgAw+0nBJj2dgnj75vAh9tXqn6gEIKz2oyf9eSnl0bL
Y5R6EGJpv+7rziR3RiABGMcWV22uw2zEnJ+3Csm2hnc1hDDC9mJxoG1H6Oihi/mDzwOy33qc2QNm
30x1AUfDgVyFUAEv/VU2hyBwGIqFoPumvgIdG/AE5mAf+FrDhagIQMTVh9tvxC5EzGIX2gAwrJro
ftKBKruguUH8+Ix24a7tyHFa+VYIlfxEtpEhzaPC0jMiKNZ5bUpSxeu+nXHe+k2d4IMgK/LOQ7qf
Gsazxo3zPqUQ8RXayMKH/fXY2TjZz32EE4v4zcH3q6pYFhngJAu8B4k9hZna8E4Hx1gmmM92Cfem
vFktThbN+9KDqQaVvBWnyBi757R+Xqm5R5PVlbWXrJme+g8tDSyimsHIHdLw1KcmwBBzBZG260ck
aPfNmqj50sFBzAw40sM6g7qiDieZrDpyFyU1XLIenYHA554FozcfEgt5vLYh5MF4Fj9asM3IUMdV
uXDlHfwJwHKExqPqUvSbwAdU2iHMhVBkloRgSb3GJsUILj1nS8MeNuIeGjc/Mqsw5NAGMLqk8hZT
w3SATfVz6raPiSz1burBbMpUAuOE5ZAjFIvTc2BHtoJ6ZV68oLHowkfqzS8i1ZNX+NPsqn1NHeQM
MfffLV5VvHmYDetGok2uB4wL6zPxLEEXxlnuL+kJ8icrrV1Jli4zUvZoqHtQK7DceSm6zjshLnsQ
QfBlMQ3STrx+VkNzipvuHgJJ7nnxxUTfqpieZ/SQX9EDfVqGBEroeVk3AgZL7GxvZvjNhzS9zp8j
ZlXe+jcUf1vd1+dlCX8OsGdzssmLb5ElWpBR3BLQNaLZcKob9cPEQG7gyB8RQnkAj3gzRwI4SL0E
RacSvW8FgQW51FHhVu0ycOHxtS9BdJT2eWwCdGgrLiHyaXezx58kEpC+nt/6EOUh8RG+itvxLCx5
dy3IcNMGGJyN5jsyE+wYCIAkhWO5NMi4xRvBhGWWi0ns68wwjMZeeJ86yJxaxd0xiSL8zskHoN1C
dO4nfZ4b/wAnp8uXsNo114itSKcVilvjI/ubFpMbP03F2ixaRAGYgr0h1q+iUncOiu30XYcISM/R
VzQV0VEoKFXj9gHsBHCFdge8abmrEQyAWbcVksW3dYMqk2ovo6PN29RDk6TJwRvYYUW8EP0ZEB1h
H7Bk4kZSE+SVkB9Tkh7iLrglvN974bDngCpwTXMEI/Hv0XudCIGk2/zTiPgelBbGP70eJ6Q+yxny
pBe2DzDCPZwFcy4DRIYn+aBSryCifpYg+2rWHeJZdsWsxLMUUw4XckTm1gBXXqGCAvQRMk98A5Eh
pcib+p/VVXfGOQYJ2iTUJPdCob/mrHv0r1r1f7W2X2ZS9D8GjX5bkv6v7dH1535rj6C2oc8h2BoI
pwcoH37p9/YITyCPAoI9RhSuUnrdkPCb2nbdQgehzSfYroHfcrWufmN6479BZcOjnECqoX2CU/VX
2iMWXU2mf/CFeKyEH8LPwiKs63r6q+X15/aILNGoPK3U3RbVpwC1L1yAoroW03vXaKDkLMyaSl5C
uNA7pKkOPr7Wop/u6tlDGKUpUksfOgSv54CcrOnf2zl8q4zM2w7O9kZueBoetho3bOvpNa9j/mZW
+bBUVVtim8p7imhSHtZYAlLJuc83YiUMKkkzCQsbAt3UveqgPs8QojFyqPukbqGK6dQHQuDlsGQ/
oIntgorc1w6ZmTFqoI01Xy1ZGGZDdpdEA/DeuY2zloCfn5n+wbTGBhBXo3GpY5aDbyHHaEXPN8XH
oFLPweo+13C7mDD9kJV5titGPghpe83mM0PzlemF3UU6PknU+Sytoy8BEoObnr7Zmu0whS9o8LCK
wKbJPTrDs1QaM2p721iI9h4BBohIKqZ6CfRm9F5TtE6Zhm3hR80NbBjQW/2KlHw7HbtIgv9vN4Kw
MJQRr0m/ARS7j5b5JpwTfdsPD74OdqoV5RqTO6yl382Be1yvFf1KGgYjeQ9InSMt+hUV9BVI9Y7N
M7pQGBAwGdSHWOcvvecHhdqQXieuuV0XfHSIYz34rnKFaZl6GUKcmyaZMkxuyP0P8XIL8mNXWbgE
CjROvs7LU43OBv8sdoIZWUxD9zLjZVQDjsNWeA6KkN5HwsdnkxAMpOsZegZ64sYDXecnstBrAsVn
DR5Fos/WVj+AYuLIY+w51OzRo3GQexO7SRVWG8xRjMh8D4EUTPOjF1XHqJnCm0hjrYwbmmec7d8T
HzJApR5U3f5ouvGFp6jzcIltzvGmDoCSbZ56gK3hCvE8pnQXhBMk0bhC3E60u17MxQa3ItravR8u
h5ai4wPTvJbUzJ84q/oiZMMCfqX/qrUqU9LLa/6mzq8Lf3KukTjuHDFZYEYsx0likm04YTNQxv1l
W0esDWgfq35O8tBvxgySMRoPB2pPzR1alxExYe3kDVHopBPzVbD4BuL9I/QH8GwiVblHtm2vOjRJ
XTXaXQpMFDw+/dZ3w1Oy4MJHlhdrtN36c/WjWjzwbkv0mPYJRoTqYAP0WaSqjnHrJfBqYZAmLNk5
+L1XujXMKG9N1tsRjfUwLrm3re882EweGfiDEp9ohm1Dp2lB69QiEbZC0SVSiTskKvdio6pc20es
FCA1dhstfHsHcvI+LewZTOpzK0kxu+S+pbTF1LCFuaWIRAfCe0GqH/uTEHmvIYDVv5QwAWAIZluE
y76AkINghuu6nuBOYjVJH2ZogIKCeuHnVYKUvndx/tSVIlk7NPfbu97EYe2nKNfAAnG5YLGtFk3O
OmI9EhCkJxVbDdtxIvuK8jRHhhevZ8GBa+EGZPjvP6l02PEUgbVqQ/SvifQeh9n/NAq3RMiUOOk4
/tKPw62R9ZIhPPoJgeouRsLRNI5lCM6FJXp4umOk2UHnHm8qgj0qXYirjU/8PHR4022HuwkA4luo
pN5pDzUYNCSCncsYwv7ghwrZyoMm6/vAhN6nKI1hK3YDNjfkdR1esFPpzkg0zhFslWIVwRM4ZIsF
I/p+MD7U//C531ArNXkifKC53mA/+jp+57w/YYXSieLNFVbASIj8+QvCaCSvGjGUssHajzHCTd2a
6m1h29s4DY+1CfmBSw/uMZlLhQIHfX9+6hMoUWOL6xt4cLsD9FE2xnIBrsaPZpQoFT2aT9C947bn
Q60yGprntbIvLZ1exyHB2ql2fg1TuMSEWlL4Pq3Pm2mWQoBEAw6O2JXmSIRLEhxH0zx1LMBwN+ui
asmbbbGfJYU5HckUS2XSFgNvzwDW0peFPVhz2qqvVpzDOnjoGgBXEXtpPPVFYAcLI920R0bwlvba
gK8j5gDe+JOg0INaSu/BueKrHXrVAUEXCeN8E6WMBSiMMCx0am+gtz4uKT3ETqL8irXcVvLURexc
6xVsEZ9f42ltMn+YTsN0u7A1myI4LDzGfo81EIXUqdjTYWzyaBSvZN32Uo7NTeeh/G/eeEnX2IPG
OLfAil0DiAsKhukTXK0KoFXPTxHUwNywpAahoXk6ZMj1UozA+jMRqr7YbsrCnqNix6+NVnY/YksA
ljUM23pLaiiKtcF1hj/PDjyBKS+qXKN+nappS+9IMOo7f/PQb2LbxBGBt1s51knyPofrut8cQqZ1
D4EOhwfMmoHvVEQutI+OqEYnVuHWSUIKnQV7N7wxDF5E3KNCLAN0dOMd6iG8DUPDD13tfwYrGtiV
f+DIgUhfu8Pqe4VKsNCg9fHW8RpNQHTROvndibbLoJbsqd9QeOEY7DvOvmJJwoLtZ1NT2qEuB2IQ
fqbbDntpsKQtZmeOD7v/mPwTCaurBXPwPEtvoUbeBb0D3AF9E0y//wUfP05xIj9715wA3Me7fnAP
o2H7BjBbAf2q23XOB00y+n0hJBaIkMF+7TCVoPt/irC2gsnoC3LP9yvWxmVsa49IN+5GIe8XfE8y
o92OTD0CruF3FNf7KbVdLmvcAgKaL/LQOxQ4srchnP6UIGRTU3Edow4dmyiWbqi7OB0RnK3quRRp
u5ajm3A/WC4LCPQ1BC5TKifrrGchRntN3zcDUAgw7T4W2HIC5ewWz0T6Oo6IX8QyzrXySiJcHtnk
DUfLbrH0Ec7GGd/cQ0yZjxhj/aXfgKM0Ql4swVHbYvyoICRL/Rr15KutgO1i5c6roe6iXbzkVqRe
1niIKKcRf8GyuQ4+lDxu4jSG48VxvustbYtZJA91hJVwzGNf5n65bK7OkH/+kGGEzSbYwmQCqMEu
mQ9gLaeyc+yiIKznTKEQevXejwQDSxAeWk1vrL+d5zEIch5hewnboH9bpe6Dyt+QZ0+8KzRNi6XG
fqBlTiFdYXVDho1Qaw7dKyyTbTyYkGrwSc1HbNHDJG6+j3sT7FNksfY8NeZGDeOaD4E9y+Y6wkJy
ayVWN6XKNug5qwlfrkgmW/jMJu/ERKz2rNbHFN1WD6MxgDC0LSkTf4/c/Feq9gHQ/Xup+v/g29X9
v7Rq/NQfhjGEYAPGsNshwRz852HMx1I5/O/vMUoI0v8YxlIMYwGex4gFV7+wv9+HseRvAWVXWiEN
0vQKG/6VYQzz4J+GsSv6QCmidAGyOXidhEFm/yP6AFvMNghJyzuPDG9cwArcZvlB1ugoCZaVNYiH
m3EusRIi85d4twUc5NBwaxMFhccqhIoFtgjNHINRPNMdj/wdxoMnKxZaJvEV1uHrjT9VBVwc8D1k
ehEJRB5Jro3rIPPFGw+yNe+KQT+dSfijogJHoaewZylyZ5csP9qZgJtrscvRD4KSrUuUkbXbSn/2
ZDGq6JpNhwUYz+mch1g1lk+6W3edXu8pNloUlMvz7KIgA5T7NUDAqgAr/QP21AnZO6yCcHBX+QIG
UoEwjLAUK8Pig/stJa9Lhex/k0AAq2vPZjLGqrKGNSLfOHY9wEeDHVkdAz7tQPRV2QBaGRsv3MtW
88sUd+e+6s813hPMW1jBitJHK9pi4VyVbUcvFaHP1SonrLIEBIVFH0BEzAIS6todY3I+qACrmKqk
f02i0csZHFsQItEyCP400ab/hojAy7qF9jwl5q4PJrOXmGWvvfM3MIpH0cF17S3LwjnSmIUwCMxB
RbO6Si41py/BALF1FvYOhAgr23beChptvNxSIPh8TAEr6Pkx8Oof6EI11mTwHDse2rNm75N7RxJj
F/bs3ayB3sOr3UOKxG6y3ir9kpK6e5K+7NtPwbcf1tWPG/CNMp57LLZofx3i0BpvK9zfRzTO/sFN
VN/RsUrvQlWZ05pWeZhiOaeN2WEary3Mr24hTNfboNlQ5cS1m0CQ69V2WD147TUCNB2Au+kBniEa
kfFXU/Jf2emX7HQtS/++ziFI/r58ju/mX3Wn6w/+VurwGGA80Bvraxjiufg/6Dp/0J3wWCrsO/rF
NwOM/mOpi7DyBpoLhKW/E86/l7r4b6iYyFqjcF4D6P5f229zFbf+oDtdS11w9f7wN/lI/aXxP+lO
HU/gXywJekpf8kOPs7MGNwLN0p7neFmxDpaaGzdTDdt5w6GL07drgD4Enfq/7J3XctzYkkV/ZX4A
HfDn4HEKQHl6zxcEJZLw3uPrZ0F91SO1u9Hv/dJGDBbFKgAnc+feK78068HcApjAMmL5jsEpHI62
sUnMqHaZCS1UG6PuResxL2qbinOc8mtYJE/RWgwMa1kwUR+QGDo31AuydJj0UEEw9H8KkDjcpYZv
shYZAi8E8LDuGOaUgimVyEItTU8lLgA9PYRrvdJRuDijSL2iiW86tXnTLbMgmBE+DrkFkgdXMJE1
CiEm3Bc2ldG0lkhU788ONZM9DSeHGmoU2b1iYVLF4esSYnkomgCNWyOMGIwnsZi3BfWYFiovOvVZ
SIXdqbXgPKjOlSifdSo5I8qTTWRNuwEKBj5d862DpIkIQQGoCCr6tSSEUZx5RkNXOgf17EtZ9BTt
w0weNb9qxokkVWjsy7XQnMb+csyGfhMuo7az0m6bUJVO6UCHkmqFq+gLBZX9Fa7ofdrPW5IYOHnC
4hoI0HaO8kNMsGkDJPDa7sVDVAcAZ8z52Y55NMcj+gnD49TFClxujXhuvUIXTFqXm2YqxFaLsuNE
6R0teK5lpz/YUaMR5NED1y6dq2QQ+mVG6T7J8K7G/3Cwex5MozzZc5K4uPG3sRh40taEVrol8Ts6
h13Ty+fIZsjW1wUSYxnvOFfpvPPyaypsVL61QcN4sM1oN2aVOW43g26h5cjz5EvTGB8YFz8YBNP5
0rKscR7M9SER7CH3kzkzHw0Ljg9xcKYdND0lzQ8C2SGjGbL6aNvIMN1qxCfhBdEx6aE97+S353Bh
9Z0/DspNXI3vMEHGxrVUgM9qU++WmuJddPXRVGjb8XrvHbuMNqUeJMTehPRwdO51JSwwtU1vBPvu
Y7X0hjb31RUuzaXLdeSgow6GiyduuGPiWNMvhNOv7KGZ8AoTpF7zuwzBw7CyW2cAUKAHBpIMXijH
PgdDq6FENomXhQn3hch6XyaVtjXqUue8tNUtfkPc7ySETrNe3ARK9NUIR/OmC/Jb2RAwWMPouEn4
XaJuJAG19OQd4BKF6nJVltwpSY7TCCL1dSCsc5SrqlepibmxE97Awn7tOu3Ylje029WmaeQ11Eso
pXZ5OWHf3wzdeHT08h2vM7CVOXnLzbzyRdqmnjIpqVctXB+jVYMnqGGARouyM2Y3WV710HgfmnOS
HGDY+nFZU9MHXAZDHrzNazxPn+uLYEm1TWEod1Nl7gsNB+ZcR49KmH6kPbeMXpRc25W1bR2KMCWn
1SFvTswpuyf2/ekMJarjxHWHY3JnlkXom6TdN0q1dGhjdXFW9Mm60Ir8XiFicDkNxCgJOie+cJbA
mxaAqrgaSzdsVGyN43AxNCnZAFEkzDjju6jharbMUDs0WRL5ZsAnTrgSRMG83GDltsGP47Bp82Fx
q1m5NeqmZ7DMjRUtdbBRBiRcGNiQY6AjeWXdmRCamAma0TEli0ylUt/kpnHKyvZODdT7wIIjrOnD
MYBf5hvLMsW0sk2TXFWT1jynjtWOvt0WduK2fYJ4PyTMRAcj17fxGOAkTOL2RTphZJ7/rQm+1QQr
5Pqva4K7+KNp3v5YEKzf9WNBoGoGySY+E+v3vDvOYwR0TJccxqsZ53vv42D7psHB1U3Ji7WbF/w+
iCIo5Wi6lAJcgk638o8GUazG/H1BAIhPmLyWRTJUhyTwc++zcHhFehmrV4zFYubVPLJt7bUMiTVu
FgvicmMX51hyGsWjQ39f8eeNLq6Q7a76utriJr7FNPratgsUYmXatWn0XDTWrl5dhYW8qAgqc8u8
aLicNxmG1UWkp84CYRu2eFH1kEHIVNwDlAdX56iZW+PI5C6pXhBBPdvSTxYTjlyr35ZVYEuWZ53n
sZtP3TGyCh/MqnBTpOa2pwdLiuVZC8V+jNLYNdPuehLRCwiuh0WWZ3JKz8wL801q6Z/KWDxxOz6m
8OTW5mBLrb9dxHKNniM4p6od86weT3vhyRhxxwgkXsRgPECAYaY20x0U5k7UyrZpB9weuXwEBDJt
KtBiB2Y6Gpl+85SoGYCSUdkzoDHhRjTBvmc4DGzjoDOlgSF6O1b9LSbE5iGz5resqlI4avIYRuoT
oTPSaHgDK3W6CNPK2oyhUHwrKfbI/4k79f0J9e5gO9BI6sA6zto7XOjXMOgfZmmNm9lMI9yU42uq
tis4wLjIhPlhiGpwHUt7wEqKzMaMhVk4Nus25EAdB5usybxPWk5IOfoVgbG+5T0Lw4zQzxwmNiPF
pBuaS7LVWuQHZE92pIXoU7sS19NiVmp3KKUM/U44M4+rDsGrLtVG+HqMqdtvW6Nz3nBljoekw98P
CECd8s1kYBBzc70kgZSZkRdGde1WpgO2rK59+umvRdTw7A5M3TPQnVaQK/81wjle2q920JtEtOtP
pOW1xEq8uciXjdBwSoZWeivW2Z4wxKUS4d3q9IrXQHAvleg5m8yXQk6jO0zDXdWnLINQqtjjuHpP
qvZTZyy50H6R8M0eQ7rEDaLFhTowmUjhzDeFEvvJ2Bm+aQ3Xk04qjBHi3oyaFwLyoChwj/tWIF/m
Tk83lWnDOBbjO/YAxlTZOHHlEKoocOKTYHNIVITKZfiSDV4RhsdiSt7NCcUz53oBXG2ly8kuil1S
VjeDwZETpdNDtYaX7DJcQd0bSDANJ7v9FODd2Vn8idTGp3Cpb+KAIYCptOexfQEN08JWVMqTIsQS
e7zUtFEppZU15GDb2UZRIpIIzQRebeQTB0V+2+NoOqQRUwG7uFwa3GZF9Wk7Jmw4c2jUbT2nzdd/
z5VfzxWav785V76tKHWbfvmTs4Xv/O1s0X6xJMsOaBkdtqesJoLfmk3WurBNBfvlb+LZ97OFvT9M
FFlmIL7BztYW8fvZYv+CM8HSmYkK1dTWEO4/8ICi4v3+bJFYHNYbjsNldYKuX/+BFuUESmmHUlZX
xUSvQfqM3Kme6V42FU9xY0if5QmUR3pDN5IKuOpWd6gt7XMoVYZNeT4eR7AwmCFTwkFqvw+p9oi9
WfRRJTPXosfEhpsvEcmXMWDYqyELbYaC+gpUQOEL0PfUerNzHdX5g9UwdqtHY95wF51ngvhh2JUU
zk9BYtzneVxciZXIyexlRBGC0qnC5j/mgDsDM0wBdzg3MmVSTXf8wYig34a6Mt4XtbPHantKqmne
qlOB33C6rbXxaiqr7MBmhMuBkS0rDnaW2ibE9qZzLpq7qIWV2cwlRjSxkJk0dqnqRG4Qtl/nGM55
GYYDPri5gSwS7MK4vkP22UaTCR/HbIghN/FhyMSrptFDjNN4STmLBLiEROprMP1Tvo/KWPOmtIet
06SeYy23Aa7CvaVovDV9PJyyGIpoboWXThUfHZmuNNHMXzrlPUkyh5wmKPCQXm1csE3UAb4zZUg5
xSKc5f0CPCST17Sd5JU7DXDBylDvjNuEc79s33VZfgperp/X4X7NsRZp7VsEJdVtA7QrU3RAOjHr
A7zXNuCbN2U2AOjJzNhlArWKA7c0gMxQc+2inpIJ5pdW+bFVth65bn23QEoyl2/tPTEcxXqoitk5
1kOyT0VH4VAHJHo46WSQAkXJTm3ZXYPZ8boMmW4stuXk9Bjo4yfHbM1dMemOG8B08Jys3i6xuJjr
+Vkv861ZDK/ohtUhN4bboYXSoi3jBz8ZvISRfQyi1q5YmonhTpuvk0kaLB2ILpxeCc6D0XzRmkBs
oFPoB/Ia9muk5MKvkWktfy5azrVla6VkdJtkqC7DQRHHKixb2A8lZ65ArXV4g2plY9nyXVZyPA6I
uDIQ26aa9p0RbGfLGD0jaF4cEwynORd7M634ES3Dpz5lJRChl97iLZZoPUoeLQ9GVWI30ufRNSpx
J2v71GnzRxbVqQde/DYLovBkk5haciB/0ejBxyr81EbeKdroPVkq59CV4n0Sq9VUApS1BkI88Itu
urrkLW4ugpRBuGjGivl84+I8VVY3Iqg8DAdBKCEOT8gO5YROUIzhvE204DOrguusmXvPzMEDDlFf
unbPUR8s2anWC9VfVLvek8zyFA3vY1Acx0RvvTjQXxJ6TA6trjtHpqJeGGNjfWDVTe9LlZ4dtYuu
TssijMf/nk6/KqEcJH99Ov1v/vZeNn88mVS+67eTCRl0xa4TKtV1aa00h99OJoILdBz2N1feN4vd
94MJzgOUBANwLdg60gM/HEzyF10TdCgIod+CC+KfHExMnH5/MMETdFQSCmtMQrIF7+eDqawwF1lk
7q7UzLhP6a711jrlZnuTTggx49qAhyq+aM3cJ/OcEDyiSQ/Wdr2b+gArQVVzc2KtBtR0q5qMKaMK
n9Fo0ii0i4YaueodDq9VwFDGyFFpByds9JVJcNes8sFSlGzMKKcLpUZaYOTLKHSVGxTA0p5YJYhs
0BUG92N9qaJPCHaRXYhhKc6JTrK7tHX20AQMG/RV2WidEEQUYocd4QRfmuI+KlZHx6qIqE17qJFI
AtmF2IShOQkz/4D59wgvTdlkurUvEViUVWkJ6vZiWbWXxcIH4GgU7lY/uw0CTdEcEu2sraJN9NYY
bke6rixJGoxDD/9wVXkERmrA21Pq6Uyq/QoxiJ1D1WbqmvcemYiJ+7hxVH4hFpEcWqSkWcG9hF1I
Wc49KtNkylcL1alc5SdnxqhMDXNuwuY6XiUqc5AY9ibtKrWbVb7qfQ1AhdsZ9JJdGLYHscpdUNBu
9VUAc1DCyPGTjpVAkFaRLNYibauvwlkrBiQ0m6FeFZSdn60CW5CO2qZR5VlHe5t7+jWribxEFkiv
OCLUVairDbCNsmUhDL7AybeBKPnhKu2FnYorGbUvVHDXlXG1q9Xk2KbiHkvNm7aKhPkM0ZsBUDJE
jlfq5LAqOGq0BNUe1rTu2iiN1HQtn1+9cwzw82mgFep1ZXbFHWQSfnCDMywtrxaz+QoQpDzog3LN
Bf7mlDSlDUGMY5RqzxgHLhrCHp6Cld+LR+MDRZmDap63bTeh0rUywC1jfckxzpJ30SOcgnaKRtTf
WXrYnnKpHockeakW57TUGovXAIGXo3KuZ+J5rYrI24WBtilT2PhN2152ycLtM9xHYfCljoTcFwYw
PBw+dwECA6Ct/qk2xCGtu5AEHxtNZvTHcrbzrWwLYrvWQxOp0ZG8C8HXZLnjNcczCJYBNlZZ+l1o
N+43DtrQALTTnPXDm5ARVTuwPS0wn9oyYcCw4LBs6YCPrd5P7kRvs4nmmGqwJW69cKY+h2qwml2i
5jqxLZIPRu1NxaxtZZ8/Sn0hId1FoKc4LltEET6gqmAHToJiGqcxd3unH8i1ogEndkQt2x/URaoH
Yq0HasdsZ/N32dQ2NSaPxQ4bbXtNAIFqruZY7up9otgUPYiPSdKxVyvDeriwTcYFk0YjaEbCc8IW
XIgG6I7/wMV+nYTOpmyHByyiJ6vpj6UxX1IB3g0CSWZp812kBIDt84DjOdUuh6l/iMtvuf3oOjf7
mzQcH2U6XbT58twGJpNHML2bvEwe7UE/mpO6n9v2vpOrx6QvAHmUlNZONp1TqhOhNuU2nxlm6M10
ETTGTUrs0J9GzRd6ddT7vtjMbf9pWsFrHGpX8EIvwZte14lgWj20X4LAIsSaLs9ZxJzVrKX0Ybm9
trkgWoT+vaETvy8j8zSxR8kfMq4aeLZz+mj0ibWPTbtgBrWKnVEJiXGVP/89wr8d4euKzb8+ws9l
+z//W4Qf2cefjDPXb/1+jmvY3hEHGbTrhjBUky99P8c1CcvJ5PD8NWOo0Zd+P8hZ7Ee4bl03SkBV
/QbU/t5hssbdYW0N4CUdqO9aGPyDDvP3/SU1gqriqjRAZNC0qr/rLxMpSLQUTnLZ5/5iCSJDO/O/
Aa91yS/y08h0/SnGqt2uKi2KLO/Bj11sTfPAEikruexKzFdeKVXybti/JKs49NRP8BlD1de1swhx
RfVVxN6QJTjBWktu1Sq6yWK5060oxhulIv9rCkvXZJ9hpIxVVw2jw6jnh36IAN87+6rXzuoy3gA7
vKiX8jSxzSFuwqOapOsSMiS6RK2drZiZLQa9NcOEc961CaQkkXe+2KUga7P+Ez2OLrGwieg0Qe+A
3uH7J6E4G2jXgX0cARDvgnESXqeQnkocncd0v5QMW7EiuI1uPsLoE9AYLeNVz5V2A03f2MVqGtl+
hDya+eVcp08lvlhvXo0p+9CBJQQZv+hA/hnyki5unnaiTxmK4EPgXge1Ix8XvSYTVutwQZXFtnZa
OTKTcSskCR4avZV3MxXWZClXki1mF7x+BTxj1Vyn/lSuyfQSu6zdBw0RAB3zi5AxlnozPfZTbctr
fl5rvFpzKNqTPpdkCELM7TQi1nQdaTSpdTg7J6exxXHAS/Ki2pr5hK+SCiqblzsOW/gCskwhQYGL
H5e9jIaA2NnYOg9lSXtnF1CflF5dVxlMEcQEwAN1GM7gmqzh0ul74Xe85+cC5vlbSzM1zdin54nZ
pFPDAtZZzkIAFwdqNoy3y9Cz/oqHqlNqzm04W9qmS6LYk7MT4ULMVXdKTY80lCfq+Enm1nDmoxvo
b4GTNF2he+3qD5yyKT7aSx/5mF2XXddlmls4gXnZRoM+MDVrd7Yx7FksKLxo0tubkLbbl0p+AeaI
sVbL9lvG6GZpHWTUUwzZ2Z51vqkXGuo1yyTuOk0MDyE2wM9SJfCUpJ49TvZniVvfylsvDWrtXlUQ
Rexuq+hl6jsKRA9ODlpiFnLa1Xvbdh9F3HzMyfxYs1OmMYajw1otHiCUpMuOs+hilgPyabeH3nZe
qL7CZviiWv1FnSvbjFPHQAFu+vlrwXaFsPwKclnzRjtj5ch6XqbW8GLZOBcX22QOlrbY5Md18dpy
JoKLSUm/sIkPj336UvHxgd6lXpXCp7JHzJH7Xl2AOrQ+W9koadUa0T/EXd8W6iGxiAXCcfUsIa75
HW8tzj5vipfQQ9RvXXNQ4wugDsgcgX7TZUV7AXH4FOoTFzMO96zGII3llassn08ON5GKC0h3Gm+S
8iwr44xf+ElZOje1xF2vhzdFXZ0F/z/ozjnvh5vIiY+ZXvlMn2Oo1RPzUSr2JMK20IMjX2eUl6mS
vpap9soK0CMLT05lJo9Jr93gI/BAb3plll2AmiApUc+nRYg9mH62nwEeqVOxR5TwWN9BbJRie17G
oyyX+VAvFFSdLMFDoGQoESS4OcSkb01Guqudahe0mnK7zEq9/eFIuv41DPXTqoFv+uD/h6QslSfv
CmFHk5SM0Pj3z0/eaNbydrYzuD51qq/VAXndgYB4ng/ZucsRPgQrisMSy0NeLR9aVbc3dZ2q95I0
BZ3CdNtj5CZP46WOeFKnbseG4k+gqSGYGfJ4YYLVw2YLc7lwTWercSCwWndMJKDpetA9Ibv9UJZf
GrH0bpy0jzqEEX/QOsPVALBsssIFYNdOB61iaNQFxU5Lmp1uDtcZDhqqnPc5y+96kRwBBuOmz451
r59FVZ7ZPUjuGDua187xXp+w2LcDyheS6TYiwI6HUHit2t6ac6+5VWQf1cjhvjZC9Rx0ENCSZnpg
Nwp9kt3XXAv6lclWEbe27dnFnn0xVMtl1CaHdIRcOCKIxUTYgxXC1ssGMsTK6MaobYXVGawO2wwK
WLwsTsGGt+dcazb8LRfOtRY2R3OVJtktwIEQdXXIPJuZB+KRCt6F1sxoB1JMToE5IHlg1QqN6RQT
MBMnwOSrm6WicVm20JPf01rdaVVubUyNqdzs5YbtMkHYjzyHjLZ8Lx1xVmuySqGjvAeavWxg1W7s
nohlmuXaQanWZ1l3joX9rKvZVlUZ70glfZlzXXOZWaW+GYVXLBLSvG+ebbNKsGiA738sDSxOcVw3
MKvG/PD3l+rvh6hcqDZ9lhSI8Cz+cH5XIiQLBp5mYFtAwGpNIznSGfyqNf0lK59Z8A9FCC/JhjOs
SdIh+Cel1LCc/ViEsCKgYPlxGF5mDJAU+woAyj6ubpuRKBfpDmzrrGP1//630n6nk/zxp66/9w8C
fl+lXWUSsrtQ54LWEKs2YMM7TsXnELTjutIocTtpPdmBcRgg/DFCIy6dQbhzVT0uXdYNP5eKOMcd
DAjEVVZnjdoXGbHaMVeTB9bsjF6YMpjLzBc7ALauZYYNzxJ1xO8XUfiyUmBGVIN02aw8H3po1V/K
Ium25sJ+yjiOv2Zcqz5c9cjjCTx7ayPj4iy/681155UCBycc9AO21uto7t4T4ew5lO7Rz7d2O9LX
WCTs1UjxE5UKBV242M1Lr7p1bpssjLWijYinWz0qGNHFkCSNEJ+/Q0ywHT7rdkRJqOJDYyrklM37
aUmeTDU9Wl2JuJ9SrMUBskPSxdjCeuuQLslJJ89czAGTy0xVOWBSnrLq07CSiOIkv5BQJYpm9LHd
cgWrftqFMN2NyiuTXG6qJSGVnwUXFRp/aIm9VuJNluF0F9lsN5wq5b7v0ooJJQakRXQ7BpmgBfvy
zQ7ri0bNb+oKmCWTW1YRISUPygY9mRQ1y18rTXso5mhP+nDyhqa/rGzOyIQoScPiI1mrPalrqAmW
uQsr8yzGzP0vl9t/u8bXQvyHq200KTH0hauN8M11eKls2fr0OO6WAyvCzkxyIvcrQ1PrqF0Ur+Pp
7384y8b/7AZbvRhsARJYOH/+4VoVyYKsjHJRecA3z7pbbXsmSiflSWzBLz5cKe75afCTdjO88Y/s
Ekf35hhvg0tSBfl/+dv83Nj8et8Z2DFwa9q0UdbvTBmzOkIvYv/zZYT8Y5C2VJ+aYf/3v/HPz6w/
/gzU2x/f7YX9bUoUZRGH60fY7J355u9f/09/BwRdIYAXskLld59mPtmLokL+vyyV65qhdGNRc/76
hPo3c6Hyaf11+87SkL59+xMFnu/63rnDBxKORdlk6iyrIWL+/527ThO+1lSCiso0HZ1P5nvn7qzo
Zr6EPG7RW4ufJPg1IYEKAHt8lef/me9IrB//j7UddbKqSW5pRAQUnG9d9w83+zQGIUD+wLxKl0rM
LBxnhPZliIwuuAL2boCNVVgusmfUBaqhj+7mlS3LFKrCrtpDTQ4I8LB7J/V7p6OUt3J1r47MieXK
qu2B1hLkA3cFxnap4dnmBsuZSJARCg9h3QK9TVb47UrBrVYe7iChrMuVkRs7gIWIWwRUVhB0KU0G
P1qpupHdnfqVs6uJ+GnQ7JsYAK+9knjLySsGoGQ1yZFhZfWmQHsXhLcSiC/GS2sTr1xffSX8Oivr
Nwb66yTNjW0DcuuBmaC46dcgieEKr6xgnCMFSaasZKtJ/UkX8gbatnNzhdZy/hgniMOzRSG6Moiz
vLiYdPOpKuhV0EOqvdmyywZHd+WmFcuNjRKD9yIdlkkP08lY4sTXgR73Mtj2LM7UgCFrAP9a4Mit
waJvYMkAXgZgKgxtm8H46KBbpCMCI+l/YE3nAvrFYo24pEKa8EjQo0DIQNIovCyr9jnsjKlM7jNY
Gl1X3FSNeopgbMByZyOAld9gpHH7FcOhTnFT7DpFk1tpV0fNyr8wYqSaEcFZHRyYb3HhmiBubPaF
682NNoEAeqXegfDXGmVY3NAwzRXbUsFuhGqqPs9L4hD1HtKv6DnwYhqofnr/1WmjLfto2fwu+TJL
JD+w4rYUjJODqMIgdY4uzSKQPo519jd20SfEUFwvcn6xVee+W6YbbdBeDUwvarm8xEPiuLbVGr4I
zfdYn46jGs6v6wh1E3cVe5MMjOgrj8BSEX2t5oblBXvRSOXci/p+jvm1qoyyPQzlVTAR8CU7iogK
ZDRi7aeV2o7f0ZfsFwEEtTRZxdE9Dh17GPKKkWjGXpA0dIydpZDlY0fAVOGJaPKhcZUy+hqm9YIq
MS9bOTJWSuZwpyvtSwyRvOS2AcwNS5K9KCBz2gVtneiPxs6BaTQDCnXleg6U54aQpl0ZGuiV5MFi
IsxWFV0wW0HZZk0TWwT2mUgFM4vyWFgrc5idL31NJx/Z6WcbdVdVbr4NLcyfDFU9nZNLWr1TZRDT
xkZ+KsaM7tcwBtZ/g72J6ELxlI27GpTnposwzepO9saB/LKI0s8z66C24YuRGtXdgkeJWkDSsOnW
g1Ciu4lBmeqMz3Vkxocqcg7LVJ+YM1cnIOLPNnghVprdKbZ9iAx5pTjtTaTaHwAdL/O8IbXItbnY
80IFVPQecdPbgaRhCiYxhDLYJJHjpxPtDXeP/doO7SFii/xtIIeIlUzZFgTWye5gv357ov97tK2z
4L8+2s5vbftR/PFoW7/r+9EG24WADdYiRGYMsOuc+LsozalnrH8sYdv9J0jzn6PN1H7huDFQnnE2
WSyvo975Lkrjtl1ZeiozVJXuitrwH4jS2kpy/vloo1NjTaNFP8WORO6Hnysruo91mmGPV/NotAAV
hgAHZL+aIcM5ZhqsB6dugc3tz8kwpI8AmxQIySo200O1xKsBnMDyuZ2dcfGTSe+AEI9VgTTLHhjb
+jrZo1iJudz53L2sT6XfbvaTrYXOp6PmWnfHRKdttqTMzcAL8NJDsKzK1cbHrEhhEbod6gte/nTE
yLOUmsn6tD6cND/Xw2bxzXV99CaQNB0dPtZdr6ZS7pqBlu8h0xRQK4JAQaxr5P8K2+wQkSD1Mo7r
k8/RkNM2RD9RkaiSvPPJb6rsg53WJScy+xLzLGfGNWoY+at58JWssXH8w3ZwAOBt1FwhAGA11pfB
wsCy0OTtOlzF0caqQ3NnzdGnPSpA1wr5mRSZCfKeHKEAQ7+rFLgrytA3SIHleIrCqj1JiGSbMM6J
nHSkRbJGKb7gCkghRXSsEMmh4DHwVVQAF6yJhrim7klMcFsHY/GmyWwhOV6Gx4ptWaACUNxZe+3s
ZFV8pGKxdkYGxq6KBnOHtyj2VeR2sL2M7k2rz67Zb9u68NyQpgaCknU9IrfC+Aml8RG1Srm3GpTx
fqXJ5djD/KYMIbTZypcqZUZpL1nvak4pdxHMPzEGcAWZS29EngzwrJsQEENHbgcCSstgTE0AcUQJ
+wUWrLqUHcd0HAjUJ6qn46sATTHON44TWLvRgZnS9pG1QQZJEVRNuRl7bLnFgj8hl8ZzVkBvCGuw
fTR+aDwjoiVEb7AJFQjfntWjOy2z65twhhQ6hWN3I2KOOqgLteYuLHgg0KEDr1adyW8xJcDBnyp/
0gTD2ZyhYjAV6V6DYrCWYfn+38fmt4GeSn/1149NEk1d8/Y/7Hjr/qwv4Hu/Pzx5QoKLQkpyflvB
8tvDU//F5Nn43WPzYx5B/qKpoOkdNB7GbD/1BRDqNag7jm7/atv5Z32B+se+gLkgoWMUNRIR3wKU
P7alTi6QElEmrrIhZi2h22AdP3LfmWxQZosjS5LzBzDQuFgm5SwL0j6JhXw5JrYXFdzK0Cfup7A7
pXK6G9TpPAe4WNBP0T1HZF0WnbHRr3sc8/lS5MYBdgHhoAD//Bofniaqnt52JzLd8UK6KYfMSKfC
+Ew4064xjE9DhqDb27rYqHEKtSA2dL9JlZoK29z2SQJWKAN4RMX5MtsMuNvMnH3YebmnNtW9CQWK
tIGiY+UOkVAX1Z1H8CBApt2mCJ4yR/M6HQm3WTkX8fjFhg6VBDWQYU18Zaweu4MdP9v1xCIMYR+M
Ca9nzeOTHXnPNo9BKaplXSq/jSjlQCDle91m2/VQyn075TmE46Fhtdz0ZS6DL3k3XallVFNxdi8x
RH43N9Ndmk7MgMJiq03ropgBGJ8Mq/dQNUEVasVzxQoK4mJwDIO++7ADfbkErf0WV1Zwot9iSaeF
dxFUo68UUrvVW9F4Jise3ZhZMl6GydmNY3rSrHogjEQqlGdK0yEzD+5iipgYlSi3rNJhnw4bH30m
h+zAcRaC2zpTlVmVk5dS624lLhsvyJTZ7UDd4kNJI1CirKGc1TjwC7WNT+Txsp10xg7NclgecVhF
XqmuOKE2Y9hk54T5xzR9KRu8EAAY7WfSe/lt22j1dWTr8UFqzXSunYBM2ZyVR90mMrJRTDM5c0RU
62bB6dw3C9y0JVeDL5OMFckqLKUGZK7epKWj+RETmgd15o3fBSD1X4GJhZ+mJMeX05pvxm7ufQ5Y
Fwm7Zq5GsHWAKITDl519rX7BNI93ffTrMTy3Rf2itq3jKnV/2UTFuA+CbtoKwghkxUrGwhb1NU/b
S7PTu23N8DARTQeJxTmxkjJERI85sw2Au8CiQc2Z8IJKTcbgYtcpSE8IkJDGnTAKtoZiCbooiTWd
QKYOjw6LLQ82wgRFhIqTVBZAEZTmc9IDZc/eQ+ZYc/zrgth/a+C1ZPzrh/lL/+VPHuLr9/zwEFch
NGPvZwM5xebPFTBYQepbpMz/UDP+X9yxDQc3h1DZGPJNwfmtAsbLwQoRHrsqkCzK5H9UARsrIeTn
ChjJSRDoYvMwAwttLd5/fIhnHf3jVE7qFZtenwOnsHY226pOUF9JaEqturFwr+3xgrNpJw0YMWFV
dzvWaDWrdWlcN2vF7As+Nw3OXvPb3q3R3g340zI5VRfNorjVoFL+ya/aQPBXz8c9gwMWc9rjwQkk
GeSKFGsc7vo2yDaFw1IHMZoPY9HszTgq7pnX92y5qL7aJJdLdlg1mrmuejLiDUr512xeVxq0ZvF/
7J3HkuTI0W5f5be7x1hABYDF3QBIWZVZWm5gXQpaazz9Pei5PZxucvjb7GdBM9LYpTMRHu6fn8PC
wLifOBe8cCmj4oa8CyM+w7hWdGxJcuSePooAXLwSkEtuAIlmNRfo7hsF9XuQQ7bXZrLL4VzVB7tw
chahlFu2w7Nrh0y4m8uIvSy9MQlDWZYfxBDQQpKYkOVmwIoAXBtH/2hjCaGnPtsdBWAVpc+xpt93
pVP5SqJ9VimecSAdDw0rD3HdHnoEsmCJ1X1QOx9CQGpKomifOtMNIt9TKzUIQ+FFsjj3pCEs11zI
gzWauK8sWE4Lf4QuwmKVgQamY2V+m/t28oDZPgPFTddxh8oMQPqjIa7tzFAB6sc3MYk8V8lH8unz
LBpvZjOI4+4o2BSykY8O6+qQnrS3vaQTPJlM+Og/t57FplEiSaFaVeZbC9mVWlHoixR4z4l3dFkL
8R+xEVBfCNTOyqLOCnIUgyRowubFKQRYrdUD7LEVw6z0KXzK2Hx3Vr51PWtfWWniPGq+068TzTnD
eAIKUDTghVO2kTsTyl+RFdURdcMVbrHKE0C1x5WuDXudc2cuv/KVvN2q5bFvtHOFdNPr9QUKX8we
BqMVGgOmskvY2kVc079KoN4An1FX945Xr4OjZY16tiG/3Ay0J0qu5dHi0qYG5Rv0lF1PC/doFMqN
uoLEo3nTMwJCD2qzGkzsUXSNfpDMbiuZH6fO3BhgyWc1vTJ0Mo5O5kgXD/mTAGFuEtPZdyvVPAJv
3nT4Z1uA50EF+VyxKTzqel0qFuI2B48uxnhXp8ltDDZd9tnLKJo3c+Wpq6na+jOIdbtJe7+RI5BE
8Ovo7wTLzsqRG4uxkyujvV9p7UW4zmzVd+KTcNwBulc6089BrbZVu7Cl0y01ruPhkAYUO0MhQBsg
u1w9bnIloReSgGapVc+cOScH6ZtE/pasFjgbHVwnxi2I7txVVlMcN7vSS5OeRA0WuXn1yRWz+dGN
JmELEpQ5yrk6aDSg6VjogBxCFW9fbfR0OSugaro8qkp7w/fHqtG6SIPQDuYBWAYUd+EyjL6D9M5e
7Xf9Im5bR3+dVy9eaKw9ydWVB0tROQBdaej3xpdDWt9Ry31GCPbs1bRHz4shnbH694LVxEeCxdzn
YK2aABpqsvr6csR9iYAFZqM89Gq1XSjd8Pvlq+lvtsEvgzu7SsrVHLb6AAMkdlyyoG9rjAsDU7zb
qz3wn0vT7ylIxuR/fc5efDb/qdPEx/w4Z9f4oyqZhSAy+N2J8K9OEyqFFT1lklBZT9M/DVHM7xlH
w6Fls57ATEr+OGcNJi+ctILVO0mGSf9bkgWL7+znY9aRNgvgDmUjWRmCkD8fs5ZahQJ9ZHe2eD4T
7CUoSJiHTJxVG87OGuxvbRCO23oF2DMOSXjz5q3dzw6wIC15oYXTIyUPyh7bEjaY3Ev6ZBSbSjF7
i9h504zXxVidKz2N75Vm1Bw30hdrm7RLe2NnUfKKSmu5wd8b7ioRaOom5DVLi7gos9jXjAUcfN22
aBIJI/YInZQ80TcqIvn2BZFsQhR9yhYN74reyzZGncmeoHpk728p78JlThVGKkGi4WYJGxLxWOlj
qwh309BJn52EZMf7sYY1GKi7IZXqZpxQtUNFxVzDApHKmTfLZaO3/QyQVXOWaZP1uqxPlbW2wYjx
Ke0BBZU89XMblX6llfIulrJZ1zYq9uDRCRNXidLuLtWzxtkwfcquJk1G2q62+N9zSKR8GQ2HG2Yd
pglHW1RahxpEpvinHaz+3tf4r6Ww/5n9z5nb3yfvyaKLu/nw8X//z78+8Mf7VNN/4/4LP4lmMD0D
mznoH00NA6+JBlbJ+IGK+zHsNLTfcMoyCIUEbjhifTP+eJ/SLCa4vKaK191Vi7D+3+kI02356W2K
8ZZm8Pdy3dENY92T+nM13AV90mZLoV0XsO9FGhMUTj19mH9/ifxlROjXpDI/CQ+DtXsDYkp3NNP6
5QspjMBQQaTjNU+f9NCFwjY25tIf8xiNcglYmCikBeC+K6+cub+s0+rB0ihaK9ZCvDGHL5M2anox
NDiPuE4KT587mqom8FJkX89jW6HLsyP6yOvJHbXZHcWn7WlVdl0KMi6qVeBSq7WafcyB9gb6DQpR
+6LOqVSwt3gF5x2bqHKv62mxDeSwpY+OEQvQHMTriYmU8QSx+eQYeNf4MZ8jA37CMJl3NP1vlXw6
K4p57mLqR8oXNult59A4w3kM8pDrtPrA1CdzRTjgBFxnSv3Q3WAT345G/+TYlIqh9Rrm80uzwo3S
HkdgNsfXZhNcSEzZW4CDe+kEza6NWEnWm+aB/eV9bBuAl9l750b2VkCW2A452FE5AKbLyokqvF9F
HOBltmq3vKqkE2lkJFeGTY9izkxWkHW/lulrb6kPTYsYcMp7l1zzrVX3Oxpre3hGitvReuAb5QYS
dizJRpqJFq7KvLwj62M5r04HVwiBVV/TsGl7I3V5Qfg2E3v+fskutfove4bwJKR5og/OxKxANlMz
d1at+ayNeOZnBt1jpMZbqJ7XaN2TLaG43ZIbpzAMQrdTjZ0z8LuNRnrxisSsWNXOK9040iHpbVks
s68v7WMsWQkKUXy7iCHv2rE/qGY6kOcV7wJeshuO82MWx+Zu0pcrbaIr3kYJ/PGl+VAz7UMbM+bJ
k7ovM+dAcxrmK1xUrDw3eWr71Hjy0tKJMsqseF+S6jmy2sjLZXnPWDcBy2Cl+7HXd5Y1ehoLsEg3
kI3zEiP/xArshjB8/Y1CO2y2i61gpTPlRKEuphRb1aw16O2NsS58YY1b1R5XdGwzHYn4EwabURwG
0HwM/WMUziE21e2wlGyWz2k1PKamvnpARlUsLsALprUsiPtpQrIYOhEX0XO3oqvs+hvhhFs1VT5t
hz9TzcCx5NWI+WWgNdl2LDWNfjmCv1dyE4fNOFzaDbN+hWYjljikG0RBD1kfji8ysdrNFFanMOaa
2bLzyyKYGxntZUUCe+ja/Th2z0vARuEEeHlIxHXSlKdU8pbVi5QYqolmVzksWWTQkouiDSx05EpD
/CHHGV7KmOjk/tXbqJO7qew+U2ILgEXwoMjqGcEfm4eHyGgu0o6Im7S+TYl4Xcw59RgItGxrv2bG
HVJNjDT9sSpXKSNj84LoPNlMhENGB+pI34wIDAZN3zZqxPh9qYadbhHiEypOpHAwXgtcbd1Ujn6g
NA2UxopbUXE1l+NLUxK2imfjseuEfWLIY9T3a6cwtA1YKixJq9n/9hj9uXmxPkU5LlYzBIg+AjRr
+fbnxzWzM90IZjlfjxgUXWMXHKe78gSrxFW+FU/VJj2w6ecGF4zWKep3+uFPNej1v8ee197Iv4Ix
///LI4jVKQ81ExvLz1+ezQFiebJfrgfrWxUcHNG5zvSKK8L9+19HEyqFI6pTg6zPz1/H6Tiz4mlY
rtX4MqKdnGWfTngY+/Z/+To/n36//zz8PjkDVYGPY40U/fnXWcNNM3uVIJs0LxoJohOSlvH0338W
4z/9zf78w/zyRfpIiFYD3nk9bNtH1hk3w1582P66L3rKeY25t7RSXByX+4ez7WfueTjF28d2E2xu
kuPo7ulzX3Y+/9Avt/xn8/jfvz9t/WX++kc1NMJwOmtEQCB/+f6yflnIqAj1mvnfObghUHhSn8Kj
Bo7N6/3ZPb6ou8k719txb5pefkFq54ZY4Rbg6j93vd/rwfWN8td3vfvP6Fv+n7qqfNQfVSRVH6Ue
6+BrdODnXIH+myAgoPHyZXmdIu6PyBxKPe6AXPQIDljfrTF/VJE6uQLqMYtW7Y8M3t/IFVDQ/vQi
AsyCRY9QAV+LbTeYIuvo7E+RuSKzdZHxbVwNDMtb+gk6IEyxT1bhVY/5SsUz75kM490AT9W06rHK
VZSlYszqCBV5FelXpvPzPYPoetcnCMMLFTMbgoZNgnuLbRVMNEu3GrmkLHvF1/F0taC0b8HRjTvZ
yADGwiwPCYtjstZ0r7KG5mRqRg8OXmN11lLfkIF+CUZD+2osMK+vrjBZko+Jpx5DynRjrUIxcsiI
kVIkYyJDu9HYkkjDqiALoYK7s0PMLue7sqd0m4S9sldXdVmyBgVsbGZqoU293w7gyboiGfaSe64b
rgK0Tk8Zc6xStECj2TatorRuVaZZaqZis5huljhjVYFwIl8lbtxFd1b8qV37jj7CxwpovkSgjbR9
11AksmAFzVOvL2QY8DDp4C4T57gtWRPB9HkxKHShG6mvVl887AvFFftJzcamSvOaSAYbYSsruP3O
aZp9FQn7YNbLdTOmlFLSecLp8l425bnmdo+8Jjoyar02u+A+HDjSRxpNQ+p8NRWE4N45EbQCftIq
lHSFYe2qrHxOxuwoi/hlSrqWjpjyNYV2hM3C2cbZ8GoWzmdVWPVBNSLMN0Vnc67za6GFR0iceuAy
jsnxpUCbX2EpXttz8pgK0iUAjNftFjrLCuOzTU7tR2u4fZIDAEE5eSUo2E0aYmGYwzgizFazYOGk
21xQ7062xBItpvty1cRlGvjLeGDxvVhIFdLtZVfJ6K+rFqMERViyocn/blTd84AxJoeqtg109aMK
UpQd2IKOBctYgWLr27Cwhq2c9ABOLOSDlJcr4RQW6URg5Ew11dr0WVc4KOw77kKbBXrdLnkjlPbX
zHjYSNs3vVrlrUQaNmoCoZK2wxdzPMl3u04IbFF5VZFm23ixXBkFjsstny4uum43mFhZH8po8QNI
3PrKJUJQtAsH6fiE0a70IdhrZkHXvriSqX1QlHjbs3iQ+8F4cvicrdHdVfVIY3m2rtNcPllOjrMQ
l86oJ7MfJNMuVak/6/izLbpnK4sEiJSO5mtSOZsW4YBXOuBgugR2TVqdNK3ftTg02rBnsT5kH6rK
UXe0XqwB/c6GvdGPEOsA2LnNNF3lmbYcbZG9RG18NmXFRoIYrUNSW5eak5+JLe4yRWdnnc1Tr0xT
si+SraEwUm2cwmp86JP4UutjxDjVS6YyobHHFuyKGjwYlvmE/fxKo1O+ixh6+hM2SM+MGBg3Bdq4
KCRzo/TdLsR/SawWwaYy57ejDJ4WpkNuXVF1LDjrlo6PC/Ns4g6U+ZS4h2BpPutCNzbasvJFuSwJ
MDJeNLPY6vBr9YYuegKYetONq10y7ufVeWf46dDIPetGX1zML4wY03CE23PK4PRkRe2LPH5ZpH4f
ILL3mqC0vLpjDJEm6i1rNi8qwRQ31IsbTUFwqS42nLN+1y3K7NaFHWy0drhpon4XFNr9ELXQ4JSQ
GYZ9RIuEUcvKbzJuGJMVK8dozB5is+O+0REumG38i2uUhgivl9QZesViTDcZy3/+IqLTUoywfjAj
YevIvsIluK+RrLuzCjsOJGy1m6Lko6nMq7CEESDscfENS9PoohviYmR0tO9QsVtrZGepac1xv9so
Q0cS2AnvJj3e9Jqyd0CyO04+bI2qOZIRjzgFYCUzHZh3+igZYskSXkg+P+dg3WgjfCNBHe8mLeo9
exzOss8fmKdfEs3kQ3EnG4OxhT6BX8++iKsGeGDQ7RdeRDBNiGmbhtjNlvq+qNXJDHlmTw4Ie+h1
tdp8dkl86ibgjlO4sWLene0MwV5XX0q7AMkBdJGo+Aai0N7qeJrCmTdWvDlXMJ7cFds5me2baZFx
u7Xuqz4+0dn/TDselLEuV6SAtefNDVZgiU+qzixjap2rxlkIxRrjY8brlr1fA3jJSCBpRa7wRrtp
zIGcqrWUO/ZyvnF2Npsyjpj8R3PJJVzHb2Yr9k6BSrxr2uY5TtU7s+gz3D7Og2p1L0kKeQ/EO5uy
hL6h5lck6iZ8Mpr9BkmSKAmuZr6/N0wnQJDYrmwBHWEWgW2EKH45s6Ro+qtzmjPvNBr8fyPeyc5B
ENWR89Urpdw4ef+BgxHEi1V/6FFxlSRO6wXwILxuCE5qJRmehnO0xds2+OHUGcCmWTznXVaD1DfP
kSV4l+F3QK6I+agP96TK2SDmOakQXRmV4m4ukbDHSvKaWtU7mW8PXiiL40G6o47gbxAMdyr6Ea8e
auu4KNah6tik5iEO0o3SCOTKMiOvVtsrZzHIP+ZfKYuTHotfV5PFaBap1aXQ49xzuuoLBRXUNcN5
GUtF3Sg1i4Iws76lkWm6Vag8i7oPbhq7OPE0b53gZAzRLooNUyHuHNlA9FOnPrPjWkbM/GLB/hUa
pQFJgurU0T/I29/r6HUd5K/r6NNn8/758e/d2PWj/qijgT8xFsEj/Qd78I9urPqbZrAr6ZgkvEjl
UOL+SCcwavlFsPijG6vL3+hq6taqAzEI/kLD/Rt1tKb9fMNeGfiGJTWD0Pc6OWHd5ec6Wle0Ue3q
NL1ShdE1R6eLK0GFkhvKE3v/FuWObDCW9XVS36hAMXv4DIyr99PhIALc0sXKgtYIrNuP0cwQo4qH
e/rPzYWYeOk9B6v1XnZFirnM0Ly8Da7mlM6VSR52X2kms8Qxvy3T+WpSssF1LO0b2lIT+1R6UYnl
upC0sqygeZyAHVRmueChw6chxg8JWo/7M59AX6p9OJnbARvhHvzTTRcmYBMbDSFYLunkCbmpxi6l
IZpfK4YOBlrM7JYDT7LL4IZeL+f/zPJJCATWnRp7P0jivHlKpIiAgEHiwR1LkkkQpHmqlfWwcVgc
31d6DqkA5AJIoEBu8jp67qH6+IVZ8URIIdEslQDOw5a42ys6ad5RdtE+oj6HLwPjQXc1i1N0ypRs
T7CLboqRmLtWVbMLURfhrdVZE1Umg6zSgt/KuWNexTYnHCWIeiZFdawnQ7uOirL0i3ZmObhmzbFh
N3sblTnbLkPOl9YS+ylw6m5PPnDx54h46jyoHAJr2uSYqA2c9L7TL+yqAWuXO3Mb8j0UdXw0LEXC
6kpbJd1q1E/DbKXqm1rrht/TFbPqJDlFkHf6wIZJmZJzK8gXGuGyFWy2GImDd22aS3jqTfqZlf1T
3aaXpRChj+1ul3WcicwGT8CGTy2YBPYmYt9EYDZFxbHSmhdNSS+TEdxFrWHEDKNx00U21XF9Te/6
XOQTa0BRZ6XXZjLHMMBhyyfn3IyS5UTqnZIgHTdplbBBZcDYSufo0Ofg6qeAnMIEQ3STL+H7MtH2
DCD9uJXDGL8k9+CaTgE+sDHfwd8365GdekTPW1+Ppk0PkJmE2ANHyOTPXWH68YCMABgUsEMYE50c
c98WZrlXQiYNAvbvFPMvEz5vpDoba67oyYiVSmQ6qcd9Ek1YFA++mMTZMhk5po2J7rqC2CBEdyHp
S3mdmWmbOGvZ7ci1VzmpZDbm8m60gJ478witsWgtuILU8zF7J/guHLe1rM88CD+yEpsi7y6vS2ZW
5ZXkujcLeMj4eFTRW17fzvmmVNdBXzk6W5uXvlCN0C8EqQk/MLuQscd3k2ScoKI4Fm1X3n9/bP6T
bVsbiX99fmyy//HLBoDgvx8h6wf+OEJY8Vi7KYJWCxMMzWaS9acjRKWVhvpJw+/7vUvz4whxaNJY
BhNADZY5Az+6bD9WPOzf6OvyyDcZvmPgEH+LOwTH8NdWjM3noUMsqEQtQtO/9PPqMABQow4ABI3y
cVwJYgMoMYURpGslbXOtLCtnjKHFs8nNFto2PtnOQrlq51x+WmUojks492660Cvn+vqEL8HyGxbO
vErVqBONjst0vFA8N0HjdUZfburAYQG9hYyWgEhDWElyebIjEsvWgwNGje5+sZULaDwLxBqN2XDf
AF3r4ukpGNmZGpLqrikj0HVK7OxVEb4XINsmXVwoeX8uRUTsZaW6iSZRwYrijatAvmXEhAj6g4IA
Bodq4yXotGMn2a6IiOMJbjPbsMbQCCYalgZQOUkaet91nIvNZM7UntOnLOUnuYjER15P2wY8nTPp
z4VW8szrM8y2IOy0IbqJVqYd3+a7U3A1NvGc64PlsXFSlo8Te2wbWsBckvEwmUiXcJHD/shu8gBm
9WLmnzJTN9MqaCqzagch/AMEKZfMNNwTbbbdfDBpGuCU85NYkZtema6saNQxRGqPMTqoYfVCsW9U
uqFqU5RXWKMS9FFQeg667F7z1StV6xim8MJeLatzyhbzo50lo309teRzq25i/SJjNOFcRkr1BY5n
TfYNyaZNwJNj5YN7u2TTLo9Zy6/jxDlU9Rzd6Kn2gHUc3tx6JGs2my9hqr8swnKrnGtuf9/LLDyz
TFkdF5GTPIiUdE9psBkTcasi8WDYY/Mww+bipiJ+XC0v0LB629WBfPh6aBEclNXkY+pljKGU16BP
Aldy7BEtubcUzrAxgdLYM6DO5NHoC37FZNbpSjxVZvxh6flloCQEE9WaPaSmA06r9N8M+Cxs8Okv
mFZfGXMiJQut3ewYnCxRstcEjhgLYC9kKaBAOjf9xd7OUIWA9kOKTC9lYJ3UnjUke57vwD58wcvn
itzb0pXmjIs+JcQG6/5dlcozjC70NtNtFnWX86Dcow567RhbMKx1gNcpF/XUnIUePExFcjGPdDfr
QHsMc5Yxoya4DybrgvMAhKIWGlvYt5jmbedcaIizrfFBCrDLWZjB1VcYbVqxeGsN53ZsknNYNVst
WBmb1nA1qsatPvOz5AQfm1Y9SBuTtg2yH7plL8cL4jNv4dw9rmPjsDDPg2FeRfGy15vcrdiIJ3w+
P5s9O1VJqCAjiFmv5TGHgK1WWBxYi4dgggVDnOe5afOj7gynVNcO+Gsf+yKy+X0E+uo/PFScmh4v
WOFWSnbbxvob9Zmzt9KMvqaEOtaRt8Fcb2+CjmQd6xQc9g7LuwaWoaTKkwM5F29q4R9q9DnWJy5P
KZXOHgSbsmcSrNWd2PbDfBOKmTVRtlkFvwKeSTf6LE9J77yTc1o3SeUDlfZJN2qabj2N54Ej3y/X
R1xDy2wIxZ3mFNvMivD8VC0Gzro8OqqZ7XO6g2rWITvKO2AwvN76JbyjMn+zchaKwTKd0iECgR0q
Csmj7JYaEo53mKrerFlvWmylG5XWuGvIajPr4JnzWMOdbs/bNO6/mm4J7pJ6oUHbqPdFPBRuz/72
exUpZ1kOw6ZseUbE8dMYDbQFoj3M8K+FUeSmw//kRtwM0pzC1YtbE3ga+YX8KQ8VKzwtGjtYnRzK
DTs1F6bd3Dsr0LBZ0YbLUr6iP3Y2lTHobgf/MBhAG1oQEXFS1t7SN9dGnJ0jmIk67MQJhqK6whSR
Qx+JRNHbxBrQd+YN7MRT74BfkyuKMWF9yobNKBS2JpoV12iOIIxw/9zrkBzjgFUZyI7JinhM8Yvw
3SzPzkp/rOfH3BxvqjG55vXALwFOZA4vEv28AJ5Kg3MQxa5foZKT090VUCZVSTUGddIQ00NB9iuA
RimhbFUOuWib/zKtwEork4zHTSCWKDU1GCaALQuhdS7PWKTG1b6AfdmsEEwrb3nsSNx+coWwr6hM
uodAM6vksKwYTSUdD8V3sOaK2CxW2GazYjfxCvebckVxpgJ00bjiOUEMsdHNavE/VdnvMSsqlL+u
yrYNPeX/VJLxUX+UZEg32Z61yUX9ioJEekeoEd6zkIJ/YTIx/1GSWRgKTJgR4LuIUX2v1n6UZOZv
BLYcsM4WEcp16+Dv3Oqt79Ovf41YudU7bKA5YKVJQjJh1X8Z26d5pjpTF1hnFuqPYVcPxakbtVl6
ST5UFbfFuF929KxbL4/ycHosnQibZukUa18tiV4mvb3Lo3r2oxaQ0dj1O1ZufPIQJEQEmL2SpUe3
dJI3nRsSb1Qz3sxKC8xnMc+qI+nrZ8oLO5W3RZ4+jX2ppjedVUV3aRrvHTwfhRXQWeWdHIpYOTOi
skeXrtmmyZXwBU96dB0EUSyvo4z5gFnYhF4MoAvwBvusK31k06K4l5aibwOeU+OmhePYXdVKG8WP
PQfxAMV4fEo1JyKGnZb7OEqSmSO4OY2JcRx789YMESMHVvEoluy+N+i3l1H1rq1iPRn1bIMtsdfA
BGN78C0qksVtFINmr4Yrb3rso9j0dApCBfO8kvMICFefnFFVKqzCEWBuQdCZOdPajbfJ66QYvsy7
1B5pS1bwKpT4AyTofd4bn8IAYdfm/FJMm+1RnRZmiM9tP/L5EQJV6eush5yTY7wXC1mZeo085Zl9
T7JS25YFKw2F3inulGj7CB9pgardz8f4oEfY7M2cTn8Bss1tWX7AMVFnPDjmo15pN4HW596iR2xB
GdqeHozqaTb8RmeetAMtAsJavfgQjDDsvs09JTADXG3tLi+cb2FUXkjHumh1RjGxrbBetzh3NDGx
6UTtdgqUD9NZtpmYDkhPz2EjK2aFjV81mL3zYt3pCqqvriQhI2NaC72Sv4+RA2xpLp55SXcwDwZr
z0Y1pvHCvDFUxEmA986dmSjUjfDxHeJsGBlcpjK3QaWQHeBEBZbZMEwwB/YpOHQjs3zuE425Udgd
O/6CXdtvaevSwDdpdkhRl5ulYC15oAFVm09q251pgd0nXZl6sWgf8zC6jZgX+pXod2oolQMPbd0d
ouZ2toJ7MYqbpe55i6js383qGHIBh7yF6OC6D5b9jIuZvUTlvamVyBcGjaHZ5JBaVCfzxp6BWGi2
7CkCl1KNeTmWFXn3uZy3Jcoir+oL3QPv17m1MV6aqfqRZfEx7m1An218kknFoA+03Fz26k44WcYA
skbJauS+oSbfGlGN29nprpzGeB6USHi81Qc3mXPpRb3+lc+AI9OqvO2Xyut6C45JTbPNmgD+FcyV
unR40Mal2CsGr07oj2wvZ/FnNmsLh6P1bI7mnUaW7DCUCKayRjtwTdR9NrEuo0FByAfi2BO5YWzH
OrmKQ4nyN73Ns+FMK0chfGdBiU+YhecODZ2i3sqM+8RYjSQEG4xCdSHvR5VlUNGIr0AzXoWevUOn
PdSjzjkfdtwnFO3TaJXHFpaZl+f5Yz522kZz+rt5BjQZy/ylnI0LUyln9FpwPtjosYxJ3uiJXVkA
ZcTszVH9po/wIDUTnuYKYe/N+iSV1c6VcrsalrdG115qaHd7R4ALqRzreukHXFi0o3yjwbEkgZy4
DuhIOM7EqK3uLiq6zLMrkWGOL2e3t9KEZ63+Wknjrss72xsjG3p3H4x+A6UVthi7NEUszgMqxg3p
us9hIZtemFSWiTb4A3O5fZoWDoJkg+FIXxMKENzYRmN8J+KYe2qLIVgEo3mOJxpIQ1tPRE+1iI2O
+nYsKGBmGwGnis0ijYuJv1PMPEuf/Zj2Gf2pqDrRljvMefCaF2DPcsXIN2Q5QnfSebVWTfIurYJb
WJAsG7OANWno814WTX0oK2ObYuv0I5aYtrbNxY/n4bIrkvq1sc1t0Si7cAx2JSX7DcYU5qFlDH23
HVlW6nJnS3cXUg0WghtZaMzsavVQh/olK74oRvPE3nFPhq7PUNoLhnk+Rn2/8hMZiledftTwmHtm
hcsRtkKxj4pieVjGnL/NOCtbE5mqq1DcuyHwQ9fshoOew+pRVRs0jDlchJlzDJzlQokXOncq95sg
XW6aPGDga93ZiiUvl5abXtSjLqX+v6766L7QCICmi5ptK506rI+Uxkv07l3WLGDDy7N3k02QeFbZ
kGYbCHpaFl13MblnVn/8tIyHXVUtFyCeLsHx+2Bqrge2djd6UrPCR4/Cja3m7JjJu13kb1kb0JCw
HK6pUjFxGZiwz+15wx4r8b+FubkQ46Pap9/KVEEdEt+lsPc9Qdptg1aICZBRfWYQdMJcGNtON+A/
xaAu+hgQ6piJlyrm9jX0QBudHhOqKgZ/rJsABmh6UdjwpJIpCR/rKAOhH7xILlP0ldONleVfTd69
mDqT2qg7V99TqV3+Hpias1EdIqJOnj32pU3mGmagqynKzSLYR1QyRpBsSYPcTy8yNrw9gzOVwA4P
MFX9nOx2b/XBpc1MegfL8Aj4yPHrVHETs3jK5+ZMKmVt2+c5rH9UaUFzrFv1wszyD6Wyv8aJ66Ok
g1LUyj5ok09C2Nu2L7tda1WbtuL/Za72KBJxuYQXObzApmde16bfnD55i1oevsRZwElahz6mZ2x2
dui1sjku7cjNLeXPk3NTx4l2MS28nlGvcC3WEMohZ3OJo9/FScg/5gE+5Opl3BC4MfBQeyiP4x2V
2ysV2CGeym1NpUN2WB4XE7tdX8VXsrbdwBmfVJ1PXk0lS/fJRUrXaqfn3bsR4lVA+cKCFfIIK0dU
WjyqOgeewzqIGanstds6q6TxQzMyQq5aEXsKPfMqdi5nbu5kberbnhUWunMmkAoj3/UleyeDttoO
R2RTemW7rH6H2zjgrVMsBK3xG9/lQ82PZhcgwKg7mRTHLLUjLSqM5mDp0XGck68IidA2HG228pJd
uexadkc1gClz4avTJXTS+ygDNMLWeO6xjrBLUP24s0Uhoy9vOiuicgzfbBlfGloPwSkQEX+s+hte
hgFzwsgcuBJDc8Hb5z5cx03c3x5VFjdRsJLWIGu018Nsr5XZYehSf+W23BTfB1iiiCVmVcNUlacI
jC0oaTbomyNToJEcRDwO9rAts0GZb2b+OoUwY8U3AlK84WKNIKid9FiipnCnVOHdpjS7xQm50JfK
VsH25BepMm5jo/T/H3vnsRy3lmXRX+noOSrgzaAnQCbSGzrRTBAURcF7j6/vBamlovLxkfGipzWt
ehQSwMU15+y9tppiFPQ6rL6mhK/GBBPSjb4E6Sa6U6rsplf1wa0V9XsZVfdqaGh2ysZL8MLGpVG4
CQz1uciG8xBa8KOMOSoqbFKHfRciqxierNbP9lIKIywntHzoJHQ2UBGd9ze/O/bmOBFhBAT7spJU
0DjqYmiMY9eEJ6s19jNqws7q6FkCwVNb6p6eNLubvPjK2jKCXkucODPv6jDE+9qKrzS1s9UUiToN
A3Otdu2ZMGtSAQNIWxwlbPY1/UL3sm9Vn2I7DgRHgwrmlrW+V8vkWo6BqTQEU2lp3q+Zd/dWj1x9
1FjstLpet1A3Wd+4IPkiTqwmNTZN5PP1pNM9i+C8sNvFifgUl2RYBqe4AAEBbbUflI1WEaNgmd1R
gAVAibI5pVr0rRgxtJLt5fQjuEVfPEIodZOsO6rySadUJ2DBrCrB33Zifh/3/qYJwsfGaO4KK0eu
DazHBJujGzeo0+mNpMexlJ/CQlpbcGpcJfU302hMG7QDT/zAu2A+2hvsBZdBUwBZSIUnFf/ifTrB
Oc/LaDcgAkKdF+VADaZD36EoKnXpoehE9OPxVQ9dJy5MAjvqhpFgPSZavg+V4D7tqYH+50D/40A/
S6D//kB/8yNB0H6uvj6/G1D7RvVKqwVJKykOkKrAYImYDH+3WsR/oTIlcUlGwYnXkS7Mr3O99i+J
Iz2oFt0yjZ/BEL/O9cq/CFHVRVNR6NrThvlH53qEtW+E0/OpfjZYynTsZeDHujJbIN9oXpVAEiBk
pOoxSJ+m+jgMj28eyztqe1Wau/1/1g0oXKC0VyQTvs1fTFOthzCPlJL22E7aUpaL72OhknAeXWtV
872pJLoyVbgghhkQsZBtZAjCVRktW4OZQBf0nGAcZZUZ1VqoxduIsHG1Lr4JhDtwnNu3WkW7p4l7
ewqSEwxBLd4rXVMqJz8l9toe2B/4PETEcqivXCUfJ4AzorYZaJl/7zXSzBSskjRdQ4O48TD5RnAC
+BI2YUu1llGuiuhiokRIF1asvmAdT91GMnyyb4NyRjv+aGacjILc2MSsHqwK7BgNJtZIVe2Jq+Pg
rsh540oVJ+exyjB/hU84p/eQgBaIxMZ973MyT7J8nWXNtMDJTAx1sgIjCasYado0ZU+C2FP5Vwes
8sKpGUAskjaDbEE1F37R3BiI6QSx2CiYiWJRWGdFu20KMXe0drwaYhD100A5YapwpsXb0jCePanr
qURHZEoIizYOnxtSnejuqraqmWuS0E/CxJ9nPfQB+bGO/S3z/Dottb2aIQKt5O6Q0PjXYURXRblG
6QB4RrW+ROGEMC1Ozkj+8ORPVH5CNoKl3DijEG1VQb0lOAE+2KSgt5vUGxCfuOnrIVi2ZrgZE/Il
tQg1khfpK5SaNdJpfF2qtcQ97/AuZiRg07nQc7bDVDmW2t2rucLBRzvqtf5YN9MpDtXrIPUowXrp
ylC7Q9BXm3zsN/4QsUzjn0qtfk3TaY+T90aXMH40UXLPyv1F8gxQ262bVwAxJ80VhuqJcgGdtsZa
CUr9mHPz8pgOK2GcvsWJsRwNZMgegZnxsKf2a9ptCSWUlED+UbOm3WV4tq8bT3wFbhRGj743iwXq
JnKFtmXYlN/HPFqbc1FIKZ7aSnwUBPGmNuZVmIzdbrAcUUu+TrF3Faf0T4LR3+ODjakbsGqpgnEb
TAhoOT04fugTopWmXy0JjYAAN21pToZ2MIc624ahTrBfwTKo6TeRpT60RQ2gXkZAAIWUryfqb0Qp
2gEQMWlKwNDWaPbYgqRdDyZU1XZskx1dBtSCOgxTKynYd6tggPpaP/oQlQiO1L+IhFUvrNIzv1ZW
w5YO0TVaaGRyfN9EklEZHAXsy2D1w+NQhfq+LHQyyHgUNjUq4KVCHJORmQcLKt+VnbSCuGwmtbaz
xsMfZ3JGsNMWzKWuzaEKst2U1Y5W6KlQi3qTtQPhmQq6bkku6zWV1miJgnoPuI/tTFwQHgBUzhsm
C5OWLNkQzItlTqYiupwwORmJCO+AAuIVOXG+43no8abxS+Upz0ZcrpnfDhE7YceSBIEEZWHvxaR7
oXrXaAVoAzjXPL3JtVbgU6Vodd/G2XXfIVdBQEV2AGRvOXE4VywguxBsV2Q7oySymcot/31/lbWK
j9of2Xg+bv3SWyOKJ8qMFKup2SeRsAq04CAm4n1cdbSAxG1vUdvPhvhJjTxAFCHULNPTd1JD1ILH
JvAr3WXZmZByU0Us+/SWJO7e7UIFb1hOvMBEJSUwp3g5hWF1mMz4qMgFlu76Sip1sokxy+GjzOyp
1xZMeRtZ8tqlT6bbJhm7O10oblOZw0Vqt8mirghGAbSVWsw57bYX9RzP2VxBDAUw7iitx5a+OZcD
+k654pTj96ZMEhvduouCbpWpaGOZ+smCLbmC3Ca3GbAY0q1Fa9uOVbRNIv+YYSlD9qiYmzYmT0fN
jVutzDloqdEsM5KpFo+q55H4Wd7qHjaMTJtm8x6VpDavXa31JXSog9uMpoCjnl0oGTu5k/CHdtVp
7UOF2tWdQUuc4tHKsioFDRvUjFfcF65ipmRnp/mj3hWbrA9xY0ATqfOTOBrbuBzvxCBadiEGibwI
7tpEhtlbWsA0oHPkQlQtci9BfwADgD6l+Ig/gcrWoJYPrU6Rt8jRYyFrJUs7bAtyuJUHeW4VebI2
kJ8mWNjhxM88zX/qLH5AygEcsdUg6M9SJP2iqC+nKV4dP8qOzSygG0DB6/1VX9Xux7sA+f3rwEai
V6Hw2V84p9vGmMAWB9kxJSEFRM4ds9LZTNMnpssKob/FCxiTdTcUbmLG61oOqPfJIEqyHTPVXvPI
ubHiq8Brr/VSXCoopeFS25nvveatjvqMT0CdyEQSfUxKv/d172xg3v3lWAVJslQ1GjToMN9ukLS0
zcPGirNjT/yTP96KEXkB+U+x699ay38gS/+9SeI9WHC68ZTTM+QZMdD/vErdxqgB4rY7Fn4ATEZX
NwrcUIwXJetG12lLT+geBAwpVxmRNqMlbmABqUT8FUxUCgXjKHUDYWqv2kCxbjJWJdDTR0GUEr4S
0iI0mXaDlvvHEKTx4CH96GW+Gz1FcjHO0cWalDzHlBelxA9XU4/IvpYIokpCgpkb5UWoZHeGTDjM
ShzbYHM4eamAf+FgxFLE1ibQSbKRX0MVDysH0HZu4gxGchiJEKYAPAprUeqjgxiguJiGFm6ohP0h
sBAqSKH/xWul9LbsYQZZkr/XUgI1yTRq1lQPkL2zxElo4caIZnQhyicIisj/kbQz3yd7T3xuYQNq
xoZ58dEU8L0YvbQeI/UR9lOwzArcNQV4VgUO7KSy9Rj4zBaG3+aLQUjXqC04MUvDlo78cwwV8QVX
+Yo43JTua3CQc9ThSl26JLFAOZSH65QEd4KoJLjO07Arjfrw8ZiT3h0PfJBY3sDES9jR/hwPniLk
BCdpkEck+Vmx6nSBqTc56kJZ28ynT36toRWhhSXpVGRD9AjMqAeeyoQshaghUiYPDb36fpIPWm4+
KGoWuHWqlW7bivQmNBBCfoi8khKFuRRzFY4hi/qCngNwgUpgP8JEJOJLgipY3qA6HBwpqHNWg5Yw
0GI+G1NcT6eXKtefLaLLgTPh8qhS+U6XR/bOIEGURlrgTCudShMAwfb6Q2Tqm96Tv+nGQDpnzzQA
t1vPhlvPivYGuvsyV26o2TJCKJmP8g0+gUMcBTdlqF2nhrXSx+bBpGZBfzAXl3rZshdEO1u3PUHU
M9JWIfgKVAorhy48C4wJp7CUR0kRHqSgKxdlg1saWT62c2GwhSGno1atRDHaAMVcykRGsRrhZCLe
wzT7nUFsaY8MjWUe/HbS3CrgWixzgMA6Piu9+FIq1XNm6Eu0NIeYwKq4i095MOyNTHf7XKV4HaKM
yAxHtsKruBDizWhOaCLGpZ540MbZ0IBA4FzCx9gJ1lVfNt+Jc/ZsYxQdlfz1BkSwo9fBQqboCwhu
r9ekxCklb0kCzYsw1iEVtwC2EOwFiWaa1JMZ19i+AHcBTzpNNVeOhV3KKh70pINKyWNX1C643sza
qPSIJFbNxOtdMBrLrEqLRSuU0SIBDoPuajehSTKssLB7CeN6LTLpTujnIsmkamSeKUit/azZ+X25
z0yNXS82n1NSQMkfE2Or+sh1aBBSm6ePpsA2c3oxWgdFfxBqTgkJ3WMFpSikCKCaOJiXBs3C3jym
g6vTsVLXntHdF6KArk886BqZUoOn7gnlIibE8+BhygjYag1flxGRDtV3UMbZN6xJEoWxpRvrqmMX
YuRkpBsweGkXSp8sbfOXeDlzv/lSlQuxuxxYY2QVcXtEB0eD5ECfwxm6FKDHKa4OEieWj+eGP02q
P1eKt9e7WEllRIicLpgZ8vxVMr51w/UM8vcfenX98YVmVcFf7gz1vkpaiwnBRZtXxjelgb5uujIC
fXmcJKSBRThgffPkW632802QC4y5odvhbiHiFmc6XC9Uwpgf0QrOFa+ef9epJeG7KppXQ6Ygq1La
L/hgTrlo3CRs3zj1wCSU56IY+Q6N76ZN+JRFEEqCpLj2W8p8WhA0q1Rrd1okErojLUeJQGK2eKuM
VOJ7S7ZuiilZUEnZtkqzgRW7Q/a50Qrr1Mf+rmLZNoR4F8vEHKAuh2rvwPK/T4sK5bO36XENRclg
2o2WPk/iqDlJ7z+Wg1Xdy3NyhVwr/idP9c96y8/X9/ahzt6JNw+VgA0i+jAoHc3hKZi+juZPpOff
7iQ++/cvFg5RSNgjE/l0DM2bIkK2p9x9Miw+HhX6xfjDNIzBCGnWUZPPIVgJHpMYjD9N9H97F386
SH49JeBebEklzdQvht5g1D1tVe4C6Z7cvDR9yp7kLhyMT96G/OcY/1H+ItwUjyLFL7am0sWFxijM
en8qyHuwpRcWtcVt4kKaXHZ26NzbmX2/0Z1u//U6dIIvw/I5WY5f+aLr9WdQCnmus30wjfz4oW/G
hdWFWLJ9ppHGRbbviMvhpl2lV3jLlhZ9cFda8Zxdyals0Q6W1qLoluoxe/nk3b73K96OznnyefMr
Eq8m+6LiuT8MG3lJ4p5rnQ37BNYmWKzuNWevL9KVdcSHviavbH1LO3M1rJn37GmVYw9YUDpbWAti
ONbZqj4FNppnf/EFtPAREPNK21ibfNevq7vUvfn4p88wqb88wLc//WIHLch1mJC2yLi0Ece69St8
xFtpUTpkbS6CRbgkgHObr84v+2W7oSs4ONE2sq0t6lOHxWeJ3/Wb53z5+FfJfxY/fw3k33OofrE6
hGHeVYbOrwo2wN2caY237xZZYYznx9ZtPIwOoPmVeSzX8hOFtOXH15+H7+Wooi/8+zu6mG2YaoSx
LsbhKE750uj73STEqAHE/JNFaZ5VPrrOxaxjhgjJuykB+U3/qutfxGHd619HZVlCVxEK9+O7ev9V
/76ry8OkgNZH0cqoxV+JB8y7Lvyr/98FLs58qP4TXafjcoy1nRxRB7SMxcdX+OTFGPOH+OZDE9LC
zIyRDy0vjjWM1EJ+mFCTf3yRz57TxeRWS0kddXCAjsP8VvCZWcP/kS3/dqL+7D4uBlibT3Wb1bDe
+24gJPGYxoMzpeeP7+OT0WVczEq65wsjxTlWgwEluIVMNWlOitI6xkjGUC8fOzSEH1/y3fvSEE/C
mFQwRF5c0kSh6RVh0x5VxAiRGysBRb7Vx9d49/W8ucbFR5P4dP+I1BmOWqRSv79K00+qCp9d4GJK
nOJ0UCKshUeRSZtiNJDFTx7Tj/Xxow//YhwHIU0fL2EcczawS4cO6Do+cERwtpUTLP1T+2l032wy
+nCume/6zacjUf+TGjlgjXqgMJwxq0IptjFNPEv7adPZ5wleG0u3tkS/ZJtXgn3dLOdV/fxYnpUt
p3aykJbY1tbYFlafJQu+u5C/nXIvR05Y9SJ4g+YoneaFXLDrVaJuMsmx45W6uM/sLRza3XfxK4ez
6m7c9Xb/yew1W4M/fEIX770Taj0oARAem0W3wJ452TIBaLtkcW0d9b2yahePsuvZGRVbt1oVKwAU
n8zQn/0E42LdI0pcUEGbNkdhBySGwFE7+qa5ZGzv2tdhXSzTvbESVsJ3MqccuBwnfxG9fvx1/Th4
fTA0jYtxEndKSlAbQ7NyB7e0JTucd3Wb2LntNjiNUbPZ05Hm/T1g/kXqFivjjPZi0S6DDb6Ep8/S
N5V5Y/yX3/Pvz/3SFW0K6Os4KrfHcgneeaUni8Gd3GlPDIH94m88F+PmhnA5O98PjnG3RLDDK2pW
sXsTQrBCx7/88YT+45Ccpem/S7yL5+b5/9imx+f09X/+m9b9fx2em9d35PjzH/6S4xPiKJpg6uBA
qaaozpXx3217+V+aLEkorsCNQgVm0vvVtiesRTRluvaa/kup/6ttbxDxMrPgNIrtEmanf+aQ/GMw
cW7BzgeoCt0AiQJICC5OYdS7WhJ0x554kXPlqyRdfbZDmSeJN8NVQwRBwAlX4g7p26sXqxMZWLHS
GjQpazUiuuOLIJ4s7aqGw+idYZTU0s/R+Lc7iR842A+vOP+iNxO7PJCbTd+9PUUFZ3Vz9IHxjEQd
oUDy85quRG5uu0YrqLSg8at1V4+gE5ce5ewl8ldjGQGzeBqg1W70OQdvLNEpSTXaOcUM9lqefAFt
HyM6Fb91QvydELGHjL1KLmFnMnIQJZFPTyqj9kvLPjCXFV1/O6WtulZZ++sxCV2NM6TrF2G+8saB
0ugAI9WoWgVBm1jZlB1vhN6kwxNem123szRYfEbY7YXS4y2Rn5V6JvKmvlmoI9VsWi2eRwiOJyjr
PJfOXTBr4fRNJrYhqBx/R7wJuSPCXSUQn9VlT92knAcjWHfGVEMjq1fkPq9UsDh4BwaSAfPeFYqq
XnnBeKCmNt0YjYjVrtLGOrvJyWZf6yVURYz4ayylQnM1FSr/Q5tWQ35KfHXfQBjEBD9pa5VW+iJt
lfJrLJp7Xadgp6b7wgg3Q9xjr/doLsTHcdLvpRmRT6wAQFkFAqUcvkCE+AaFSlv2mnoYCnXrkSLU
xcW+8fpl246bUQnP4lQ6mVcuwgEJxEjKi0kuZkPKC7nL/a7uxPuylZeqilouRXurJRT7QebEx7DN
zlncYBLtj/EUExhJNPxAI9mOGwSI5YD7qu5ikS58gi/UuCubERGWIPqunBbtpm37ZpV4MojtsBz3
yQiLpzZlgku/WUJ/UgPzum4ravsBIvkg4OhdpFsvCc9tJtz0XUafhdeSD8nSRG9spM03AxUvrYDo
Svb7pdWmRLgM0oJmz0KNxqumxWxVF5C5enXVV50rkhrX6PhlJQBUeX6DWeCcemXp9EPd2U0Sd9fD
GFzrMyi1bxdmYT6oQEvpqlS3lEIVJwqr75mCJNiz4AnRoZ0AvZCUR7JA9yr2/i5r9QUBnAiYDWuD
QBlaAWgiXQC15PlnwAAHlVjuUktXg6gtE4qvEOl2dZ2vAfMg22gWWi0cLctayL2wYaK4Gkllsj3c
CzbsTre0lC9qVTsyX4hTxjj/My0Z13GvJZsqyVyCQejoj8I2rqfbekaCjUlzDKv8JurEBfpMhrVH
xGdryrM29jkyzENeJigjoh7fQ11B2Kv71NE89IH/WfR+6NVkloC/X/QOr9m3/CV8z4M2/+GbRc8E
5c3CoqIxg6T/ZtFTkbEBCrAolokqTqLfix6ERhHVt2ZZij4j9//EAtDAIr+GyDF6wv+AKqPpF/t+
FiRNQUdnzosr3VLp4qhhJA3IOdkXThLcibahlSCq06vXg0OKNaxjrSK6mhS51QjgDH13UV1beL+u
ZKMjxpcZPjOufd8iQMKSRmXR1lJ175mhMb5ogtnMOLrUluVRXUUl7k60X9PKr9F3YVJWV7gEIFtV
PRJ8/P7LrhAsYLvyQ1bE4otfJnwGMr3rPDCSRd/iAe8A19lNzn+rGKVqo1eonooCY6XsA9Sagk7b
9pmxjSKMpj1xj1pAimLdCqtWxik2oCzpyopARCsj1kRGyiOMh9GnxpYa2hLuL+khGYyutAILZnGG
RQ498plldEmrmPj53ITWRsrO0iSL0pa9qlhOSr+QG/ruERLy2f5JJ8jUxhtJug9VRCIgWY5h6QcL
3bKuoqnBLStL5IHNmSp9eMJr+lKHqKlZmW21YXI0O61fGuYwrRrkzNvMQPoCwnkAi1KLy1or6bRC
V+htcxAhhRUmFJCwEE5qSTyLRugblijFIedlW6pkOMddDj3SjIxVRu33aujEEzqKYG3FsxyHrPMR
Xd4UushvMi93FPzt6HzJOaoI8aArZWTWchjQxNWmgQeMUB4og9gPvRt60cWqwyYn4uMxsk1Wdd0K
fWC49XTBPIRqX8OuAXgVw70CfyXNHCypDR6TmYwVgMjyK1rEfQ0xRQKfFUuNj+WbDB4rTR0AZPvE
C1LbjMZTMtO3AjBcwaQtSsVvTogrRyedWV1qZcYo6ukTCZ2+qTqIXvLM9uqi8SaYaV/IMVbqzP+y
KtORBo2KkDr2WIMRhPT8gEZuobtVXS+rh04rhO0InFyi86ucNa2G9VyBU2OOHjTFkVHtQfhLmn1V
WuKiZaCdCIvU3arUoG2q8H2EHHFl1UNaMqd2pQTApjtjgX4I67eAybMfZppf50uupnomlsrUFVLr
G2HHez1Kr/K2vWPrcqgLg26yLBRHPIjjRtbBvsB2WQsa4oIUzAyaCc9bmuZrIwy7MDF2iAT2Y5AD
rokCIolphiLv5p5P5pjR+0eJ2gk76Mn7NMAiEbaad8jMol6keqG4beDfgIXyNzhHNhVw0rjkJZmB
sS1mZL0AyNSWY/PZh5iBfzw8DV2OxB7dhC00XeqYFnYQPdkAaEaWXT2nFQGdOXZ3MJY6+X9tk7oV
KRxFXDpiV8MrlsXrokYKiY/a6NQdZlO8eTN2sQHt1w/JnZmIJxCtd3onmgxSK9dPHgm7W8+cvhcl
yMOp3RituVDSdKk3g+LAAsFAFjtIO54DXQH8Sg/bRzkYaea5Rjhm5vI3K+YbTpM5H3y8VgXk+Bjl
D2MJ6iFWnYJ3nEYtCnaJbi9I/A4PjJ146QsRobf9PB6lONogzDpPOXhKQH9GxDFzyNdGmpOCw+UT
japTNiBHHx28R5vMaxeCSfzAJKymNl4bOv6+IgL/OriChq4sYXenm7PNtlhDAXXiAAlkkZ+yQjRJ
BMxXVGbYR7f+WYYvGXb+ehDNRZoL+64bXXbQz2zqgL0PTsknIkPvoiG7IDzC8ZrktUpecwQ+WAsY
kSImNxwxPdbN0liQdISbkWs0Fe0/VPeqeVM3OqxCbaH5w7U6WLdJNCGpTZD7Y6pYpSryUGLB2SXh
I6Ljb1rp97EMj8xw7lgmTo3RTjcJKPfrYKNIJOxO1YMoNZhmzBtdLx7MoL72QTO06bdsLF5LUQwc
gjJtQwndUKfF4OHW4uyFzdnxFSgjVXDIO+Va9tLvkoDbtBJJUcDcJoprwerWZi24YpDcRKjxG026
q/ilhmeBHtCKWd+zq8XW5VM81pbpYtTZKt7IBcslUk96ylm9yEtkraoqv2B/fuCfUjHFKkRJEa3G
l1QuwK0QDdY/11lNCrmww9e8mci0z5Gp2l0Vs3VlkQgKr8RsMeKQ1Q0YFhgL2uypKT0AUcbGMAwy
d4kqz5tqTUt/Iw4psg/NIpetg1gv3ucVfF5BWnnqgJun5dlZSwoba6PRGJ3GinDRKxJqdgUZA51A
pFxorM3BO3nKtEHnt+086RDkCCKzNnTTBO+bJ2KTQhTXm1cRaBdFGh4L6iNjJbYIJ8w7r9KvagCo
Wa1dt4Mv2qZU37QEBHQF2C3wtvP+c59o/jYxS9HuE/9QzRPVlD+McbOTKw1j3Ezt7ZEbUKns55N+
tvOK7K4qxq0k5ztBxgmCN8j7SoY0oQvYX5xJbraViLO278Ggxiw80bfA1++iJkUO2RPdYRnNI/Yf
pLDoVnPoN6H0TU+B+zflQ1wFG3z5J+ZbsotnyW5f77QJMzglzNiZROkx0OrCtZT4Nq0aYCoD2aCK
dI5ihKuxVczsLMUlinvtwZbuZYGYNlTZXV05ht9j+xrlRZxENMmz8+Drq8gb4CqP3wqhWAq4cRpi
7wrWP74A0q7oBHD28pdVIGQORlROS62TJiwSZK+vO8H8hszMrUMR5K7hhuKwzHJCDtIa2J4/TO6Q
ZruxoafeaLc5KQpoogsnQzjZhDEIoV7YAnphrNONR4tZSfkmEZrDJPSPdVW8cLpb+hHJml4yHDoV
H1Yqsvy92dKefxYn/itrOZIj8q7/578vivY/doggDinYoNazgEf9WUBo+qqq2jATTmK6DtGt5PG1
QDTcxxeZ67d/1kU0hAZoJkVqPybElj8vgqdR1DVVEk4DKud+1bePQ/7dVxYpUdgfX+m9De/bK11U
knMvH6XJ40qyeQQKDgRGWk7TJte/RO1TSO7Ix5d79+nxNdGsVPGpXt6YDMrZ9JLcP3fCU9PuSvBV
ycvHl3jvjtgts1nmMuSvXTw7D9mXaAGuOZPlB+68HcdlgiMp9VchpBG5OX58uXfuSEU7J5tUsmBj
6Bcnhg5/sjyKTXgOM99GMwV+a1XEn9zTRZNlHnR/XOSizFx7QqPpHheJKjILq31kBYv/323Mt/mm
LtY1E0RawpvOVXHQe1DD+a1nhJ9c5K/lvj9v4+LVFPGcwJLW4XkQFDvQHCsEoFMzwT2CQNLrk9zW
n1zxvbeDV5jypQbWX1fmLsab24pDMw0z4PVno7wqRbTvycbwvv/zR4dmVydxYM6oMi8enYeHWDe7
KjojlYQ6ujBwm8CL/vgi7z06xQBWB6tOmWulf95IDnTACMMh4v08Zvo+4KQYMRlYcJHanYpXs/eu
Pr7iPKYu5iCmuH9f8eJlgdu3qkIao7M4CGjO7hU2UB9f4aKxB3cPkp8BWEm2qATwvV5MPnWuBjFV
rPQc7atNs2HxPKAiXmpXwbXmkIPqft40em9AvL2ri0sGnZgOTdFF506vOSbP/i4mhfxnAehv68zv
Pzu01iIrJ/EvF29LnyTdaFIxOpPeCttrZ5rNJ89ufvqXb0fF4wWnB1m3cTmwi1oOpbGGiQkej8hJ
md3mU6giHo+iT+7lvSf29koXExwn4rySDD06S9prYF5p3k05fTK9vX8JknpIPuNLMi6GWkhJ0VSh
5Z2z7KS1A4YO2ZZb/ZOl7r1PiMH2+yoXrx5LS9CMPlcJ45cEc70iLCsVG0frxM1ZABGoffKO/nJb
skh2skhWHEsRyv6LrYJseUaRGnlybrpVWT31+rKcrj/+hP4y0C4uQS3t7fyWdT4PNCiTM7gTWxJI
SIy0Tx7b+5dQUCPQWbKos/15iWgYUiHhpHWukxdh2uj9ZzKIvwxl7sGEzsl3QuFNvozVYepESD83
Sdjnpa3mBNEmjNiYWq8/ntV/WpEiI/3vq7Kr5DV7JyF1/qPfFVnpX6am4w3GH2L95Hu9aUMiW6Tc
ypdDH3BWxP1qQ0J3FUXV+k1q5f/61Ya0SF5kUofMbaHK5ZP7J1VZIsf/mOx+tgchvvJvktCjzv/c
n6N8rA2iYkyLcAqq9sAfpmJVKbmfXSlCFsgcTuBzP0E+rK4UeBv6Nu3CzJnQLOuRta8ycMVkCX+N
wRVyKLc7GR3wSNcHA62SDGRHzIfGAStc21lXwK6+U+EIHaMyaRzIBAQArq5J0dDKleijZMigVBTC
WgiTrziDFY7F+d6P+qtYntMMm2oBNWpNS3UtUg20Fdx5oYViOYwQJ0rWUYajEsoiII9AS1zsVutR
6io7E6SvUSrZQ9lpm8o0HgrVgFjev0BVOJhWleDP4d4eLewCDYkBNujQ12o05+MZwA+LWlEs5uVp
ArFIwBu53520psq862LgVn0jRmhzhGrJlJTRbjG52wyrSp1P93DHDiQSkxgToeCpYiLLZcBigUr2
stL6bhVjG5Qqn+5nLz2bMUlyNVmBpYp/Usrbx3Twntoogh2Un0hwwBiaepqb1jKHNzHb9KFBjTSk
/CmRlbcQe7Uj08jMV9hHqZELlDepBhOGN16lWrypfXwDgRx9G9POhENNWkKVeyBaEQIr/vicyW3P
2U/63sjCViIkCW/5Hns3aGkLvEtXGxmstrbfs25FePUEHIJ6s8cx/JoKWf/A+9w12tOU6gd2n06X
JOekjLai7t30ddQ45PpENZYFi7gBQc5aYBjY7Xy7+JlJgL2ZgILBxwmU1KYKN4IAg9A0CRhMfdLM
ZUMItkacdysiw3MSV+aKsDoXhwPPtG682KOmlYwSbukyByrWabQDikpTk0VC3WEljTmVZiOr5L2R
JC00e91cEycvPvxnOvzRpJJYBP9+OtykxWsVPifMfhdZtPPf/ZoRJXXmH2gi9NIfsx4z0q8ZUdLR
WACtZjLCPPkHTwFoArwEFB0Wf2hYs5zj14wok0FtgjVUZxE4hcN/xFPAWnAxIxJBp2qyDDSM3GrT
IkzhjxnRCMoqG4RyPAwK7D5Xon9ukIhMout3ETO/JsIAFJuc2QfO2rTG4B7Tw/VofS4Ba8fXngz9
xASOuq6kzhhtRZdfKOrXpBN5z8TH3pACkJ5JPAig/eqyq2iIAyBF1Idc178HBdz8GGeuLWV16AK1
UsgbCaslDHkDeL+k7ScIJBshSxpEUdC/RmfAX+REqB+OZAsAogPqA5Eu3gEczRa0b0e30ihHEekA
fJloVockWBh78CCPajduYy3cm3nj7XBRx24sWLBSmPBN3Js65dcYSPVgGQF2sAFOiTLE9KmNYlEO
CCpKE9OUqAqPiS6dCn3ItjTTbyUdx7CXQr6BsFM4vjUKxyrSX/oMa1+ZG9Iq16LvUxQ90XcCdqt2
UoqvzPD2BR33O+hR3oLuGbpAha88iF4bf5If5SrAKElN1O30hGIp3RyY+DkwGJ8DFVFj/8vemTXH
baRZ9BdBgTWReC3UXiSL+6IXBEmJ2LfEjl8/B1LLlmW7Jzzz6qfusESxWCzk8t17zw2MjRh07WhX
o37hMIPaxZFJRYrqxIVyXSq5w+SOQszDEE33WgVuv7QLe6fL8sYVYMBoti38xUu0jsqRyWsK0cjW
IUCMVG1fGBFZaXdSkUMAKwRhqFvpqQ0mg9qmnLksEpZSQp0jfne9CdXyciKMBzAxRLTHxs6/5CFe
aO25QsKA48hq5hyqdjLvNfLS8cHs0/mo+sI7x9CB61U5S8wTHm9CcPagDkH9oeusN7z0wgTASHxs
vrN7ZYzrf1ev76sX5+u/X732Xf5WZl/av1i9+LofqxdN2gvF1RLW9zJDzks/Vi+ThY0ST1pdGC2y
RnEJ+s95jrpsW8B5XbzI/5HSf6xe38R3HEo84D8cZ/9EZf9l7bLlQoFZbkTeMjf7tZq17aYBnrgz
XMMXCBM/mW7LZvfTm/IXQ1quWH/4JvwUeAW4enmCoLOgtvSXW6sBWzlJ0qa6tgYvQa20v0mXkWUW
1jXDk5rTSynG9GYuY8HkM4rcZ843ZnpDA8bkR0wJzKPJstDwjNVkLeMg2wj8LTPX7lU3W/RmZNeB
o62zUjtMjbfX6vKu1RlmTxET1Nq9HeNmH0w15SLkDIuYmKpj10etGs6aTN+yKX3VgmDdVdUhyZJn
+PIgzeLoHLbNRpqMqSKuQ8aoPuC7URIYD+uM89Yuru3O11gfiJMN+7qHs9W5yYMr97XV+Px4z6HQ
D7oHoMIyKnpWiq9Z40Us/czNp/xrALKFnGOFeK+TSasbta2y7iJAXGc/wCeAVMvR0tXfFqKHZcOk
MezivjdCDFbmgxpZQsy4fUpzbPHRNLw3wj5Otiq2dVJdFtE4rL3atdZOHDh+UKo7FdMH6dpluwkn
65JmQIoQGusmG7yQE3r3rCXWdh7cccM+jLptth+Ji3AmY3pV3Lq8Lkr75A7K3uAii1dZWqMU6iOn
sZYz6Zh0jIkqE6p5j/ZoV/OTkZcQZIHH0nx569B+BbIhux9y9hZPpi9areyVOVQHz2iTq6wdDB8M
/7HRYhq4DEwUhgwvwvYdT/vW6+Dj5YPp22MNpS4rnoKZoXJQU2pWhsZRyU6t297dQUB5J7qIy3pS
p86132WTR2uZxB8yByEW2nImFOzd07HwYceDv9QDsuoOoC/JqbJlrI1R+iUtP73ZvBlJwva9gC3o
Vz8QjoeK2rfbWC4FDRa1ydjmho2t6XAwiu4asPhDH3aNr2WM0KxI4R6I7mh5qdclSRn8b+DjbUKt
zAo283K29GRyZ1q9D5Idzdrrn1Idalk8iQ+6xz47RvqtGsnasosGICKi9LLIM+XjLax81pWHcKrv
CtupjlEKAilzXbaiCNvXOH7uE/wS1VB3Gznwfrju/JKKgNJvbh99Uny1DcwBvdIf0jCD1YbvZNRk
DFq+heGpfbSafNHkBFM8jXws+KSGKb3x5o07i9LctNaUHipzqYsebAW+pOLd8Oidr++dcCCVLght
V16WPqS65R2cmXmpsIb7ujY5QVdfcwo24rTKVllZfaE9CjQvoM5N10IUTYf21FFB9GTb7ToTAdqt
eFzMHpTcTMlFzlkq1rRb1SXeck8CIsThATdhT35Zc2n+U15V+k2GTQCsJVotNX+ldYnnhE5KMKKa
2/gVzyaNnaRxSvc5ks5XFDC20AwQjz0byJSV30fTicv4K+b2E+LfkVzqS9jhG2XNuVWFsUkq47Y0
rMNgaLfTRIGrFj6aKVQi6UC31jEOhNeII9dTThFh026R2P3Am74ArION4nJug2S1Qa/209pcuY2i
WgfSqar6K9ctN6pO4RBQr4Hbc4CUPWIXkBruUe08teoxj3H7YGtE2oy2Zj0+ac1Xp+OT2At3a9mJ
m9PoM3CAop6TK3jSTZq20elfenTDftzVtTL9JOSI5siqra5Sy3rOS1u7G+d64/ZFqPtZwrq1Sku7
mla5M1u7lvmjLzNuldLKH1NYFaodnoche2xq7YUiDetG75z5mg2v3qqsfq1N4xAp68sYyHM9E+jJ
PEqBckieDsitNWVyjJUTzoX5nHv3di6nyzCP7uIwfEtMpflDCoZIAcvjqtzSEl4gvdtt9FKY/BaH
6J68XULPLHW9ffPcGeUMatXKt8HS/I6fg9B4zN7jeylrQKdluH26aj5rrdTuRQK2dpooYw1VCUpQ
2Q0VV023tls33/M0y3WdYdwVPcgaox120DkxIeXltBsKnAF9RqVu2EItBkPq7IfMM/bcxK+dtL1t
7GgB9O2Sfrlea8F7XEIDm4Vxz6DgmRPYXegocfDs7rlckGKk+oP/RQtbJqh/GEqbuvQY6rPjLnPv
ZcT08zRSZF1lSrPurkvJPcM4J/Je8KodZh0krv/7Fv/HG9CywcOhF4ZlUMqGUc/95QaEj3RszaEZ
rmnyDNLHesJ38Pj/+xbLS/hJPBoyqj2HLhuuKx7Mid6fqP9sV3f/h2/iMSZzOVsZJgbGP3yTJkrT
MSmG4dpS9zWpDO1K6w///Vv8+dfCW/XTt/hlvI43WIaA3YZr/Cx5vZ3zllq5c+G+JtP/8p3+pL0u
v5SfvtPySn56xzIch7lo+WFqjGZGAa7bPHY58MhNnx9nAjr//Qf78+TYkEgsaGK6ZXmwtv747ajL
w07TGgPzm2djoS+I+zA6Tfm/k5LvLZEGF4O/v2sciukv4ivL1/y4ZxjOJ0ELI/XoDO6/8yN/3DMM
SW06jl1L6vgkCDf+ds+wXO4ZjJldAaWJXu6lhv3HlMT5hPEWMy8F7kiD/3huvEgTv69HDg8UduHl
NZi8Csuxfvk4YjaswLK5LYlREW3LMovXY5lzGruZzH4G4Bt7UTCLjY0sGJH47Ondc3CXGRSVmHic
fHuKrexULx7+M6ASqEo0lw+Ogr42woVhg8oia2e4nI+4hdtZ3EAJD5LeXGuBVxafZyU6+5qAi6eK
tatXGPtGx8EI6hvwT5pXd27VPGMgDNwGsO+oepxaRh+pXdJU3mVU6xFEQUX0YRjsh7pEl4fDQ01S
mYKiShMO5/XQn5DoJjw8MSCKLO1uDZEOb3rhOBU9XFH41ttq3GaNnl/EIi05DJbBVaI59pZOpoiq
AiNPMd9a043hmsEB2PRwmRbucIUXq4UVWX2UA0UWq9E01auMGZlmLZRjP4KVfYicpL03hxoqclQ4
73LOvF0fZQNnaKIU1OdQSG1bt3LWs81ohTW8PX204cowDXbalpIBoZOeo65sm3b0P9qVUVWrpqGn
iwuM9cavqd3XgY51w6g8Ag9eZH625mq+juaZ/svU7My3lFPWqaNO/DAxun22nAYjn2nCLAd3sJ5l
3p27Ln3nLS0OtSeMOwMLUuYnui4v7YGABQjB6Ao2Vki5rRNfOXHT7DwvU5tk9uTVDBgILmXBnj7l
RE4ZQr8DQ84u6O1pHru87LaNlxQ0wsUmqE8jo6AhatLtREczH5Ra3HCk1rac+JtrK7aqNXzi8oRt
ATdekx4hhc8bYHFyWzvT+DHYUbaXVR4exzKmDtFJXO0yDoR+zOMmK/1yoi+hbRkX1ZOkWzSkQ8Gm
EA1DrmINnJEdj5nSxCMXgycK4cwLU5PVmZcf4OnM7UvSTqDUldLP0xyNuNmG5BDGkIlKasY4sFbT
baTksO6bod5McTduwn4Otk3dNOH624LyryRnsKj9/cp6wgvU/MUIhy/6bWn1PjFucTxcUgjW39bP
H0srRT0wRJDDWHpZIjkw/FDkxCcwDOC8WETJL3wLv/28srK0uiYDbZfp9T9S5L6R4n5eWGEDUeeH
Y4M5o2Dh/3W6ElgtVh6X8ulZs9QDdTVZDhh7yo11FGkdDYkISfFlI1PruWLOgnA2ZDdLrMijCyOH
4U/CwW9dPYDzJkVTH/JSESJ2e9rnOqeh8axpguNgZcR6yqyc05uSQh786bc0lX0eB1iv7C5Xk6AG
3l5afGZ3pFGljt5gQImVuXT9MHkirKBr/kgNEAOR1M/NdFoPVARFRvC8uBajU6kn9CFk38qE0qyE
Hro0DPXU+NI2hLcfGEDZ0ZZ6aWuT2E/04cUQSSmSy4aN3hY0sBZ99Qb47nPYE4FqRR74RlVs6bwd
/DInAJVo+zjmpjmq4k23VMKCiJ8Wev1DHGrv5mVVkKPD2jmCA2DIMHNdy4J7o5Y3OfQxb+p3yXxj
tOJhwIQD+3Rj01zhfYfB/fsgOv9VDLpn+hS3058fxeXLfjyKhHRtm7M5Bg4iSWI5Zf72KFqfhMnB
4ttZ5fcHkVEqbkBsOXScfj/j/H7E8T7x39lYlpAT+rkr/4k07v4y5/wmjWPK4BDs8T+8FJaQn0/c
GmXCoq6b/LowgEFfNt/CG1MX6yQ5rG+xjnHskVEpr3+ve0IPSxU8rSV39lIOb7lvUz9Em4rWeEXy
ol5q5FvpZOvOdq/0lop5DWA8qFHGhwxiIPuGVNGbFaX0URVeaUtNfY+vxk+C8txM7RdN0APleMMX
eym3j3iguqXunh6N00hr5sryksul1EHpJfOKyJqvolb0CNr8GbrFF60kF6U69dbTKwDOc9phsXrT
RmMbDS22+DHcuxzoijkFXgzIdOXUw8sgtYesndjRU+POctrnkDvqzmNL3RmWJc4hB6QNBsuWtSVl
PjaFr0ymyl0D+W+FtH4Tx+a5BPtPKMEEUewunSnxDQGpY647X+0236HivzZ2fLLNKQUhzKJCmhMA
MX/b2+e6eu6s+FCOZCKJ3jyXjXj2KBkbyjWL53vjee/KbM5qjp+ccnxPbZmvTUuf19gyrjVeLPHZ
YZ/D5CeuxMhy1lDdpzS+ow7yqqu0q9mqA84r+KImM7P4oWV+SBiPrTiuEg/R7eslCHOqqehe0ajp
+uFonJJIhLtE6wQgvozDZEdFQDM+iEY7cmJTi7H8KMseoLOXn6vJ9mDl1vKgqsLcTQwfJPB/lmqw
z9WUyV3qRmqd6Hm/EX3AvLYjP0aSmkHdZO5VODwG0t1mcXct9I7IOMdn8rr1TtnESjnvr8I0PZhO
CBizpW6KIwsltro65JoDddvUgh0PWuAPZX/irsxIfmY42Kq3RFO3oneuh1A/hIk7+sJMdnZSPuSt
vfcWGT2dxUOb1Cs9Dx+bsv2KHZTp1swA2emETcbNi2Dbzs+0+lR0UVZHfFlP8KCbddYMD5qHx5wv
zTZzptUbq0/vJg26JK5sTm9G+ZE3BFDjsrq0J++c2gTTWorGVrIcLrqxHzajJNjsQm7lWVESi35M
4iT19kMLcjq11PjaBlWy1psqWFuqWca6CeBmsJ/xA/TKjE9g7G541mDD950vW7rQ6aoGLjKoaj8a
ZuBbpX6a4BnahUZgOonZP+ijQTMAiFzU89o18yuGqcWKSBUza8tS/hjOSw7nNR2XXh5Lv7OtozZ9
pDqKhBaq29JtNtY0JmzY7kZSgEwr8wdOtoThv/2hZv3Fa7wLtu2rilbXpcV5RV432gjKW1dTXt9G
XfOa2Utj0nSQ5Xy0O8qWlDHqOPlpopWN7Ss5fZiN+hxqDDPL9gZ21mXbJ+kW2XM902hJKypXIb1P
V2DgiYh1qb7qvKhHvW4/Kowhq4y9fp2N7muMg457qL5qSjifZsngdBykOCInJauGdCWTQ/uZVZc2
+UkxhMvEe2tIBvoCUCcL8qnR1Ejasuu20dwf24AJuKnCWxGNr0nsoCjYKefiusk2VdgafmODysLO
S+kalWLReNc6dYfiUGyyEfG8huG6KQpH8dCVPBJSXFJflGzKMbgqM9pq7S4AsaGFd5SrkzH07rzA
3lvjJH1RUCPaTRntbzTMhUa9DVuZPauhiQFUkuTXcRwBAuXBdpInV1gER/sh3bKs2n5oRm9jURJF
teNtPxRHFvTbyS77fY1otWYDuKGvlA7PJbnCyGQX6XFInsOyV47A1C2LYxQIm+lvdtFE/U3s0AJo
AvcPYouoEJ6ZTRFmfG3f3zkikfu56N6aMqHUtlKE3gozouC11mhv0j44vrJfRCreoRnfME94Y9we
rurMlT6DVY1kEcYZmqOKK732Fh8PgxrJEamVE6r9NNJ+bTKLjODTrkvWbKcqdBj2ertFQn/rvPip
rPggDUGxJReC24hfOaIVt7DBIvjZjgTuURl5T/tYHCxr2HuhnaPB2SkPjZPxLvUPpJBuBvZEiuSp
hI45XnLhc0ICZhMfN+mmBBf5bzLr44tKm4d1aieXkwZXIRjoFw71YVhpqXhw2mmnyL44pXOdhNXX
cWmYhlzxLAQxnUFpfPS64sKgp+jKdeZL9n9mUriRdMM4tFlFqmwy6fqSevlMED07NHP9QPwVNGph
PWmTfW7j9stQZ1svSB7Y7PVTLBr62aR3aOLw7Mb1vTene0sjx+RGPVG5ruxWkz3sMaFjGZpIpfU2
MhQJ+7Xpuu/0NGlQ8ZHlmR3M26mUt0aQ1xtnobYWFDZsqgqOf591wUFX06sAqMPvsze3aSrvxwL0
mQy0I6PxV5W46zDVGAMk1a6sS77era7LlJh96enhBor/e5WMIJLb+AW7E/G6WlzrnXgsbbELqmzc
z6H1keiDyxprkOVE99rIEWSwcLOOGUiTrmic4+OXGO3KiCe4krPxIpr+yrNTTvgVv1ilsWpHFEuu
E3cafKElrxz1L1M46mR8g8RHET3FPWqV3ardNCOWdpaT+J2e7pOQXjMgcux3LRpnbdJFVSYKXdeT
RK5A9dYyVNvesHRO7n2/Lhn8l5S7s6qKp5wZ6ioMUTXzWruP1PCgPDoyitjzyyG7IOmNiaPD5x02
Zb0m6HXXCrfeBIhy3aLO5br3YCPXhSifvrUoeDllXkzseZ4s5L0x1LK1ieCncXLigUQDHBADK0TB
EchpuKiEOnJhLYCTMpH4OkB70CrxIXTtXrNQGN1Fa0y99MNd1EczM9975EiPnZyiKue9QajECaPW
BdJlUFjF2lvUzFGkT2GeNz5VDKYvkTwTLd+GwZuOEMrBwF7hcStXRpccK0cZcEeS5MqMy0OwKKkS
STXUHOJfQ3JvKKgYFbKrm0PrMBFibdrARs5czENmvD0E6Tb1ottOTkfqa9Fy60XVlYu+WyL0SgRf
KSd6jxcNmOfuQ5iownxmGEKk1lZHMK5ogKcK3LjJFi2Zz8KlJeJ2UziJIgFf3YlFeXZcw+J4iRqN
UepyXPRphVBtyPY9WZRrAwm7XrRsmh4eZsopxym7Nxe1e0D2LpG/QQ0uUzFC7N6ijZeI5BViebGo
5vrUtCyHKOmtSL56nI2jXmAmRWyfc6rWFvU9VPPBRI6PE+yaKPTVItU3nPLclKUvWmT8yBvcHUNJ
XiQaPwWgH4yNatbg8cXKOfMtloAYbwDg4gMc4nWUFq8B3oGk7c42XoJ8MRWEuAuoumKntOo9ycjb
Ef/B6MCRD3AkjDgTKts7eDgVqB28hkztT4uFYbKiTYSnIVb9BWCWQ4e2S1K3N49NQgdV/c0LkRWz
eJ6+OSRqzenTm8whO0FNm/A7h2T4v8Og75YeboZ/Pwy6eE2//vkCumRlfrqAWjhcGMRKOEn6Av36
6QLKbIihjsWgG+cef/RjGORR2gwJyiX6RA7l25zoxzBIfhJM2bHzu+TVaKvz/skd1PoFlscddJlD
efx3joc6KZ5fZBhseCyZdeGc0z4LT1qY18HdOKYAgDh6pbvBtuEQuTabEBo1LeXZwVaYH5YWkz15
//KQTyYi0aBj6ksyqW/H5Uxnuw4eFjoIpcPjNMCjWaU08mhe4ly6c8DxL9O3Ig9ZdonNerP86iRA
1PuJwmeOXDOm4ghKzTickiLbapK0VGwm3W3bN7jYRvE5I5O6apKI3h86/zK93M+I9oMZ3tZG0a11
Mc0cp3AYFLnat7NxxYH4K/3PN7ElzzMXJTTQu5iSD61snrVQVieIEac68g4qsuMDvU3P4ER8qUV3
uek8hLEcVxijKBJJrYoRdPjCCPhgyWqT6MELVaWv9CoY1NURkk7bfthRCs1rtl2g1JxVlapc1gbv
VC/cqVSZmLCzq5p6viVzf1nn9quK2nM7Fx8tbzTLVunPJUeXKaiOuZu6fl62e8eTax1xzjNMPNlz
QZzYxD5UWcbacqfjHGjPUkU300A4O2oT9i6yvbXbzEyiGMXJpUbWCNgkQGJwiXxJp3DHcJvYlqXm
bThlsx9W0XuTw9mfKsNZF8a0E/RBQKK0drk0r4rKNtdDm4HLVeqxCiJ7Y6mPTkz6XqTC2+BDxNvp
iDVdjR8QIoAPeN65zrp6RYkMaW+3vpdK0mEN1j91FPtAs/d61ePQLP2krVzfCQtumXo4fZ6K+ShD
+4uLJLAU3XiQLOYXW1VHerQ/j/p8UyPL4098GSqqVVUbfbigNLblkHqbqkmuchfkUEOAX9kGHNBu
+DpKtn1OO2xCVbhNzO594jSw4vK6dfv0fSLkVNK/SRuryentrWd2c4Ho822vwd7dYlYD37KYvvn5
6ZSelits4MS4wnviDfCQv5FFclaDNblGLCj1gh5Jl3d8xom+ioN2neJt3nrfcCXBQi5hlBntJ2Am
Mw8DICX4JqkmB64CME+4Qh0tK7F8KjhX1sJFmRdCShLS/EVYttxYfNqYQCwoldSYcKsvfBX8OJBW
avglUkJfcRcOC1WoLYdrjvh632+p4nmXenim4hY7gWlcWl1dAPL3bghshOsmS65qURGxM57QzqY7
ZWjpS2EkAMjqHCkEU6ixMGNkywdSCSuldRIEmQ3ZZlwYMxZK2Eou3JncpELMXVg0xkB/CdXMm3Hh
1LgAa1LANamHk6hbWDZdhsXGjJs3BebGoC181QO+KQT4NJLWR01aztFY6DjlN04OlrfPpovty6HJ
fdMtPB17GdYWC2MnzlUF6wzuztzO1DAY5nOS58HWa/i7w8Lp4QjNqpRS5FHmC89HS/RdT8xkZZjL
7zcQ1JDYwYkBxC4bhquYJ8of5u6YMHOKBn5qXQNYGZYnYEG7OAdzXnoAG5JZoSN5cOQjFwu37PgN
Qdat0JQouZ+2eQG024mpOVrqo6ncPsmQA9VQ6bvYSV/0Xu06rbmbU8ZbWaawIA5qUxjpZdMp5kpd
HvmxqziUV3vRNQTLgwgYV9mtK86g/D0sfjR65ffk8rMLruPXBe8oPuTY2+QltS5hre/R/Z4Yv28H
uzp1gfw6lqaBryo/tunAYc0Ydy6N0f+eEL6fEHDK/P0J4fKVMfVfHBH4oj8cEdCLXIkIzaPGH/18
RDCRwAFasagjJf1+RJCfLKqt0G9Qcv5zsPhxRHA/Lf5coCgWwTA6iYx/ckRgv/9FieeFEeERpP6X
V8E/+McxNbwthwJofT5ThPhYW1lLAmYqln4XChnnfCtrAbqiPDiT5tNH94jjiTWmw1bHVeI+kfal
VbaHPEk2uLeCZu26OQtjHA3VQwbAcFOa+k2oFaSIhzikfZwuszeTTyMlv4bVRyd6OfIRu6ROEXVG
JSHlePEm75LuRmeloXpW3A2pmH3ZTxAoEfMpk1hXEVeAeizvp0l7xK71wEShW+kmj6KuhoPQpnMU
y6OB3ZWC9nc1M5hdOHVhAssnMa8ZQD+afVOso5Z9PWjTy75S+HWD4mNSCNoRHSeBzUppKjoOHXM8
t8p4ZTIwrh16LNbEBr7QqTZDSwrwn45yE+rQRaoyMrYp9grUZc2eDgOXfJ81+WR07tlK6dEzotPc
ub5uMAju84gxptmfVF89Rbr3otkuDuDMuknLZkMnxWMaIx6rZH6AbLjtO6O6MkAo5lX5YTKVoUry
1uuqnnUUNGOYH4x8ekyb7qSV/YcO9XGtaxPVM6Cy2VZYcDQtbVdWlu7rRsMvGgmf0l9zHZhwVpwq
kmdzqiZ/nmqUgxZ4U1QOfruE2krm21TDT9qG8p3ZLyjR8AkLv1NHeCwsjhFtQNCtARwFYvPgCWvf
deocZOQhLFLKDLhVTWxUiC7fAYRip3Sy/GAB82ka57IdCZZYpWn6UdFvbRgsKZOANCPcbnfjOinG
11DQJ8m/6ZcQ0dbl4uflXreKLO1Vh6zpU/NikWaxfIODINkYeckBHGqa3nRbs4vERTZYWFILdUfv
p31ltjkLuxnSp+t6yXpW3Z6ZzYyvNLM3CwRL5rmxKzSEDogy4qqL5c7V7AP1S4+64+z1znwceiaR
tHXp67YxjSv2s+SigplCmkQYm8jBUhX0CSyYkS5x3NrBbgIqclWNlnmDg9rdx2m/82yKcobwmKdN
QLzQfCXY5HCEmOIzwfLB97CCTDJncgOAyoBM4ztD8QYVdWv28XMZEl308IyGEb/PJJsyLp/Yhcd8
99Oi9hem/WUN+F1UxtFHUtoiBcx8zHWJB/xiU6uskaSi5hnnLH9I7S/ML4f88I+/BWl5lHOUPIOI
AF6mn9WyqQrHJompBkybty69nqr7wvvOQ/9XSV2iv3+/Ry3A49VXVbyqL38JgFy++sdmRbgO3yYZ
uAXQskinv29WBvsOgp6wdVh1yDzsIz/usw5/4lkuGxW/QEEU/XdN1fokSd3he4Dw8c0U8U82K/bE
P3wQcVZwXWXbo7GFBCDSyPLnP7kYvdHRsBpZ0ZWWSpOlGL+knCfrIHogC72yJhqoagw0CA2ay2gu
nemkCoa6SR6mJE023ozf/YoAp70uaj5y+kq4en+DXEGhV0eikFFeONZzh8CV9QnphRpa5lJWL5Z7
LYmuej5w0VZhs2s5kkV3smWIpxwWQGLCGElXczgn9zm17w82LkjTz1IdvB+jdU7bSRJtqwo5q2yz
BssCyYbM6dzHwgCURb1d2z9WOf1iXFmqGWtzAQ/Z15q68LmXymsr7SvmT3XywlwPRi9BCRrw+iw4
o06HKMnkGnCWM0r082BG9ZKxCHyvNA/Yt3M/t5LuUtfc/MoVRX+bmyLaKMiUNkfOot93GtO5Lqvl
ZxPpeva91itnsGGdYFQuY8eFHJy5txqj9Zljdx7vM+XO77mpWesotGEM+5NeOzQFdp6TVMHKtjpS
trK32h325klrgP1q/UsbkxDG0Ucfl51AWSw2MHMWr9/83fk3DZjcPdQCyV+bKhXuXL2dbxrVJ58t
r2huPLdxtwmJQW+VYa2+z5dSNoug4nWp8W5eF1rY65uw0cvcD4Oyqw9s511wJriSvKRZY96PXpdx
Khddyvii0ONsr1tUyq9wYwXJoTZUMnIvhwv5VQwy/OpRn7nrWitAQ43KmjWX+qpGa7DBa8pdY/xr
npkPVOq8cJB9Mbff3bT/rlzmf43ULafrqmxe/3zAXr7utzULpMEyS7NYm1zcID8fsPFjQdn+fvDG
9v77kuV+wiBlGL8ZWlnofj9fG9LiME6I2KYWHUrVP0jUWYsJ96e9kxEciynRYvwfFiwd9rY/LlkJ
pcamO5vROde5cF5GJgH30dAjeXBUUYR8ZgfnOHe1+Cwie1B7TyuYsgwj5DQwlM2jF9nlnefFzuyT
+B/KrVW47VNjdfTx8ri6GxFBaLVj7XE0OTYhLtt+ZgI6N0fBxL7Y0Xp77nr819n0StnVqxkFNmeE
W9HIfIN5cWdmeczRj/uskYrN2BN909QxEkztMSSEfqj6Bqltek1ruodrrterjoLJVWNgH5lmSbGM
kNusQPXSCpdiwI5mwZBFuB/IAeXi1u6d2zwWxjq13C9TQKOcVOHa6zlRF/VdZZmfI8nooYQVuy0K
9EyYtfMOvHbulz1dxfQ+3SbCvehl82zSlpOKIrtAOzt1Udqt6sCUa7txsfkqdEhWAxDsc3rb19VD
bc/VpaV6CIYFjAJUkHGlUBlWgA5YtjNGWK01RtAVw+yiKHPMatUzImFPdZ1OFaKuvs6NmphiLLzv
pttTqbNDetkbabuuXDfZTjzw5JJG8nEsfCVTxQicNS/KQJ6Er7uPC/6f3Y9ACr3ysYjSLy5NttIm
hVZl70Ya3YsSPbltE/sicIID85+buFpYGA41rsxgaRDHURouHrQys28jIe5tRdwYzMEXURYn9r/b
apLwz3XJjKBw3VXVlwnU/PFUgElu9YEBXFnsshghzbQ7NHOjZyZTPCaiydYCbszWGAGEV+1d4QjM
IQP3l0iXW7t2+6tOMkOiagdIsrIPbSryR5k741qlHVXZnMId9uOCMBMUeN1aJ1P3oKbkLegHZy8i
1a0cW99C7HgSpnx2gxBp33jNAOuvxuVl6P2tNmGwDeZzhpbYxCYaK1rcVJIu7y4yL72eJ/E5Fl6+
LUgJbdUYE8ry0vagV9MJixLwCie5KM2SY7vihWvySXMjbUUMM/aNZAx8TS0psvTKqfKz5akT4dTr
vpHAC5fhZOjaW82qP4OjWEeOiXslY28oAcr24jzFA7BkwaXKC7ZhX3PtDZp7pnhvQhsvlei+wvu8
b1r3AInpIulT46BHLnbDzGuoveT3ECT5l8yAoGzOIfbLMWOYU4gzPzx82iF6rhXTdEPPz2ZgXNcc
+GsvfcO+5UvUW8RkZj65lV8vWZGLwuLCnLfFUyTg2XLgN2kOKrKTRr7HdyLSagFahO/m+esQBOkG
59WN0QTP4Pgn34LCsoIdvffkfJEV7WVnwIDt7Jf/Ye9Mmtu21i36X94cqQPgoBu8CUmwEUlRvSxN
ULIto++bA+DXvwUnzrV9fXMrb5xhypEokgDO1+y9trLzN/pgyKe8qDJukyomEtQ7RFV3aTOxkyby
iApzP1bbc89UYlVIl7V/WmykscjddWbjVnTlcUYeY70pblv8ie3VOOgIUuYCVL1hzgjE626vJ+5z
nxcZiOBcB2EQoyyvM0HMY8tfHxZwiVG0GTfjJK8YourXETfWmu/cwhZDT2UNDV9O54zPc12Ed5QS
2TGRibXr+Ah8lWnZXmf2uKoqmn/YrgG40MHuon2nmRo8sYiXnuAcbLUk+IMN+c8xvSyv/rLBIGNl
nb01vziplx/9dlIb+m/Y0Dh0GXj9AeH4cxRm8E8GMCPOyQV09N0oDFOKC8BvOUhZin31xX87qu3f
XE5WlJ/gNmgNiEn+G0e1/HoU/6vNXY5qWBzQ0iW9Lq/2s/3d0UOdmaxVQtwkrR5WurHWFZDKcWSJ
a4yhDmQi3WYmpOS8oDfwiugl95yFaQReuGNhXF47lJuJpcH6CXxBqj3aJ6c8wcAtL+zJniaBEor9
9MZtp2nlap0/TOmD3QSXhCIXkyIivKJMnNsxNOcQtu2CqMlcW/Bws5TwEXFdzyQ4oBCQA9iaKFun
Frv9QnRMjiHxzuw3iOSeNril/TkogdQKq9z3tspxvsjrcVqCtKc5AezTkgk8diOCIvE46N3GSSYf
/Xa76ZB1MOBhr4eh5pPN+4TSxO+tPZSo/ZCVKzECGwuK5JMXe64/BXB4mV2nPJKiA0dtcMgqNNfI
nvwSlNFOACk/WpamTkEceQxG0KTLJnmMawwuuKMJtgyTCy6HtZVMCHZm5F52/9DEtU0DVT/aTnip
6sV4YqqT5ADYorrsVxB8+02h4QFUUgA1BoK/Suv+DGkfP85UZtt50BaCz5VVGE95Mtx5CQT1QIFi
m4kId8ya6PI0/oyy5BwW8/VsQNLuHbaiANPZEWrrYNHxpHF16qlRVhVqX7pKfP7z2KFA4RGCAMvE
8p6Ym8ywD0ln36YB+zgTA+SGJ75fo7baKq38VBvwRgzRXhum8mWt7UpsPzmlF0rNo2nOMHFle0QJ
PPGi7U0d2yD2Uz4aMUy9L1ldtUW4bpMer655dqyIlQPwKnQ1SblPdcKnK23XJNpNOpbtGRVux7cX
N6Rs2HeGbZw94uP9ZkLWJ3No9AhaWGBgA1plErBBkgpnlakADnlLfzRGW0zh51AGr1MNuztDsAtJ
xN5YnXiSdf2amGC59QyKU92xEIzD21DpJ30kqTwcr+vW+9wAKwWL2/IZtvYhrGMdy6t16vr2EpMK
rt2WpZPN79PIQJIDa+Ol1VO6oE4wFh3beJbnAtHIVdJ5L2Uq7jqr+ewynmxYZFVzuCXsZ1O16srr
tG0jjGOZRddxWV6NSXsNfvpmKNJ0Q1Z6T9hLz0g4sL7MttaDJ1cmC6CeZOmVLIYZAeV8Dmtic3T0
HttwidJRps3rwn7Kmp1awnYAaO/VbN401ku7hPHkvfdYEAOTkdLTGA3D0c4CC8OBg/2pn419MMSs
d63+lofdqiHxxwD1v9Jiqp6ANCBURizPkbGlbncsyQtCELAOpvB+rlhb2Q07sWgJFzKajhsFLNjO
C3WTbAu80WZq77IllqheAoqMJaoI4xGgmJ4rp6gQeBZLpBEW6huXjCNHFl9KMo9Y8KZrSQoSm+WT
xayUeSMBSRRvw0o0AQvspProMgQ4eWl0jkeXx4QQN3lJCEDv1PoFy8e7ie3CF7N671uN9Al7vDPV
VB3MYnjVS0TqUnyYYufsZjWrOKROsDqA1shW7sY+fC7ouzfQjraVO+2GAAV21dx4cXYUdrKdl4wc
q8b/5nTxBjvcviwm74pV56PbI8+dkVDRYT3oAjFiZJXtZq71yq/GZPRrzTiP3AY3LOHvSDvaj5mM
10VGDrdDiWQsC0U81wbiwsU2h2G9S9EuenH9FtWIf7qJAt7OMp/ZxpfQ+xRXzl3bmXcpnwnngA4u
n7Khy9ybvDO2ItL4FocFaBA4dDkzZaYakl1U1w4ouYzYqk77jJiCzIO03lgLl9wKr6MEaZvdx8NR
anrh84VOezYLd2MBMzuvGDyVsb7pXRBpY+1y2zbhYSxHoi+YMJjHyFu0PZnzKto5PvA4RswrUVhA
Ydei+t6Ig509T7AgIrv3x1hHSBC2n1IjwpHekg9iOQxz6hooEmtCw6jue2s8SXRra2rfXQ8KxEqr
a1XC4a10BexkvBNo83HETFsmcsey9vaarqmHaJ76reqN99Trx1ULGCkHXoBEGwHT1zLin3rKYHj6
n+upc0lWzy9mHvzQt0pKx6uyIBwZeVjYGBaGzp+VlP4by0YDErH8PY/nz6EH3hdG7NJzKG6wiS3j
kD8KKf6FmQdmfbJOhUsx9bd2ikuJ9+PIQ6KAwHys6wa/C67AjyOPuqxl50ZJdFP3iQX+JlXcMJZz
0Y04oooItUCbfVxcykYXWM3C27SxQyoWd2HXbF2R6929svXQ+4K7dd9ohRm8VWmekCoPAkw7Yq/D
gqaTmaL7aJ218IaArDinm5ARDxG9B0mJ3dJCPbjOWo+SAwWug7hxmNADkwPAAn9aNRMRachB4jra
O6pH3pdRuK3M0WmsfR02XoK8CI2vXausuYRykbn0GHccP0QmbPPotjdi7nrt3WIJ8/vG5Z9L3/jL
XcW5/GVE1fcbCtYQ5EDBpDVYgX81Un678rkpbHYWgsQFG1PYsrz4tqHA8k57wJTwX3b4bz3E4nmH
bOtB6/v7uYxo+36+9kEJQsxekFysDphK/njttzP7zt7q7evQLOYTlmZRoc9wUZVutBG37ryag95g
F8v0Pdu4XeCUZCzlbe/3UEiXTBmRnd0elxgJIiGvQcnH4lWSEAJrhqSNbjGTmDNZa9QpHVkrz6rP
tWozixCRLCsKzasOrWxAtXiDZY+3feJAk4m0Mtw6FhCVfiye2fjGLCXNfbcM7Np26Fb1IIYV9WIO
Jl9rt0EvHhL0201hZz5uyU0wiTv2kgj9dVS1ZVAdqzI/FnVw0tX4RMw48xyHYRWy9V1fHRjwECgS
Vtgd7CRepw6rCswiahW7rH/7gOaGjetz7ng3uEz6VYbiCQU5iCIERtieIASq3L1aRP3G0qPE/fCh
I9iI3iaDNCgsYmWmm5YaYavswV7bvdevg6Hu1qYzj5u0I0BEoDHzp4UJwGbLF1Y/bZIe45xyh8+a
HI8Z9di6J6KKdYn+eRyhBOFw3Sai3scWKmdoRqfEBZW6yOF6a8rXSa1ObU/9P8SDwRrHvNcYbtVO
T6BuGqzzxRcT4Ms/gE8PV6MsrxOjvKtrtcbYhGVgXkfYVFYDoyesbP7UZx8l7qFVE2G0M5lUZCmO
V8ilIAKvZJD7TYWrApcGwqxuTJhYlunWnRyNgRVcJo1xWJo1yQnd4E4Pw+ee8SkBAV68MwlZ3Gh2
eMPjLGZc1q31ursaejxltWiewxKJ00y++TTp9104+pjmh1Uy6vu0SO7CYjjFlrlJnbhf2fYc+4GF
NLpii71v0iBai9G7oa3EnlSb72Wmt3udQT4qjvLa0gEnRlB3CjN9ZBRA21XjUqwvWlSRU+Olxkpm
PFvdLGGJkz8px91MGfIwYb6Iqi/pQq3doLL7MbXYW9VY0ZYwo8gllWBqExKNhREdq4rgINObxT5S
6rngPNwkRvc8BupJl+2DbJEUoPPeFZF3SVoL/xdZWlb3cXSI0GmButDlpUAoU8wtrp4Dp+zvgwRR
SclKino6PIStpMTu6rvehpTlhq8wAuL1GKN/9ZK4RrIo9bUU/eMQs/XTUxlvSju60rTySjjeW8GM
eyXC2lgbpX5PAMI2buRD1Yod7pUbJWgPxti8Z9Xqblygdpw72nUYyXPsVNraTOPtGGcEs1H6o9N8
y8N53KPo3PcD2n4tcr11oTF/M/Os3HZd8ZIUDK2nNi65y2b36Anww6BtdqGYmwUusc2Vw0VqIHDA
s2qvSIMEPDFddF0SvEQPUDb1NRPtR0KGoitUL5gv9PE9jb27RGIZsQGY4ikcJ/Ihpy9qYAA9DFmx
CUL2h8htmbm3nb7LHFXiku7v7YDRPCBEB90iJoWyipGuk7VJCxLt03B8s6OOeGO7KPzR9pgq1mdd
k+8p8VjoOzIMSaTIra3O2c6a+NIoeaQ83k9z+VI4ocHSoz44ZorkBjelABq4pdfBWdOzbRgNeQg7
ZPZQKBaBTXLW0/wKogLWyeToeAw4G2ilWXKIuvo+iOov3ei1m0I1p6kMLrZWPVSULytzYiIpSPw5
ejwXeTYy5BgyeKplr3ZJWj4XZTetHeVxzyLfsAKkfCqkwIgH9eS1Xb/qS417uiC6DHXoy2h2Jrfj
CE6jF6vcNUuUQ0a+Tafo2VDvqmF7jbI69otJHiM7fxknPlHdI0JJdYYfDOXTV1Wh2SJekiD/w85i
euGQUGSS09SWnzxDAjYRXwadi4Eh80PV8IUpiePCysiL1cOi3ta5c4PTz0dbqOM3VBpCxOGaOLI7
3irphdFlRsW5tSRNSDhoxmrOnBO+aba8rjjANyEjLXDHg1TWvVEFHyLHm3dNFr/njDxWgVTM42He
L/SrR7NgV2w748xC6ytB5Z8G4avqcEFH/FWDUHTvzfv0ix6Bn/vWIwCjQO1HbAMxFEuhRBH1rVJi
EIsXAB4y8dbA1zwK+G+Vkv0bdnVUPvDkv+8QTAv+j+s5WBpYiX5lW/yNUSs+h5/LJA9EDB2Cay7+
CVqPH8ukvAJ1M+mufZ2b87CtRCDxdDkvDkPL0umfjc5+TOfbAMSCUeu+AXKh78LHYGEwEHpornGE
bmrwDKxcQDWYKn3MF3aDvlAcJnAOdodUGWUVjXKyFyGOZ46WraU3aOcXGgT6uVdt4UPoCynCXJgR
POaC7QxGQsWIv4OwuSoU6USJGT3nRLYxjHiZiXXLKheLI5MDBCW3XmS+Nbb+YRwmY2134+KhLdcT
dPFNVSdHwo4xfefl8DwJ9zXuqvjIgCbwdYWIXlTJIzy7VzE580HmZPO1Wkm85ryfa+N1aPNrDxfV
ZDv3XrNLZ+HXXkmTnqjHPopf3FjbK1E+t40WXjlGtfEYaOTFABqIQPtsYtAbXy+7vnpqwK/H0eeS
bQ7VY72qbXXtLWst7NAHWW4JPF1FE5mAxn1YnxuiD7v0pTYiHn5VsmvbmT2VPmwyif6ZKVy0ThOD
UDYZrEqrbfcD82HMsSYBZNrJzku1LztmNUHc+6pM7qrWPjG+nrfSjqhrsmxfg9FtiAzbdEbLuq4R
u8aeYdEN/c3keqD5OZ4ExqldVBB+GJMPmhW8Xgb30QoZazjNRzFP8aYVpO3grisJOxvtwAMA5Zwg
M15A8V3nzLbsxKJSBRGpwmjGtbLB+olASBKlmAmSjotlYRbOzFhshVkySyU9oANqGy09vnKHydAU
e+Ru5vMNVrM3jFWHcBEF9i0+csSVzFGmW+XY7drRWVPXJh6DpF7LOrkrdGrmiG9Oq8xHqySYGlCn
T8CKe6o1/ZC55RlP5iva16eoxUxYuwj81BRsZtvmuEz6ZD01FCZp0h2GqYNmWafPfUz7PLPDWMdR
fhu00oQUOu7pl8ttQ8OxYlOqIDQeTCMG3+uQaInQsayqi2wi1uaClIOMTEfqqWogjnXKzPtkLl4z
PT52ujqXSHBWJL9eBcwnBfYfIyfaOhMVKh73YwLFyYvCHVribGW77QOu6HtMhY+EkR1EUV71jXwH
Qn5IcR6wlnwt2uzRTms+1Jmpvdkczb489wMiVBINb7N82I1BfJILmWFW+8orD/oS+zJJ2u/oKpSi
okk3j1WmjqoVNyKShDLMDTVH90HhssXhO1NWQcTu4VpOs3PVeMadFVfHNB72Mp3QVGV5f0gG4yJF
cw4rh6jKgRhbvBwE4963ZfvMkXiEvn7uI4mMaborRMYqnZs+zfC/qvg5TJ2dFZb73I7dw2QVOxzf
i0q/O5uFF6/Br91KkjXpMm9zbWBbzyYi6psD9pIPrEkA5oos23hGf0eqxKlvEJ3ODoGM5Kp8YBSx
d3rO6okJ8TjTnLnF2czs19n1dkpTfudRpsXDS4FEtbXEl7kN+xVMDH9mqxvTBNPazaBG7iD/smty
VWZs3dLi2TeaUAUk/KrGzo5e2J9YmR/g7XQ4ZLwjWOWLHLJjEE5qRXThWQWSfEGvWOge7kprsmso
tru69K6bIqVaV+M2r4Xux5b+FOv9adTls5lqCJKTe7y89gYVzscK30jZhgAa1FEPtedRDBcwkdci
HTeRvTBMJ/VmaLRBcRXiHgL6UHd8F41ubYs+jHHB5q+VaZ4nj/YXodg+LZMdiwq1aW39yYG0VZOR
HkUJpgjtFmM5o1n5AEvXj+P5Y5I597PVhafCqquDCIO7Ki/O2iItD+rMl7P1qlf2DpTaSpqoE1jW
SNwio7FPaWkNI3xPqRCZFS1MB2c6oR8ytrpeWVsRmzsHbRuq5KhCWUNtb4di3+b9h1bF9zWt/tSH
D0HT7uFA0Pkp96lQ8Y73/IDz6rmro+EwypuUnUQioBsk9sRjZdxZsryoLnyIxdxuXHvYaxlxyjOo
j9YGVq9D7/D4aPQLdORiFRFHOvTGPTgk1xc6hCWXSIzVoGMnMu1zm3He+1mrGZnfqzp+svCh8vBn
emsU7L1yfPTbqLZXeT0zqXYH7k5mFGRgs3LgLU1Ttadg3Dlh4d2g8SCjvhsKf9biemUMuIHDAbHF
AAh9gMkh7SLZcsKQkIyealMZ2XpELWRhZQuYkG/GDE12OXjDVUKSC+KQ6UvRtAf87VimpgIKQNLo
K5tNg29l2fNQhgYdu91snAhxgR61jrYiu54MmDw8Kb2rLkWtdx8S3UEuY82Ntu1dZd22CiNZ5s6s
NVUmQckO+LP8Ss3ZZta1E+HaV0MV3xhuupVj4jvG/IQL8o6ND1w6AwE4QAgjw8hT6PWHAKzDkq7p
NzrI2CEdd71ERmF23cch6QkucF9kYJ4HRdIzIom8H7ZdYBEu2D5UQkwY46I3nqxP0KT2gYouwhrf
g8Q85jMfkxcRBBpT9bca7K3ZOjpxfg7izKRCzjfgmXE0EY/ac0QzmySd9utW2NpkaXnXtWm8Qv9w
AFR8ssZ4rzcz2JbqkHtqZZUi3cQO/gIotreeyu877BlDOU2bvCgeikwVjCbSI00n4lXtDBtiTSm0
M8b60AXeTkthGTr1May6Z1uax6yAoG1y0pruNnWrTzTG7AfD2zGgUphIq50DlKN0w1bdveeRd9IK
EHtcdCNoZFgjn9jmh6sWpF8p4rvGSHzcpmuPbAZco/Y+GsV9m4Jk6ApoPdOIeMRhV434KxiQhS1W
gt5r8VPp+7w3PhBAxhJdH7cWXkYTbQelBRrMIqt5uqcfMrNfh3j+QCsYvpcy+O3D7KBVyZPnAa5x
5xus0xG2Tf1hUvrWTKrnUrcFnTPrWG2IPwdNOQAPUb3fRea1ssR1EJoYEDvbJ+zKl4GzS7z44MXC
20IZOBKz8F5N1nVXAbvm+d6dbIOLJSyVxWSJCVeEu9IPJtu9lHp5VUjmCWzwsZqI20xqp6xDXKuF
5rYFe4K9MEKX1hJZGk32i6XIAvd40hAdNJ7G0SWQWZXPozXfVpr9YhiQAqu4/iAI2V0Ju9+m7ZAR
w8q7dgN97y2PHlAJq6H0on3YZAm+jvRcsbVPQw3SsdEc4W4CQbDbEf99Tqc4wheYapQ8/NcEhE0f
6vswHqtdNhOq4eBhnbr+NDfLqW3JD6POjZZAINg0owfvcpLXehpfo65ay0RGwPHn9oRhc7EhmM+k
3YdXqgluvTZ7IWhH7pfb3cb3g3iC0zxtBvPFjdCdVfKWOWJ88qAfuHp1CCvxwNZtNZeWWMWqZ5DB
vjBPT3UodmzoWX9Z+ZfeLTOe5QbNrPuQduVVTIefMg4cMqxurdF9mPT6jn3aYmhyrhM9xDaabDNH
TviPk6c6817kaN6RiloeLROCTI/VZGt08gUC9cFrdW1hOzGDGfjFWq1vS/gE6LfksE8yVottUXE6
AjYR5j1sHYM2ommY1rrZJA1Gcaat+YYeB+gtvuv4bn5XpfxF2C3GWkJsQCwsIV6eidnmxwbKiIUA
3VTElwQoZ1Gc23lcefL+r19k8XX8SxCDcPXri9i6RFxDjPPPw+w0GBsTdnZ8EROJMWjHI2xND516
+OuXoRP995fBc4gQ0FoGXsuf8Z2qPxDCowsQFO7GF1U+auZ/CQb+xe9n8o+rBHMJH9fPn1XrTXZZ
2nl2KRQX2t4N0DH92X3/4rv41e8HjMsnxAdFKPBPEt/QWQa0Vp1fXPoO68b6w7jyHzMrF5f+v30N
330+P33X0k51xvd8PjLfAbxK0UA6G8m8/R39xV+/lV+8lEPbje8Qz61jeT99FZnLvFDNZXoRyR67
VSdWFYNUueYY1qrfVe3/8W0tf/ZPb+uHr4XZxfdfu9DjfHDYul8q6IotFd2aW4tn6jRs//6b+v77
/+lNFU7iEW78+wsxFS8g5URbzpHlKK7+y7W2/NE/vykWn6S0cTqahoGQ7fs3ZSI0Kjl4i0trboPs
bYDGFnz667fzq8vtu5f4+XKbYeOVoSWKS+G+JcGL1P4fl/PiBGVVjAPH+jq7+e52TGpYIpJ4tUvC
E5ABbjb9Px5ebMiEDR2B28Y2floQF1pBfW/r5WV23pRz3S8bn+6/PLt+dSVzEbPsRs6Hlm9ZUn/3
LrwoB9/pzvmF3Hs5rZeNi3U7NEyiN2xT/vob+cVrEYJoGIbugD5g/vTja5Eex5AtsQrCm6hJ/LgE
fuODKiypse6+vtQ/i+HlMv7zobt5Q1H6ewrc9Vv+/r//c5P1+Vv77wPP5ae+G3guVHGGiYtM9Eca
KKIIJp6IO3F1fNU3fBt4EqCE4JRnnmRI+Ufs0rfVMJwWj02zZxmLJW4Zh/6NmSfT1R8eDchLGZ0a
hs1fgWwDucVPx4SMwgIlw6RfLOb56R5HrrGq3To9J0SayLm9daP5OWCTYNRdtlOh96zFUbvKF5Rm
Ge68IAOLno6PTVdFvlk2t/ZQ4iAVmPyp/PPxYI6Ionr8/9pLGZIKFG4jN7zoiReey7iFxGZN3sbR
qRTSljkRFJXPmfQo8BYOlAzcF0QYiJZMrdtK1b3MZb5XBkAv0xpuYtWZfo0lln8Xx3lgr4Cx+Cw5
zZGHZU+F1mOHasR7XLVf1Gx8djUapLInLaYxxvvcHdWaLvtFTdpzM+NSJVdkk0BLRu7nXRf2NB01
0u9sfSL4pkDoPQYJ8zqb/zFov1hBL/kfcXIPOvxwTMuJESPCCgCW5FEDf6Q0P4n0gzXdRK09r0C2
xzAa94SMRpvAIfhTIVSTaysVtKJFZJoUcWg5aLPNznvTY4kbLR4bqvBiiFjLFOmeRX7t41YHgCbH
yhe4U1ZUKktZ6WZbMRF4YxpDgxMaUhOrbtXdMk/Enz5nze1Awgdr8KGG2ZjxUS30z7aBkRjVCfLB
gi1oXtsfyrkxVqoHbi8b6a7KskWz30eAQTzMKIEXWIwQ1HTLtSlhMCZik6hhHZV2eQWPmF0za8dz
YIlko7y+vYpCSGJjE04I9DNwbDWCG5aFZrDT0/6L4ZXuro5AJdboLPe6rX0cOr4+gzw5n2Ueu3VQ
5KuYMfSeuLF3TytBPtdK+QzNUDF68pAJeGmE72U3rhmmvt4W6GC0KfY9vEA7mZlAa4bW2qF3eM9H
3duxNkaW02jZDVTX8IpPDslNoIo3Fxr0yphisQ8E4ditYFNWEGG3MknxbDa6A+AuR/rzsZqKcFVi
CwElCeqerJbmqJxSHUPVNzsvYkRfLSCSio2/z5cHDbe1vrA4lSs5RV9YKpq7RUERrcScM6T2qmjV
EGb7UeQIEaIA2ZDKWXCGOT0LisgBzA0JPvyVCEyTgg0991x41SSGQAIK3cWPEpj5IPPdcYvCokm+
ZEgR9rgVjdtSh5rANrQl2W8WDDyreN2I8SFDNMrMGZVmYXop8/n6CeNQuBZzQNwXmS9+GwFBGNoX
Layfs7LAPO6SRRPl80hARwm2RkBbc6bkSS/Km6Ru49fJY4hjRGHE6Mllu13RoM0gkArmd5aN9Kks
nPpAUtZ7lA2vvQi2KnSxOnnaF5V0y7I+fsESccVc/8Nowztjr4jaOm+Wh4h35qM49AQGltynWs91
0eXuA8Sqm1qPrirdclZFg9xdyE+G7T0PmQYyphnBmDXuwW2afTm39+3sPdaRjRK+A2xS9yRdLfLu
OIinnWnQE+Hth1SXF0cVtjBJo7tQoNZwQvxHPdS0oyXmtzFBQKAKYx+X0VXq4OM01VkbzXozoePi
TmE3i2GVKUKcFUh6vfhj4hbFq512yT40B+YmEj3tCOXyyrYZ50u7XFLn8o8I4HlmCYLKbLO+KZV2
b7ftstpN46uQodtqLMPKTyfl8iehTZ+0zt5WI8+koFThbU4/sGq5XW6RxJurWQCCo01O9l1lRT5C
c28nkMXcZWFTbVyDwSVPmH7XJna40qzR21VSnxDsRy63NgM1ETgTOtkp8QPgwgx0colhOWFX31hf
2imcoV/OByaUF8HMGjfviUT23DeVMHYm6lzfFFWwJXGB3E/HEuieA30jRQkOyh6tTVIxqIqgQAXM
j3eGuTjaEv7aKOeuNZRCOVCYeGsiQgymiqeUwMS2UwXv1GoGayEkhMjidXunJYSPJjkUhjrE8EbE
BrFgSOh+r6r+KXUMGpD/XOpcv1UU7D9H4C4/82ehY/yGE5522XGWKO+lfP5zs0uaLZsGOjhii3Cb
fuejcX+j7AA3w0KYjavt8FPfCh33N93C8g+X3yKcUfw98rkpln7qXz0Qhc6yPqbhgiuDrA7D/o/l
cAMFVlqDMV+qinRWnWkKhweXTGVNj3pS74LI/SSVXm+Cqv8o+gBzH5eWGOWxtYIMUY726A31hrjH
szWT22h1+YL179DTxBc7zrZT4N6ILITBiNbTr5XYpaN3VqZ1KvNy54bevk8MHDX4U12blXETLs8v
W93bFokgWN3eNbs4QiTGJTLI8OwsaHStIlPPrS1/MtBV4GXc5YDDhaWcdWW4T4DYbphxXiwPomzf
FESYm0P2lNrTLhhR00+Wd4sd4D5kEkbKL6ImC19umJUCXat8V2WYnOe5r96KjteZrGE3a024JsR7
rdlMOrVUbMEzs90iWYG9D6RdZOfVVS84aI2KjODecLxNGtWQJ62tV2cfwz7eLGkPLPPaXV83cbou
ZbIbEelvHUGsjkr3eIwBcnXeGivEppGZfjCm8mgKwJq6ZkEbnRDoN4T6BinL07REk6Ls+1qPbcAj
TbdmSc678Bp5cTP7UCiUK+UMQ9RqrexAqXttQ10xi6Jbt13w2obuQwI1/RBr5l5OwTsDGWIe5bgm
ejnftGyvAURjwtWk3JdR0K4IFRYPrH0BHI/WgXH1uJFhdYetbz9K11lHVgpmZW7rNSVscGBRKzBL
4tuvEg9YNbpJ7FATIDaeQRDMPzU6s+ih1od1p83GnVfrLkrgFCCLG+80uDsbrdPFdlAL0jBb6Iak
IBYHeyEeoutVa0UG6KEChzguXMRhISQyhkt2Hcziet+0YRncu2Dtr3Q7+hxqJZA0kOJXc4XQXs+a
Q1OHD2ymEX91xl5qVbem1eV47y1/IJ3SHYryWLjNmSCdL+WI7F7O6ijG4UPVsglDa/fUG7iSYqSn
6yGoPgytK4hwnk99MWIXEgu7O7mdO3dYl3QFnbLOaM24JbQnIjPFGnr7HnAFf3UoL04b7npX31ox
qsNWEh/ppe0ucYxTZkNFE173OlfBZRDpI5afmtSk4BAaNQK8iQ14otex3yRlu42j4s0T6TkKwetn
YeTTiJ2LzNt3zCLWysHuEMSPpTbV61ALORwM8dmMq6chdTcaXl4qLkN/GxoLGLH2AkeOoqtzz+aI
Tkmf7PTWTuUrANNjqzufnbk9smW4nnVEX/iAsFhZl7EsjXPR5NAgWeVVjn00R+D0DcsCzYjuhlAs
Nq0JZNxDqvlyco9VDIdvSNpVEOGCKirtIR4wiXdpduvGjoYur3mptO4usfsAMR2xRVZQrm06A1MF
mxxguKbZ+7nlYITuUa9F03prVGmrLPLOoPQOMAUvqM7XveRbJ/DuOJCBsEvz+dWzwQZ3oLDJh2dr
mKwyLQnX3VCfejUfvCr+iBtIrAJdx7KsvFUVJ/ddZn30mqje9CNlblE7T5QcxVrPA25ieLmkU3Z+
XvMsBA6Zjbu2MKb895TAf07chWr2n0/c+5jt2VT2/37qLj/356nLDIH5rm5ayzkKNu27U9dEX45z
4itrlXE8//SHnkpyVIOSgFyzdMJM1RhD/XHqMnngeFwiQmDjL35Y5++MF3Av/3zqSho1VF2L1svm
T+F8/37gBQ4CZXJjlzdjI5xtMUAbl7QzYA7VPnLw4Q/TxHJMKHGhDhBHkeUg4m32hqhR4J4DOWzP
9gJGb02zvk8IaNhbY99eqzSoPlddkO+chcMeZQ4PKtxL8brytP9j70x6G8fSLv1XGr1ngPMlge5e
SNRoS/I8bQhPwXme+ev7uRHlTEdUZFQn8H1AL3JRQGVW2bJlirzvec95DjaiTFPGi6bO2lMVx+aj
otrtWvPx3C85gLKFzf38mASliyQAD39MrVOgaRRdBOGwmR07uwU5bz2C3aqvB93qDm0Til3S5ZBW
RKcka82aijujU3EpGY3+DuktfcAln28DqwEoV/rNc8+ZZwWxIFqJ2h02Ih7Y7oZ9eTnIUoAOyw6B
udLrB83sT6HC+uYVn0JonmlI99O4bouk22jfwhyQOOPwyJKauEflN3l9EmEJOxNuYngdxq4CelqG
ReaWSNpwhK5PFgTvfQhgvUhZAOaLtC8HxbNYfkVntpLjE4q6dHrBhlJlnLRdHt7++GgPqfEMpsiC
WTqCayS4Ze2nzp6u26GYn2VGmSwwix4mXQ5PUcA47Zd98MKVFC3VfJ6f/Sac39mgPwC4X+dBtFcE
ubhMs/vlYNFQQaV1oC0crZs2CTVmZ4HWTudJMZbEON1kXIxZQfVsNATRuqFQlYBvn3GaSKp7U0Tp
jg7TWyMhHlMq2LBDyZGwOBOgqjT2tROW2a5VWve2VEGkjS5lFplegCzg+ESbASvNd5aT7osiBmUP
VxAsxZhRPKopXt3SONsrSjOS2K+qlirhqPwqoPXuptLPUYEcjAJUHz8Fsya82YXSPfpJfC6I+h8a
CvoeNYITADtxaTQJpuC5G5UzLl4OVCIfAKjW/gPi73CbS4x8V4zRtcJS8yKUAPocVRtSBp0eQEwa
3ALQZ7m5NqPVeAEWFcBRcDC2eq+/cyfHrm7sxTgYl5gT2K2S/dHeSwntryK1ATbeSI6DY/0z/Xyv
ttTZA/31vfj43j+//Wr+4av+uBOr3FQh7aiUURq2Qez/z/kHxICjUojCuQxJF3jPx53YQM0F5kMu
jVCaRHV/mn9cvp9FZM11HJ3FxN/TeY0f91rfxh+2mMjGhHt4wZ+9rT7AdsNC4jhF+YUxCY7xPiar
kU/KOOtoiJNeLVw9P6eR8YpG7ZepTBXqSGYNqCE6whQ1YD9ad98k7gkcWoGtxn5xw+SQdu7dLIsp
hvxrRw1RpdCDE7niMS352DqNLXkFM7VM2XmB3snxsXep4MHUoFbhEvyuifczubMDe14bLEQXml/h
+vRpkdKthyTlyDHNLwpFJN9bcqruNonaC4S/Y4S9YKO6znWGAF0UY3D0+3ZfDH1JBUNzpjm4Y0bo
jdlY8DvPKLsG2na365xwzSLbX7AdWeehct+hiLnMV5buHtk2rmczZCMnBFXBeaOt5qHzSFesKwcQ
sEEqlyfqG3mWU5No9iKIqul6pgog6n1Yj2VD3cLILBIbhFxtk2hhrgB5U6zHbE4ICQy+IAqrpntR
RK5XDVpDCMvfkFOKPWeQllbX8tyJKXFwZ5RHYgtTWWBFse6IFIDBDAht4MfoGKAoqCoQDEckovlW
GwbUq96xKvC8VauGCMVtX2O6DWKO/mGQmh4Vm7ieeGBi61olDXVZsmhj6O1V11C9AuN5M6pmv/xG
TPct7dYUhBczYb6XcNRTtXEXfTs/zSY3f7vhwgn97rZF2IrS99q39pUJh8EyuWV23dlYC4gOcb4t
dFVZhQlajyb6gysZaAkeyjBU7yfT3mclptbMmp4rzapuzay5CjKTaatfDOWwIzi5QW7ziT/5xLEi
f5s3YbEMKuNs6hJt4Sql2E0Kx4g5c+6UvnYWdqWsB1ffqBFVZjJ+4vjDbnZ5dKlFCbI5oMyiRzuD
xrSJolAsVDEDLfbXRmetZS3noq67uxkDWGrpXwtDitoxBhcHx7Wf3BK8f0SZvRhDYgdj6xBPmh+a
Gh6HSo4E36ZYphgX87HdZ6TUMdbND32L/q1Vzy26tLD0M+I6nhaVjzY7DM83cGQmCGiLtE5vOLrf
huxT6cYwG3605CwZqWCeCc+14rECWLOAf3eA7341h+ZGNfx7jSKnDer/Muu6J8sJroDZroWWnwyT
KaVU6UaxZ53cGKG2ys7PQT1DfAjWSf6WEErqMJKsmsHfFNGgLtzUlO0600UE9tNRff4N2wBeu3mY
O7pofVt/znzaUCw1aZdqQ09GGgDO7qcbKHMFAmUKg74WN5DEqOhQH2cnPKTueGnQiM6YTENN5b75
mboFK8hlhCCMfY8L0L9JY6RlP9Zh85slHyjthsv4gex9yG2hOLaRfdm4xptLpnwVK7D1fJyGWaOZ
SyI/wgv93FqkNjAPBzQu2fExvZgS9ypJuK/ggKp2fh+qKxjqML1s92X02+ckrS58rSanJyzfawaV
xNxUuYyY1llJK9XFbDgbkLRhfkmSL74uc+3Vn4jtw3G8nYviHCTKi4Y5DXrftM18V1m1iU5NXUDP
VBk2a7rQ8jVkqPeiFPOqg52EIFvCT2orhqzW5R1wRcu9iEOAb9bnHC7OWl3bRx299GF7VWNwpNIE
nuQMKaVTzoqM3zIixF+2oYrpUDG9KaDhJsxoAxPmd/PFP+OX9dvx6xEuzr+PXvJr/njga19g0FJI
zRqfcUk6Ej4JnpwCEC152EvFk6f6R5TF+cLghUbEkx2eH2rpH6OXAV4bkqjt4NIg+Stnub+x2UVd
/Xn0Eqz/TcOgakOw3XF/Gr3amjGDtofxxJSkLEoHlI5f37Q64kCsY+2eWdqgPmjpSW+z7Lrp/HqL
FtVtu9nXyKuPKGwFm6DKNI6GMNVVm8LEnkQMcIOzfIuV4iys+he3G8qbYoIOTUfYeOEGQbnMslws
3c4vCD32h1rtqCnIXa+HVHnKAsz3ZOaDKw2T0qajmJbGYLYCjabdZjMaW4p9kp0Y6zOr2xmTcxOw
pVmPZqx7NrbZUwpMeGna7hNTHQ1e0tY86xFcvaEAZTjl63Ymd0sSkbI43oJTpDn+Gu+kS8oD1SYY
dA7HGcC8oUS8JORL6U0+t9Q1CaoYSb6aZZwu8i477yqGFFd5HCwNkabo4JbixbXCcq925ioRgboC
2LxPauWsL5w73s1DQQoZma1ghWZ3rHWT8MnqTbIglLgV2CYDIhO1lSMXhQHJtCC6bs2GostUodws
h7hiB8E2mftqq9jZuxHQ5TDm9t6ucYZS1kGvmhXH61axWKT73K1zayZnianStcvrQvGPJlOdM0db
8kMlv4nx5k/NhdKQnk0c/NQ13QSo087RmLFKzv58tAr+pG2J93IaLpLMeNGN+n4eklfFL7GmhCy4
0vHEuQViQanRtRUwYSiDvrPokoHVxoIfX8DJcmiz0jNzaxOuKcYMAowwcAlo4WMZzJemaZ7FFftV
hUgB+cOEw4svUy6YDZyTMamx8aKS8pp2Al/xSlDGAhqKWpZag8uYWnWzYIH0rlBqEHUOPX3KtP7G
v/Vlw4vap/tedr4I2f6iUwPDdhqJqyda7EuBNZBS64Tm6kjxFVCMflVbVs9xCR64iUZb6SXgSCnb
RhloowIlV5WSLm503mQp8yoTgm8gpd9BisAqV6qBKpxKebiPzB1NHw1zKtJxLkVkHzVZk7IyKL0B
pDdSs+7TxSXFZwMVeqIGM5KydGJZNzU6tS4Fa4FyDe76SBFHuhtMC1+8lLcFOrfiIHiLduIJK0Xw
UsrhI0fBXgrkfmudY6Uul64Uz+mJ2NdIDHsNXZ0zmbajmIO/EpJ7ajw0mn9ShmDNpDpiqog27TeZ
3s3qTSOVezpbPQcpP0TSdyiRb6XGX5YCUGNGFCJs9mTmy12ikJJOI007wdU3PL9DSeGYDH3ddEjT
O/6xr0jZxq690tkLs8nruc6hbIHIGi8njWDmBOhmX4HrZI+g+1u1anGpNoW5mQLfhRRfNbuyys+C
UBWrKeiMfWMH876KNWVjFpW6Kqry0lbcej0nE2S+4IESSONCj6Nxyd0v2SkRLaUcPPcKk0cwBv7K
jsvHigKcr00O3SnkY3wp4vh9jucW+L8L/v2fkfn7yGzxQPnrkfmmA733/osnKF/18QSF3g23XcVw
p1uSF4MM+fEEBZthCbqmmFcZWD+Ll4b9hTladiLz9KW/XA7aHytDmQd12fLTXG4amqy3+ltP0J+9
Ubww4qjKz8BARwCdh/9n8TLwK2qqsqI7zinIujHqntBhcO0nyEbccLypTu8tzY+WJLQPUU1YztIG
LAN5f5E1xU64PHcbFDeYF5XHWHEWdhRFinlgtI2uubu8gbdIljQj0H6oDBmBRZ24G42rADODZdaQ
LhnV+wHJSW/MB7fCQ+PAysTDyWLBVeY11n2Fm3mIa6VWpB+gXkSEDIDvPZVTcduHjDJF27BIs22m
x3aXw9loXeWeFRtpbvofjOjQJ+F5W0RPTeHQzuqKi9qwXlNQ1xyUYWeA97I3uk6STises0mdIGST
wyBmniyrdNhiCbmd9LKGAjKsTXMmNBbzaeO+QqRGcd5IGTFGpPZ506Y35GKSpRNYKytxrph/34Cy
XUSWNG5VssIjiNuVT/WNU/YPTAqvfls8+pV+gqnxihDuLlGTg1WXD2LbiOwCAXcr7Whk3Z5Sve1X
ZerA6LDBkw5l8Tpo7gEnUOtlEz6pUvI+JzNjRVdRN4X6fc6ThpHVP4e0680RHUxTMazVetgHrrsN
dOtqmntsO/G7yOobIwo2vjE/gD3IPFXKrPyRXOkNGQbSj7qKJYT0io0FrjmE7vg1xeLr+exsC4ao
ZVez9slU/d4MrCuzJVUJdOTGDPSvnW73uymSX25RNwui/CFTiNYVYbkg9rzuWnaqftfGG9tOH9mm
JlRqd0c9tEghJCJdEkGyFqqpsKlL1qooeWo56qZqQ7akSQnPtuSvBiVsWOpkfGmCRQdhPWdHTbPx
GxgglHzuac8mPxH708Ia5itBSdGQW+uOxkV8gL7sY+bxqrZ4Wpy5ib2044qzkFGXzsxFPDX8DTO9
DMiuzdcFeOZFlzsUQ/ZrX+2uZ8fYRwMbaaHjh2kqP/CCFI5Z3yWvbTE+OPSuL4RdvqgaeeK88Jf1
MMKSUaOtjVNrWSjhVkVH8RSR5EtVLTYUgDFMRh0kGoWVH/VIPFucd8Ae5xQsMzw35GRqt93ZAZEj
vSMzRvchJAn2yxKOx9WYAZBoX5qOjbtao+SYM6A8CtL1MzMHYwHYxQ12qU6e2kuS4Z60Vt2vaoWe
tTveBr/l4CxjWTZUkrXNPJvfCGp4C89sS9y8LiTncAljX1zQnR7ZF1MVhRdGNQaPEVTYJuUSWpih
6R9LkjrE/pjewBSoVsBmxA2uw0qlNde1xks1VfBNVpGxGkVvYH/DsOaNjt1Uu06oPg6xaGwJfapG
yjp7QoQaUkCG9lhtOFXpD8lAjuGQ5iXH8DgNNW+0xasadMR5cQrU+BoHytrnFcY9qyK0qIvgRm1F
2jzqhJ8okjRAhdMHmdn+U2JF8EBUvc5ANLgjhN9vT4l/xk35nPrrx+Wpfs6DXzwu5Vd9elyaEhgF
n4ShU67m/nxcYpYxydUiJjt4y+1PDhvji8sUClyNTghmTsob/3hcGl8Mx7b5D99W1kDpf+dxCR/h
p4ETpw47OrgO7BZ5/Do8zj8/LitsstHA9XioXQ0v8Jwm1Od1rn+mjJV6losGI6WiTt2TGYf7yJ8e
qcidl6WIX43e0siU4WoBzk0Ee1UZagxJuypXYxyxpYZLVdxxT7GnJSvPho5o1JyFQjcLTtXSqJ/N
1I/eW/yE1OjllqwnwwKQEzjMkePWIRirivm1AfyY1ma/rmpOpXuQRS7eA+gxfuciSkelTaOkNdaL
sa6/Kk4wIiGBbLEin3yvjmblUIVqS/eoYjAfpD2SKR441lA1OEUCseVcYBdS8dQMl5oxn4e9u/UN
5RzE5U4Lwt1I6Gpp2YB8iYFay6LpO49He3hemvZGLZWLGInpqvSdM+zUaKcBqndA4Os8b4p6qStD
sprsGORSya1QVN1pbJuTkozOYiCZTrUzYnVRYNEE0kURhd1SwRMZU/01MdrrKFWvsXBlFkG0Nr9Q
qmQ+GCYQnqpcB6UdPhQRwm/LhrTxs0NvAhw3CgoOmyBe6iVpSL3gnA4t052M7FqxrWFdOoiRopp1
r8YFAe2HSTrFHQ0XauHPwvZ0LQ9PfQBzn3NJR4UIEcpRKa7sgegpVHdMsPXCcDvwqTrOqUg5aLOx
7m0twgBemreNqxG9JWZaI6OtsVdBhi2z5UjifjGXonzEhM3ApylYk9hLYthsJmgbnz6KF99NYr+N
tfGBQ7GxsQOx38HG9uOFHavhoCYu7Y66GpZrIx3053DifRqAjYf/jAv/2rBx4/nr+99F+vz6Xv/7
uCCjSh/3P9gxKnE57PXf+DDS4fcxLsCOIQzBes0msPfNK/iH4EYRB621EsvnkrhRZU3Ux7ggAXx4
DFWZkZHhjL/Xa+tya/7ZYYgM5DAMQ38n4PPT/Y8mWTxEphhOLc1UFIon90U/XYmi71ecpk+ZVsWv
fMTyRTQZN2CX2NUYCr4tMXxVQnWN9mECTQJhGzjVCoA+SXeBAzeq/Zc6QHUYUwl27fIr000D9l6F
vxl6/+BkEK/CUrx0RnRt9/N9iLeL9DioJySN5ViE2TYR5d6QvsdMSIaUm6/nVL/mtbyhpVu9BrDE
EWnSFrHDoYDem0Ob0D9uA8PPk+AtbpyDSWBWNcdTSH1qIdhFoPdf6qGqromVQGkz+wuKxwuSGKhr
QseHm6WJlOUXbAeXRtVxQzfRsIZS22o43NcUziIZAnZYdVNprIwEVizcuEVhZNw0S/OGwxv2ENfr
DGPVASnDsm9FS9SZ3axRX9bmeJRJBt5Z7huFFB6JDulf24u+fejUGSNI3IzkcCNOohPrRLvviOiP
03uvFrteE2thKHTaquFdoHGTp30PVAX5bTLH7PSkX02chkgcpeMuKOo7enxeum46E0VCOH32bEPg
X9R2nZ9c6hOck8CyrxzeIT8SeKmLej2k6bE23Ss7Ul+SERlpxHKzsFSJwRXDbaabjzHpTO6tVNr1
ubkuO43d/SjOKCS4UVIgAPasoiqiRg55fDYb/i0o5iN4k7OgRkBr0vTdVMKnsVduSgP+RTheta69
Vm3loVNihjiY4pY10QZcUvPAGOus9Kb6KqbpWu3gn1ame+DPdD7EguQ1PEXzK2SJla/z6wzdvC6l
dUM3o+sCBJEdO7jzArGZY2Et6rx4MnKb6qcGwvM0PpvdwPVF1mCRyT7dvi3OqYF687ki3drIaGUo
oFnb+86etoXdvvWKKasPjBsLP2DArR8xsrrQ1AGFEYCMh5uNUIQyceYPO2cx0XyMNzC5i1vepJlZ
YGGxJVuYmX7V2uXKLbMtzMraXTVtXnJeHoKj3hV3Y/OYVjuDz9xjhkm2mCgjDZll8MqYTANTSHlx
7e78hHGgEM24MXuoFGo3mMuu0mJwiCHbFqX8iorXuuc4hFs2QaEPlr6lkn6+7b+tYK1+dFiOBpyh
r3PfYKFJmv6O0bFYmaxwERlIT7DUHXOT7a5c8zo0vYvc3YBaZAOsOY7XDnW6J48uVhl6OLgI47Ho
LSjGcvWXhlzS+dBSMIjHMCIhuVSizAscd7x28P9LofY0hvObfPaiwjlexMpaZXXdJRnHAgaWVW47
IdzmgKy5OI6muQD+tJxV5z5iER46lk+SBb5M2+4iVuU17IiU1XkadetSrktnlupFCR5JYc1uhnlw
TFm8J6Z9zburbcgyHJuYtSgrejdxt7Vhcnrxh5fGNu+KwnjIVEGDAev9ODXYQlfzLFk2dxYuJfy7
7CVYmRwH6Q/IpVMgCdNzFesA/1aHcci0WLUW7kj8BXqlrGoj+TphPChjcVdWzDe1+VI3c7FUM3Gy
sSrYXaEuzCqkGZgtO8QAfKKqr72oY3zlYHXgj4fnIUaOaRNxm/X9wCfEgPY/OOEKYIFny9Ua6hDp
ILZtRcuHaeKjJ9jDNaG+a+Rijo7eK/idbKm1vcrmjjH9PJGrPM7vcLkGO5TFAvQoR1m66IQTe2am
yVGrfVfCuV0XboWa37kEhkpK4OT6sJeLRJ2N4hz4z8qUnYdsGhW5ctTG6VWRS8ipHEcmZPhEjYmV
eYL2J4LqdSCPDSYH4zQ7wtvIYUFTlq/RjN0j0NXsBmfvVsn1W6F3iE2EwBap8Cn4Tah+8Dle2cNO
ZKXv+XZHMSVPh7IF3zdgds1SrjXIMhzbUhWZaV+rMhTHgSxfMY4068ZvG/dJzyidOfwzETLDWbh9
fnciuor6d3Alb78YCuUXfhyKKEc0iRLrdPJisCQN+seZCHXVxleE1YeJDKvhJ9eR+UXl8mPwIw3B
hvDHmRAbqeOwOmScBLf3t5aQrlRIP4cuBK5PRlLI3rZN8tKW9tBPeedQz3sIagbE3qKqSnGupMrE
Qot8aJOpnouSdXI73UgAMfmcQ0BqzGsN+qvg00q5jkM67dQVlUIablR2lpUbhw5Bzxv0Jj9j155d
8+AdTt1olucoSMVriwi517MhuTY17JYma5x82Y7i3dcjzP0mi0Atri02WVVbPHF6wRqh9Hx86oFl
mZtuEl0bvDnNrRdapCiUN6L5Sm9sdCY3zItFPmnpAtma4cOuvFGPwferMVy2UCQXWdb5Nzq2vavu
Ww2jGltJ0GzSbwWNePEpa6y/NzdqIg90XrBTISctemZ7Oh6JdFH4aAm1v6xrzWG3V9R0QnIaox7S
tst4lVlRFd8qsSyQrPqEMslRRx6DMiNLJi3ZNwnG09iZsoNy5tjrCdaadTntnbakOVlOxmpfu9ZZ
L4dm/9v8nMlRGgQ7U7VSyQl7inLD2LCfiXcTGrHrFbN5NWtNL3AfMqgXTOwtOtK+tJFDDxaovp1T
OVF/NWOkXE9sN6Huh1yYwyFz0ylXvs9j/2hEBp/Rv56RZGfqGp3oNWpef+FNkF/8cVfQaS6i08iB
XSJsDRv4n7cF3fhCCgs/gBR+iJgzxXx4E1jH6LD4+Vv/8VUfoxL3Ejj8dBEB7wRExBT1NzYrPwtF
LGhY4aBcS2s6YRt+8M93BStVVSf26/k0t/eV4y86LtJPb8wvJnb5Hf687zhyM8T3AFxo6q7OS8if
4NN9h/iIXY6loZ2aUeEcs6bemU3MW99vf/86P/4m//468v736XUKRStZnVqk5yXivz4fxNvvXwCb
5+9/E0S/z68QkH6mK5rfRB/FojdvBeFXKCGuwo2zX6EWLpv+scS0EV20LGu06J061yC40IvLNif3
hWesOrOtgEAQE4p52cXXAx0oI+6H3/+k0qr62/dcjsef3gsjUnwOsPK9MFYUvRJbvu96Ar+aeRpk
vxG1RNGEnxq+AP/VsaPvyvFfk1vkC/z8R2f+tmzu2uD2ZR3n5x8gR05se1VMpwknAA4WBPjzhPAh
GdnSrNiMk72Du+gAcB+bhdUNVxrnMyargkiVqszLGuckMzM35XUbqPvBbQlzpxn1jsZ+8NUG3rkS
a7ejkcUbI3Ghd/v0D+a0zNd2vSthDQCkW2Nn9/p22oTzqbejVRZwuOUJBrF7U0Moz/QLwEug7B8a
htKguSGedjDaFLa07fXoSTq99vjssWASeY1LL7FuIJVXzJswGrnZR5NGZXsH/ThbDTR1Vw9NDGhS
Yacz5Gdaa17G8SGmbruH+nKbWSDSjdlYFe5Na9qeySE2lqFZKwpMeD2V46kOmd4iSR9RCxdZhrLm
Wn7jJYH5vev6L/9CkoPx6S8kTcg/fPDNnz4uQ4SI1o7NfFI3xtbfzeftvbEBK3hqFtp5u62W9QpA
+HJaG8t9vc/WhTc+KjsqpTbqxj5E6/j70fIvfyD54fn5ivl8m/jpeGKmacdij0u2SHYFuYbBw2WC
z1f9D7ejX12Zn1/npxueE2VzGoa8jkIO42Z8q4IlBwowETQh/4dP4Y9v8fc70ucPwU8ilMvvXxtu
pJ9CYxnTukVyi6TpYqBMi5KwE4eK37/gr+6ALCWwfDuUv+Av//FDl4H4ECI19NPAdjOfX3rl4vcv
8Ksb4OcX+Om9U3PZAx3orIB7r8PBy8KRIsf/8Fv8pxf56S7rji41Rah6J7c/m6t9a9/o9tPvf49f
PZI+/x4/3R4nntVo5JZ+0vlsjymWe5vit6NLiO7bC/1Xn44O0WtdNMXX9n/J7/xalFMdBWH7f378
x+b7PwfvhaTf/PAPq7wF33rZvdfT1XvDYvPjRCD/n/+v/+O/IuU3UwlP5/kti3Ivato6em31fxeD
Df7d745HrzVYnrz91dlIfrfnpv3f/1OBHvUFHxkN8NQzs8H9SUZ2bBTmj/+Fr/o4G6EVGzIuJ6eY
fwXtPs5GzhcVUg/ZN8uB7fA3RybKX364KX1LalBNz0+HfZSdnPXThWLEfY6KMQ6nkQTc0iS4sQZN
GK/KWBrxxxaDesKjaLTM/nGIs7Oygdpgq45A64giWdjWeH7uaFdBYK/wlyHKTbgxaU5UzqhzfLZ8
fT7Sivo+2FWzEjA0F2XqXxudYh9waIWLqTeqdTn21REC3yoOwju266uBT+KaXsU9PoK9WWtfk3G6
G0L0VjM5VSmEVE3fuhHyshuDL4kyowQfSi0dVcCpR6iAumYXBRZ9/z0W5u1gK09Jr7wPPfFS4dNj
Mg54+Ok7fqsyrCCJqhxbxiOP6lbqAmhoW/Su/TKFQNZprtCWKUIvcji9bB1RvDArLnU7WNkFZHEx
mfBkOvwgQU3V9CGIdnZpXFWNDcfYf58lmDm/sDUQvkadHHMk03mM77PKWPi6/xrm1k1vYXdU469T
II3oqX7pyB5Hp8M82QcNqWLsYlPXlrSfhel6bCm+qVzwHzVRuYwOBK8Vg7klJh0vjTQEsp2zfJ8L
c15m1KAtG5/aHMgdDWYB7J4hRv9MMTYdqu0VOGyd0ZIgRTwhkWqR1XtWoRiHupK8VfItywQa5Z6o
/lXRjLAm4fBtsGGSTtMirzbaCARubG07352SuzxQRHDQmzm7p3SEjWfKwo+3r5+Xo2EPi36MgOlY
ztcGPOcYEkVsazi435Sc9puqU1tz9Eanh1Bo7yBfHZmav7aAH5+EitMOoAq0U+m7LaUDN5NeXMLo
d3UbjVvsyU+J9Ota0rk7SA+vUuLm1bH1uvmwMzKLLkyfQkTp/K2xACsdXmASobgd/Dnf9NIpnJlZ
tRAN+LcGG3El/cQGxuIRQvwNVwAwBJPkHZC48SKXTmRHepIDzMmNdCmLRO/JoYTvpQbQZjYnFai0
dlQcaW9WMTpniqUh2LXdtpYuaB069XVlV+mpL0R+k0i3NG7LkOA9TmeM1G1ro1bLsYVmxi05SVke
pECOgSWOTXiCnuxS8GzU4zJLCndlRbCnYcuRiI98e99O6vPol8sqHO7IWpWgCtSJauwy9gLT5RQ5
mspOUdzhKYmHgadq5XuR0+YbyoCS14Ql6jbtBtKelbNPhnDc9iTvV3XrzqZXM/tgGnLry8HQ/PMQ
BunB6adjwyBPsoPRgdgRn8ysx1GtOqPX6nlzUJyZJk8tATJujfPqv+WBtHkvJFat+fEB9P/184hj
xO+eR/n/8KL34FePI77w43Gk2V+oHyam/R1yIseqj60mCh4HKslstKCzfYsUfjyODLIHFk1ePCi+
GSR5iHw8jvQvFrodBRuqKRyqx/7WqP4rV4fJ8c4xsPiDXgSd9OMBL4rjsAmhZh8gdCLRW1S4BtTV
2VayzyJ67Yn39bPA7gUZX4eonk/zdcc6LmA/cG7Q8/WchPnSaLFOqzS0ilTTLsi8QVCJexI5i6bP
3VNWtPM+MLo02lXtpN9QtqZYO61R8Zi5rtKeMt/w98lkq+1KT5JYu44EMaWzOZjT5tXNA3s41EZZ
W5dllm56O0/fCeuAessJOcNCYKuJFQpxyv2mU7XV1O7MVG/4FM+o6ytf2lJmUxBzElWonunStlJX
FWfmnMKNVUiSeFlXdbvq1Ck6s9rJPPf9uexwN/vuc9dQ6cTj12dbIUxI8vgCuotQt56Bbj7BwH6N
bQJhwnSzZWlb72WbvdtugZe+zyrzjXoIzFsQv6tg2OWzaq3bROmeBjKRi15XeagPSadBKxkAxrAw
vdcUPsJuMvivY2T328bI9V2IyexcSXSWvVrN1rLqxt1cltXGlDSMmlvEIpOJCMuBNQbyiR0ky2P+
uKVn42VohgZDYpudOZ1bLC2/FofJsuZdYnIiiHSiAqYbbgTdyIs6oDOUWEaMfwXjhsgTr3Tcd8cM
lY3Tz9tUIyKKtLiZfHZ5SkObcuDXLBHM8UH63bxkmHvMftam0AhFdO24bMN6OCYG9cVqyC3aTa3R
q8FoEvIq9ROwmeQae5Bxldt2/h6rJsNhFeX3cW+yCouqt5yR/+yfu9b3tQPDze/vWvviueqi/BcH
cL70476FG4PbgaYi7MvD72c3GidscBQI1YKmHxMX9edjtMEPoWPthnzM6Zvx9OO+Reeho/3rm33b
ZHzMExffR3ZGkb8c7A0hR/c/R3tujkiVrimdIiaZKkTNH29bZKOycTSn+jQp6PhsDOnYw8yQOzFY
nTA/RSaCQijCo23VGyR267IiKbiYA/XK8M2rpO7eCwxoi3EMqeroz0KhrXtW7ImuL5UeuH+unTu5
5s06y7XeHAlMG+dqOpFw6LIj65q1H4jzJlTWxaRccvi4FVN+b3GFO37FZ8WhX8KB9ZMDlSi8kL5Q
IGfGznLCO0zmS8VUL6ckPXZUytDZccT42WKYGs+p4tlYNRGUKLi1aD9Q+I1WaT28uFF78MH4tbXx
ZATcBNt2n/v2ujXcs96sjn4YHt0COuBsUsdbHjsg6kZRHWiauBcmJDUqMVyOuEpCKbwWH9E2V33H
YauZvVDtH92ouQjD7hAM05Ks08aETU8pyLHWodG5XxtaTlYZwHpqRrr97DrP/kCdg23ex3G/U2Bi
9FZDmdcMqC32snJe2GV9PTUTQZkxOgWWwKRC20xs31pNtp2n5ipz2pdcHzmn5Ud2J+e9nW2tudtn
9bTtKthMAXiGuKTcj+YR390ZgXklQkHoXCm3rcjh7qXDIen+L3vntdtG1qXtW2nMeQmVw8EMMMwK
VJYt+6RAS3LlnOvq/2cruBVof9NDAcMf+NgHjW5bRWpzh7XXetfzWtJEGYpjso4bLdMvndyc+sgP
JyR/zhqpPvFU4Q/eHpYjhgGWdBk6/aEiu1/0ZLjxHG1upoEyKfBJcGGF0vAsF1MrKdaBHXfUrwtM
Ywa8oLPA3Fgt3jp50S9tOtfoN8m/qiq7bdL1P2A3ON6kLDkE59XgdJw5lV2GK+pT/mGdwQw608ex
x9oJCwtt2Zbcthyl49sXcb0I8LOiiSeSnV9GWZ0fpWbZTitxIVBiRVsD429n7YDPdtzT78yJqNJV
PIaXqqJS06JhCwuSVZjSbA5hzJ7zK43TVB1HOuSEKjjH+LEWl5VGXFvwOTIwNxmuAn0oZrSooubT
sOsbxYWHZCSiS+5ANCHJ88gk7RlyPwrsAYhx+LMTFydHUq8lblKZrc2IcM9G1Vjo3LSKKurY/tsp
es0HKEprYH9fJQpu4boU1zX+Lhe3nGNY4y4XiDtdhhujuOSBE6sxJuDiR9MzhiW5/sPDOWoii+th
XhXNrNKd00A42Vh9eO9IxPWtTp27FRfMSLUfaBb4ng7qjcENlM8PtjOTq+kgrqdazo0T5iAMkjSE
CReRsG4RKuG1PtPs4KzlngsU6YveDz+RXB+F3IPxDMQPUcLlhRtyMOLzkMTFKWdesUjENVoVF+qM
m3VKpx+9lFE1V/1WQ36vhZNOSW876nizqkjupUwIa/qOOzQ43kUY9YeuFC9DGScfZ2xh3kLBwqHh
LJCtHxAPf/R6SyNfjz89GkuuWDRYWH4MKoxwSS0w28khKhaaunQz9bbGS2XCNoVYCQSa11SkooPb
wQNP4Ej6XeAWycwEuEtK4IfUlLNKpQbYuzJWZu5XjUvUdKCvbVQbkhG4eZAnUBG3lc1kLPNrv0PZ
I4fDgGEi33vvureaaE5xcSFnfmkLuHmILJyOJRpEA3QwlmWJgzIfT/tJNwTIFdcTHAMS2xH+k11S
HGKbY/LZ2qPcrs76hLaDYWwgcmq42ct0VrdfUlk+Am9CT5mEcDdAJDRp5P4k8uUrmtyOjdS/VgYL
m8MQG6cybCe23mkzs5dO6B1UqOJGN6Wvo+tJcmsWWznekL4fpYuyA8BDQ46rT3BtlXHobP1Dnfs0
tFJ9ksq2tMTlC7BuirNsWiXZom9UmBgDcSeuzJbSxxdBRtXj37HIYyyic2z/IRbxSdltPoYh4qd+
hSEK+k50uUJyiQGvYKu8XJ+odNJNbTmk614axZ6vT4/W4ghFbVDOIqcn88DnMAQAlopW3hTgyWdF
xbu4409xiPGx5EGvGh9CIZwl7KGv+20cooo3z+MiBg1poVjTWX6K3n1pLRNMXiGd5b5c4l4arKNY
pVV0gM02wHe1qbez9dsPWROskSBdYyaOp4pCuQbAbD6p8Jxjc13ZcYNey52Dml11Hf8G2UiKHO9Y
TflWGTUcaDrWtN4HJFRsfIv+s7p5sEJ/3nGy1RKQgkHJ10Wv35H9XHoDQiStylCvBUmzCvNyVTrO
cRXigMgWPuKaQ1YDGIPRYjCT3Vhde9qpfoMtnB5Q8VI3MdVWVZZvCRmMheW6zTQnnbcsQURMueuS
/zOrI8IgvFFxa65VaeVo4TzywyvYLTkZKa2bt7SHpooAMNv5ojMFKIIPd0ybuzod7W6cSSmQMAmZ
l6PF9+Ck8+WgUhoIPBqMpMG9xpH4Z5w3/UxOO4l1Gq4jnV6AgIsLNOY8niKXpcDWZwOpQnuOouTI
N+p05nXxDWaCEreLdIaNy4UP+26S2s6R0hKgWUa9dlL1uvCbJSq7i6APpHkzgtIako6NwQbsjO4V
l4KL3ocGotvOtzBULocqlyh6ZhbJQi3BPVG7HpPgW4RVVhcnGqZXEfmsANc5TNDCQv4JzcVcgcLQ
Z2rQDHOfrlf4F9pFU/tf/ZDP74EnJFYVPqbY1zRmBiAr1fQ5lt0PWUjfaxXT7QvGMagQ0teKOcXj
aRLI1D0H10knWerfknK9pH24n2Y2KLGRlnv636NJkUIqqQcYNB1YXdqFa2emJJG+pBHyLMts0fHI
915BNlT6YiIn+TelCU7qMDgpAyyJJE+xaXHgxNZViNFOhQklqU0AF3VO+1x2ylUZey/DOoxpSqcA
GpzKYfatCItgUcQCRhKUsx7loNnxQbsW+2MlbleFIp+rajXNjU7ccLmde81hleY3jdQusypd+1m2
0M0e9EcSkGquWgdhWoclWuyjbpPb27EIYH8RvYf9sgtybLfTgi5/MzvDlvirMVjnWdHV08hpr+wo
XtTYuo2ndbt2pWAxyM6h16dnipGeq627ig18ixqToFaYgQpPsQZjkibzx5k60t1h4sPDBA3cqSlB
yi9gk2YpD00TI59SgkhoIceeLpHbn37UR7M+0SzBU2WpRtWPnlOry2yC2745zACLTUV/yhL5zqGv
YMM0YotXTtAcBxM7dfqlhIn73Og1dwq/vFs4kq0tSkzOvd4HhwSijIBEv2+MWl80fnSfae1tMTZ3
kOLCeVaRDPe07nxownzKrZ3jvjbrOdtRq02NJsWdCWZcfczeI9j4OUF9XxABpkl9aKR4oQHNIadx
A67Ttpc+lQHsyQgFva5IgVVbfTmSjgUiO7dTSSdL3pJtWnEVRHVEo+kYnOIUODRXjpwo9VXnlJJ2
3PRNdtwBSfBvwfKr7VlU56vMqxU03VhZZHqkL4IAe60CFDd4gMvK1SBSRP2RrqfNopRKQnDJPDas
PpgZNA4A7jbvgD9Uk6g2ESiH+m0kgfn3BR9Agel2pGVM5iilcZ2/TieNkX3PXX3jh6U6q20K7NqI
JbPjt1PNF7LStFMnMt27k7ImyztE/XrAUbkPnHAR5dJaT8sLyW2OEzv73gbdz1HSpl1PmFIpvTzx
cgPfUK0/8gdy9simHSvfBDiqmYGLGlWF1K0h65nUdXclq+GpW2FnFg7fYl/9OSoyT/GMn1GbEAfh
pz4eqUOPrtQoocSXlxFOBThEozbvsbs7jn1rLUcxars+23TeeOhrWgm9qzenRTDCWlSTU9MSenbD
8eayJF3QAqPOOmxJZ0HfrEd5OKYJ0Z0yCvnKSnGtqjK5Xmp6y95OccRyAgs6FTff1JWu62g2Gt5X
tSS3ZushzYNSBNcqcjrenKBRCIMhTxDFU94CaorZfUe/5lnS5x0m1t0JoBJ1YtuE8Z5inQVdum5i
i+IQRFgHV9wqqVZeU29MpxvmoPmvhlgq5mNCo4TrcIAYYXPjNtgMNF36FcbLUShhqW41421TOP6C
VaczB8h2k12VpmVWP1SOc8MGvZBz5CKJX09UT1tpYXYDJmspBVY/heN6WHTaecvlyzGyHwEHHSQr
+VSX62PAMO4U8b5LFkEpYSKV2LG2HAl1501Ug8Daj6JDxxjsSeul09BWi2VlBN000KuzKGjOiUQW
qVp/aRPuG4ANKfmpTMBG7+eRTC8cxceCZB+Ob2D4/amFme/MjNolPnXK0lR9+xDoozMlSXsm0/Q6
sa36qElh+Bamc4Sg/SbGOnI+ZByCbFkLKRi9pdQpGOo55hSuILdSVhoYRpWKGAxcqSLtUadycjiq
kN9aeJmI7wsX61aUhXpwThf7F0nOvAW5B8THgcsGZ3SrMVFZEoZ9rpJs5JbJxcDM+jvUNV/xoaJw
Y92NunbXm/ICOuFtFnm3lDzMWQ3Q2k3yWzmzV5oObtNWj7UQu3mVBnM59o/Vstt4pHUbC/RhRJ64
CS6AJHGtqOWrVBebuGRwE8cE+N9h91PYTZT8h7A7izfplqqFzk+9CrtByiq0TZkvebxfYbd6gKQP
I28dKyXBY3id/RMpP1aWRi8yuUMSgy/ZP4roGksGfaFOVUOjKv4Pwm7gDO/Tf1RG6NmzyDUCnbVE
kf+1Fky3k7BkHQ1ndu2V51ZIrBMoOXifWFePhi6Kvg1KbS1sBGPrDrznpB1bf0ZYO36xnK6+8uUs
XtJ3ASuVPqu5JdUlOZPCBx8jn8YCttyK8pohCm2krfn5FoH2jJKgPYcx168kgsZepcGgqv16hT9h
xE1bTpdhCsdZHmg6KCncf0983zvKCuEELdXhTBWFwMq2cwLq4YujYtoreKxuYtE2Q/mwzqTuOBUl
xTLr+in4RhctiXwWicJjE0QRFKACAxGqkjhcCRcPATSRH+Em9Js85JDPdISByYzmC09kz775gooy
uu00AJMSglHHdhJyijo6NCXplnruKR4ohgEemVYu9Dy9MDLIK5DgpWUtaCyj4LL4gtASa/GxIpgt
Qa1Db/GB00Vxqs9bwXYxldaecGYDXEhALLlZezGWAMDzGPoRoPMR+wny/RGpENVzTkONgL4dGB1J
cGUg22jgr2HNVDjdzAbBnykA0ZDF/I6wnBIuLa0TIFnhXIFP73vFWE8pAflztrpyFguQvQvRPgSS
MAjEfQ/rPnmE3gv8Pd5l4bqHiE/2k8SH7GVQx8Hld1y6Ivj59Hpd0IynTaK+X6oQ9tXHZiBdYPdL
+Puw3c8zePyyV8H+Y0PLoT70KlQGbDPnroD4mwLnTxbBo0mNINBKk+MK5r9hAP/H+Oiq9YENVZxo
AgSoo8OTzyw8A+CPLOn5Pwl7Z53jKeALc4FR2AyYLkgBN1yM+A8kI/gEE0cCB8920PJ4FBCC5XgW
0BEO2gIXA9Nt+BN8DRK1/KHRxjRzcDyAOrkE9XdTCCsEatJoFUWbYP3I8S4iI6um0E6bO90ey6mi
GTh2A206cToIx3MLs5oTBQF6Q4cdR23u4HZvYbhy4uGtevjvzfhpM/5zPSZD8bItB/K6FKMeaFgH
oa60jWd/jV+bMYViuvK5UrxkM14pmqg5cwXVLYUOknckOko3Ks8Srh0opP4RGIDQ/c1m/KhJdEQa
BkE2cDtLJdvyejPGKjvOIzmUz9THCWSIuYTMqrkrw2be6jCfZQGURz9MfKQ4X9waK1ZXYOcNw/pR
J/GVJYD0qqzOmroGUQ+rvpHkwwp2fSQg9qXA2QN1oXEJxn2kKd87Qb2HT1odJ0VxWLTkLcfgTKul
Q6yB1yTsJkoJOb8RDP12IBy0KnuVgtcfgWRb4PbrzsygjoznJLjdaRx0lwiJKYJYEiXwlNqMpLBU
pGtJcPxdQfRHfAXuxDyOw9sY5n/nkQYNjfCyEnYA2I9AzTeOExmjANztl4OwDpBz/cwnDT6RcRUY
jfy0TZtju3Lvc6c7DpAgqsKGQO/JwXqpu+6ERYGngqPDs6AS5gXlQAqjw89grMovAf4GHqmdCXtl
McXD8qbHA6ER5d8M1U4U2etB2CQo/A4uvgnBmG8qYaTQulEw74S5gi9sFlL8FlxhvFDayQ1n41nV
dN8TE7JnhEdDbxfL+tG0AcjfpKWmbtO/WbjGWaRi8AA7ZtV0WD4Mo/MlNJ0FLWNrNF5LWZhDVLhE
pMIuosU3wsY/oqswkuhwlAh8GhphkYdclqMvhbCdgLN0a+BDgU6tnNTCmQKHClXRPBriPISTuj9L
cbEgFVFPFXwtKtchlYbThYrjhSysLwiFnaPOhLYCQOI+9awrzx2WOJv18yRLjoZMVSaNJj3QPnQ8
Qjs3qUbw/1ZpRjpab20QdmoAdy6sz0kixSdOn1zDtlPACzm4Y5sEN8BRXJ/7RfWT1tdVaJVLk1Nn
inLcw5Y3WitNMc+zhhtZRLdgK1VXSlsuaQz6pg/K0vHYlHPbIMMGQajOMn2WpgkifX9YUCtZ6PUY
Tzmc54Ooa+nID6fRWK5zJ4YYk7iIIQZtqXrZcWToi9ihqB8RkOhRdxT6dTj1y+G0pGwv6+5xjQk9
5aPAGu4a2pm/+mmtzXzPScDlYsp1qeYYlnkTu0ykCzl3ikvAFgTdSh9QQpQXkeSbQNrcn5GHe7jh
yBi+kZCUC+vISvsvlVn+qCPo9HmWXXBuLSU/ulBy3FiwbJ+Sbp3lvYU+ymoR08nlwjbqU0WLdX65
fF5YlOi0Plxlda/PfReTACe2xmnYVuglaDyEELTQzGHTm+qs6PvvNCvOZWe44Yv2J3YoAU+STtLC
X/qRdJg6GdA+/FnCeOZI7ipMhkVk49fW00A86CON8PVXpShnvjF4MzXpF20CQV0LILkH4JWht4oe
7GVH0ibJE76QLzVIiaFvhLf7tE0ajGRwzotSazYk1cwPnNskDKNJVfonbQ6wgkyTs+gTkxJJlK5g
0J+SRLurOli9Ne1VvUXFlACJotMand4h3Vvo7lWc2dSu47s1Ji70p6Yq75qyPQt7e1aF+rUceOQJ
BviwkQWqyKDvMsI6RSalWmBqt0C8dWU07kNhEk85LRh8CF7UM9sVmM1+KhXGSteSc1ceKWZTvQgD
w57QtDX19WbdWelxj2E6EhFcHz37GwTOSY1RSEMoUkJaAjcNDrj9Kqv5oav3C1rSrHkUxux/fQpd
1Mwutcapp8FYnun4rIOcXok6UB60p645XpN7mRRqfeGqzVFZtBCaDSwVnWE2jurCNMu5JimH5Gfa
GaSvkV1YWzhGfYyhwMLGGGHqDGRQc/lH7FYqCZLmu0b5ddohMThULO9cETVAz7tQRvvEsel3H0ey
dubYHclmhOKt86dR7tFAJwWiTmw0ePT15zA3F1E8nKuO/RPnN7JzOVVPmPulLZFfKlJ8d+qzoc7P
a8u+gf/mTxODwm6fGA5gGjW+jbDOnHl5+zOsmmMs5L/ETXoY0vnuOzirNWVw2cBGUYPyp+EN86ZR
8lO/7xdFON5EijrSskc/O3rFKjUuSskF1yU73ySz/NoX/TF9OiT6m8Saark9rRVuwtTf/F4QTL1j
va7ZxvXh0C0cwmio6YNAb1bRF2zvumimkCRfSGPdTe3ensdycEiKHIeiLoEdlfn3OmqG2dBm/awq
lY0zjmdKmWhzwgXQXKoCWXIEnakBC6iJSZ06WqOzZLscemgTWfA1C9XzjN57ChNoSDM62/3qziBz
VMukHaThrDIRIKnsX6VFa2dqpDf9IH3J++w6DhAQdak2y6FHTuyhO2sjRFP6aF+NKXF+3ITNRUlG
eW5QNFnpqUz4TBc1akoFKfST0Oe3WhFV3AXfSEVokUOsopqCyYumTjQHvGpcqgpb0QdHc86Uq2Ry
ayza82I6TpKps7m+rNbYt8+zab0KTgCizfxVtvCPQHSFa3/57wD3KcBFwf6HbEO9gZ4ao5HbUujj
J39lHGRBq6Kjz1BNjcZFbvy/glxBfzGx7aZwJwSPb2T7sgVOHTEkxSH6Dfmjl4yDdUCuAQwSpyaA
bZXK4T/IOKCvfD+LbDp8+AhQtnSu+vI72b5kS1pU9nF21hCzjWvcrozwFLpkqM5rQthzzpYW263Y
ODXy4rwRbnN4zcxLNbmGwcx9U0lOCrX8Fg/ZUVyll0GCj5qkZhMthPFiGGtWDiZuVrf0tBZQXxWd
YH7ydQzTB6Q5sIVbtYKZYGYXhkcTdYJy3KeDrHHhjas66KW4Dtd1I2EWYCMT1tpU+UE726RvOy9e
dB6R3CG3gjI4UiOzxjIKk9IRzKVjBhyDGo6PkAw5qMw2P7QCK1kWFoiF2B71a82tLRr8ki6EDeXg
YHNShkH1LexcqmitlqiLtmnDkaAoPLZwZw2nsWNUpHtLA0X5owyGw7Qd58WjPCZ5lMrEiGYaFKeT
Lk6/WkJPQxcC+kKhsEFqk7toTC2hvgmFDof8x5r8Cqz9qtYnxH7zYnQxtqXImbntjYqcRyrHwxp5
T0s2OW27Q31IZ1AtTvrOoO3HRNyPMKiMVcp1wSaXsmP0QRKYy2bdCC2RhajIFlEYdLPLtpEOYUXN
U7c4tZEhQUyeJFK3UoKaeDNZgQ498Zz0NEG+1GTlDxk5k4NCQ0XeRIGJ0MNauYp3Zvq4vRRxfhUj
iLLSYBbn8rJDKFXWJMf77hDd6NeE8x4O+caxq6NYKKxQQqi0c/1MFeAiSLA0pFjUi5Z6jpwnq9Yu
Ui2A89+gYRCZ2rMcKVeK1A3v5DMbiRcsktO0ojsB6deIYr9FCqYn6SnfJQUWCkhIxUJw+xXSsVGD
AYmUjJvMMjfl76oRLmykZrlW//AytGfiq/csCtQl/K5EWdqI1BSh1WmQrTVwA4ciPC1NFX0dCaVR
ujGQuUHG9NBfZaQoksMKIZwd2BMHYZxDm0ibxl+5xtxksn9ZI6Bzc+NEQ1AHtIJSIQxhc1BOOiR3
NLHX8I6VWYQYD87MEXX4aemj6EKsh7POcYd4L6toHbCH8qG01MvW6S9LofNzvda4sJD+BWaHBtDV
Ubuq2LLHcOeIgZAKBmqmCcoR42X0xZlsGrBfmFKNcBxuK2lamB0plsq5H7z+VO4B3CQaEaR30Re1
Oesxmm7j2JppRfG9Dgemn2YCUcboo2iHhaS53ykUrjsc7hZ20lwj5iUGwtg+0muEQtmIsIuL80RL
dGsq+dSYQLCkKIiUNWDpS73k2inpCWXVnm8cr6DzMJeWlZ4glAqzVU4kPJUqK1wQHK7rsFnirjw1
CI1l7ktzZgfflkqGEIfm88L1Qfjo1TGA1BKX+Oo4ToIz3Y1OtALHBiryiVmc5qqgNxXJXa4nfBmj
NON63c0AhjJYtXlhxPYhjBRtVmahBjaKJl93RO8o4cKSyZD34JWGhJ35SRLEVI8JX7Bmuq1B+U6w
PGynUjKeNkLLFgX3psZNULJVQFCYHfSirSgN20szVb8AODqCfr6ypSZeIKAE3hl0axi+A3ovdoBE
iun1zVPIeoXbTCj1FouwGU6yQsFeXAvOoqi4ac0GFaDfX3smtpU+uLlU+IHY0RmWnsrULxAta2WI
5WeSTulqQt1tSN0Jjt7xsW8QU/777H88+w3aBX5/9n+hW68pt2S3xI+9HPyKfWBqqoqLgawgOBbA
gpeD/5ES7RjkHTGKRa3DmfzSIKEfYCgLio2mhcckFjmpl4NfO1AVXTWpMsiWQn7rH1GiRXD4Jngk
dID6RmBrKdx6dREWvAoee1ny2rJMYUQLHDKZUK9CVgZI+dW4nD898DWCEETDxzcyVGrPuOQCrKPB
/e0bKTFOjSauKKdyYzg3OK7ii51g4z6uCEkMEmp12uiHVeWOVyH3hImCWe/X0La8b3kW0vKOtOdY
ge4zyTl2+3N/0C61IWupJQ6ehU1kFFba9xZ8sX3euUXbLkKFbESrY1VtRlJMf2+MFVKQ55k6z7q4
aae25LnCmd1Nb5H20eVEXk+eVemdEesd2LQ8PgNwglpFybllLTK31+g6ayZSXGUA8YMu087kVjGi
kzYOz8o6AhmX06HgO+dYZzwYVX6fFt4C07ZrCzsEmFBLQzKzpYrmZCLl+Lvr7sJJUD4kh+6AUFWL
iJm4zcziofjpY9w95vqpouY/G629ohWRfnm9DL9ZEVAzx4uatWTlJZpUwzyKA9LrCDhhban0MUuS
9lMPq3SluygO0xoQKUiuYhLEkoFZnmjYd06rlO1vVO12Bi5OXdapdTMo0m2skrjMQp8UUl17qkWG
SSVtB1NzToY0mNu6eEStcmM3y5tSr7V+ZtqpfwlPCjkR+fO508u0SpBFZBRVnCSqCF2mLpVoVozx
sqBf48iX0Gv/eY6popXn3VwWWjkQCvDVyf+KPO6ruVwM2MR6eAucVvNkg3RGuRqvrAkXb64/KfHK
BBuFOYaLc2phE+NIX2hzNujpv2zGFqHy35/D1lnqVO/oawLlKENef1e8A8DaNehzs1NX9Y6grfbT
yCtcrq46ygArcuYFTluLUjXBOLu2vPas0j1S+I7MqEBeZQ2nDg09E1sdv9d95iwqFdxgXecL1x6/
4/IDAcGVyDCP/VdiL/zqy4K2uIqjq+9cKvs+cg+gZHOUdkuEutMQaGsBOojCirMaNcrhqrrUQVAA
JCuZFA75zCRdhei1MirYExoH5l3nnaguRZUIqfWM3kcqOmE1YxGfdj3WJoUnMkaad+N12Ypa+brp
bVxj7XwpR0w0yykQ68jh1Z+/4rebCCNLHt4Ei8J+ySVKe9+t74xqByfPLU/lFoYFGwE8tpLOIynw
52DsdHqYPLbrXzv6lp3rMbv/5tt8957vvk2pb+kOg4N0WngauFa0J+QfSVhbKz1p1llBTOWZZU6l
rJgaMYGjoafDyVjSK2xLmGcH9q0cVMWEmOsndL0FLIy1mpkXsjveGV7xPemCAq1ykf9/0wD03Oq/
tY/+l/pU/Ol5FqT1dfah2f5/9JdebrvbH7RbY/7jB3tEA/zxOfGGdrXmntZ/zI9gDjmE8fQzihcz
N85wB33648eufU5y/tEg+/Bib2IWvhqp343Fn3/Nj+SCj8/5/a/wOmNBqZ+z/9fK+DWq/2IU+DX/
HgTrQDXoWXJgWL/8km8GgXgH2ReRBkLQx9c+DAIpFcI4UBCH9//5H0+s3+dv5ykF9z8dCZ7zaigw
wyI5IxPxvJ8I8oFFLgdw1NMg7cVE2DIGCjP4H8+Gt2OgH8iGilZGZ2qJF+fk2+lgHwBaZ5yEcIbX
fg4Fh87/ZmG8HQrrgPgerxfOrMfXh+0B4BkJQEsk+P7v94Ut00HbfTqAZ6PlFdQj+nnxooz+ZjrQ
dgntjAuPQ9jEaz+ng/hsO68MroSORq8Xcczj68PKcNgkSPwiYdjT+aDsPAh0qmB0pMCIIaJ6OxH0
A253uCdxuX187ekYiBm84xaJ74Vj0sOI0u/xJXaNN2GDfIDVDQxAIV7cy41BFDJ2HAQ2BqH+gSi7
fTVAg8RciwqJOEH2chDkp217l4ABwzCFrxlLzd8MAk3pBFeKou7rvqjuPgjWAc3ujklb228GQRZN
9g4Bwx5F0VtOS0EZ2XFROAeqWPecEb/ZGVTcJGyUJyKTtp+L4umD7bIoHtFkjoMO+zfzQRVFUFSD
yt7uDE/79g6DQLMnURN3BlTij68PsaPOVNE1YsenBfh/fKncshzA7e64HAgW8IdC7fkcO34MHjko
hRiUU2Jfl8PuETQQP5Wsovp8Top7yftogYVC/f6RIbvHEfTTat1hUWi4aOKLY1C6eFoU74eCVAP0
KP5R9nZ73D1wImaAuqU4HyNo9kWsSUE67uuWIJLzu52Q4v5ASzpxo/mbfVHFOo7h4Qzd0y1B2XkQ
NPUAZ3QKHlSUHl/vL9WKcQCnnHVCMkq89nUo9N23BBjvOgofwwTRJF5M/be7o0LEJBJOONPvZ8Qk
4Hm7LQr2RVRc7Aqw2J5e7waBajQ7pomnxd4Owu63auMAoJa4Sj3NeTHp38wEDgeqhI7C9rGvM2H3
C4R5wK9HTvEl+7rlhESM6HCf3NtB2H1PMA9Ir3AKklx4fL2fCcKTz+QGQUFiX2fC7rcoZjvnA6TN
322MHJSKoYB52dckk/BC2HFjFHg+WnMRumyfCewJjglxlGbbl41zL2/Vz+mfXWJn50ARp4NFB/P2
RYHCiCI7GuF93RlEwLvjfKD2hPRJZ/t7GoT3gdOjBY2IH+19DaGFUmG3QSC1gLEo+CXlOYRmWN8c
lGyPFGxISSpP77V/qQX9M0Im0s8o2V8GgVPn7SCQaVNxFJOdvd0ed48WWA5Um34lXj/oF9geVQbB
YXfc04NSWA/tthwInmnQeNRV/mZPUA7owYALsb9l2t2TCo8HpWVRn3w6BzkD3i8HZgIniL6vd8nn
qH63I1IFu0E71XPc+OF04C4Jn1fo0PZ1OewePGvkFkgm2uZvSlLw3elYYlvc26yCsN/ecU+wD9j0
xDA8a5q2zQQk/uCgn5bLvm6P2u7bI7kmGg0N8k3vtgQmAh7lNu2Hz3vGnq4JQbfccTpwS6B7jxT8
c975w+4IVpy5AlxoX/PO2u7BAvoMSo983c8XyvdrgvmgEjqzbvZ1IjwdXbucENoBLRuwSZ5TTB9z
TNSyUXWQXdnbQXiK6XcZBLKNBjp7Miy/Nr+3sQIXDBmLGmVv5SsfLEv/ufTXotIkg4YhOn56vdsd
uUkieaPFRvTcsv3s4SXq6Z6/y0ywsXF+7EN+FjK93xIYBA4PUycJs6eDgFX0roeDAXtZNYkLmQ/i
tSXbaLJfoOHZ15mA286ugyCySwoFJ66Kj68tZRiDTKPNNWpPZ4K+e5iAqzmYURRrvy9Pg+jWRDfc
y56xnzvD7gcl5yASb3LPv9N0KQdsnQp3qX2NmD5Q3v/xGUGtGikvITJNoNsXBQg04aLF9rGvi2L3
sBG5gilrqHqfxHvbNDz8IctGINd47Wt+4Xmi7nBcCk2XJppuX/oBOA/eBk4qTcMU7ilO7et82P2k
EDlHLtYi4fbyfb8fBBqSmQx7Gz2KdumdL5SUoVUk4M8nxfu7NV0Rphim/c00GTsfl2yP6FNMuoV+
c1yKYgyHJfLnp+rdvu4MH3AB//ik0BBzsgXiR/0byatIxEMulnHE3dOd4VlztsP2SCKe1IL4rn/f
SAjUjKjB2Nft8fmD7TIItEXYpFFY+b/ZHgVRSlWwjtnbQdg950inlIWWiTrs+xOSI9SidZBOof/5
OvgfXL1/9R5johbfP7Ym46vxyib8X/6Fl47djw941Wj62G775m8KD/GnZz+1o4r//q+3luKPqYNX
f/qSSnh8p+eff/4VP775mzd7+b1e/ucqeCg35Z0/PP7B8PxBhZ/tf/7Hf8f8637zvk1WFAVe/p94
74/+579Oxj8/PQ/Sh5cHverB5VT5+1f93z482dxn5cuDXj2cObPzw3H2rLd9cC68Oz97uok3LV9J
9fKsV5+d1b7787O4qT58pYTdRPmf8PC0Ljd/YZ+6zf1KrOSd32L2EP91mpVbx5/AdOfnz+O/ZlnJ
5Hl51qvxJ1m28/MX5UO1zaNAHOo7P3wZP6Rb3E9F5X7nZ6+a5EcW39cvj/p7XERH6M6PP0zyhzLY
xC+PevX4z1iyh7inb3n0Z6zY44dyy5gL3czOg3IcpN6WjUD5jLV6som27GGiaWLnj32yqaqHbWPy
GQv0JKv++u/Ue4gfto3MZyzR9eaeDfhlHF5NxM9YoutNuc2gWKhQdx538ew827a7Cxnl7o9/SO+z
u2Db7iW0iZ/w/PLu4f7lQX+Pu+hu2/3hGZ/95Tmvnv0Zy3SN1cGWR3/GKuXR9UP5MGx5/Ges1NNN
vmWii1TkzgN++tBuPsaOWOh8xhI9KzdsAS+f8tXX+RlL9Dze3D1siR1F7WbnYTmPm2RbcCcUCjs/
/DIgdKyC+y0jo33GCr3a3JVcCdJ6y3TXPmOVXm3SvyYPabD1DT5jqT69QZluyvutG5nQSOz8NYg3
mQUP3rZR+oxVK56/YAXcBdXdtvf4jOUr3uMo2xTNttNKMGE+ZZROmqD66+xHUOXbfo/PWMzi91hv
6odtz/+M9czz681fk035Y7MtZhAVxc8YKd5jGm9/h89Z2OK3mJbN+PJx/95ThdB691/hT47IjxCu
HTIJV+Qwtg7+pyzmoIqCIWteBuHVwHzKWv6TZ93OA/MnD6adH/6v+Pc7v4FIs2w5h0XtZecJef3g
b7bZU4maxu4PJ8aHK/fypL+njGh+3v3pDTvBliNepN8/4eEkiJJteTmR2N758X8GJ+86Y77hi/ry
IV8N+mes02/Njy2RslDN/Isx2ZaW/SUF+5isfeE6bvuxt7lo8Tfu4odN+V//DwAA//8=</cx:binary>
              </cx:geoCache>
            </cx:geography>
          </cx:layoutPr>
          <cx:valueColors>
            <cx:minColor>
              <a:schemeClr val="accent5">
                <a:lumMod val="20000"/>
                <a:lumOff val="80000"/>
              </a:schemeClr>
            </cx:minColor>
            <cx:maxColor>
              <a:srgbClr val="841444"/>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plotSurface>
          <cx:spPr>
            <a:solidFill>
              <a:schemeClr val="bg1">
                <a:lumMod val="95000"/>
              </a:schemeClr>
            </a:solidFill>
          </cx:spPr>
        </cx:plotSurface>
        <cx:series layoutId="regionMap" uniqueId="{5BD4BAC7-666D-415A-B91A-B84921DBCC82}">
          <cx:tx>
            <cx:txData>
              <cx:f>_xlchart.v5.6</cx:f>
              <cx:v>Sum of Amount</cx:v>
            </cx:txData>
          </cx:tx>
          <cx:dataId val="0"/>
          <cx:layoutPr>
            <cx:geography cultureLanguage="en-US" cultureRegion="US" attribution="Powered by Bing">
              <cx:geoCache provider="{E9337A44-BEBE-4D9F-B70C-5C5E7DAFC167}">
                <cx:binary>5H1pc9s41u5fSeXzpRsrAU5Nv1UNUpLlNY6d9QtLsRXuO7j++vcodjIWJWfoutGHq6vuma5EOuAh
HuDsOPj3ffev+3i9Kt90SZxW/7rv/n7ra53/66+/qnt/nayqkyS4L7Mq+65P7rPkr+z79+B+/ddD
uWqD1PuLIMz+uvdXpV53b//n3zCat84usvuVDrL0pl6X/ft1Vce6+s13e796s3pIgtQJKl0G9xr/
/dZexcH3rEyD1dvt78jfby+zNHtjZ3Wq+7dv1qkOdH/X5+u/324NQt6++Wv8rB2+3sTAuq4fgJjK
E8K5kKa0Hj/i7Zs4S72nrw2MrRNCpLQEsn4+9mqVAOVUfn5ws3p4KNdVBS/1478j6q03gFn457+8
/f1mFjaz7gEAf7/9kAZ6/fDmVq/0unr7JqiyH9NU9na2ecUPtz/m5K9t3P7n36O/gFka/c0zaMdT
+t++2kbvvyD7TwwT+rA6ALjiRCImiTTpfnAJOSGCMGHCsnlcUo/YvoKj/fCOB5iA8JjkyEC+XJVB
nlWHQZlJRgSXBP344N0tbJlMSAJ7+MdnG+zXcLYf7Z0RJsC9Q3NkeKta6/UBtrR1wjGhDHH2iKUc
gU3wCefMxJjAMni+pycztB/jbfIJAG8THBm6/8R5kB4CXnliWpSb+CV4QR0L+IDKZtvwTudoP74j
+gkAjyiODGFnHb+5ysDk+/N7mOETwZkQBD8ZXWObi7ATghgFtTzSy69iaj/Ou0NMgHqX6MjQXib5
ugxW8Z8Hm5ITYRHJGcWP2pmOBDbmJ9zknGNh/tTez8X2azjbj/jOCBMA36E5Mrz/SVYPWXkAtOUJ
BXMaEQniecuPIggENyEWRdY+mKcztB/kEf0EiEcURwawnYGHuDG2K30Ik1ueoI3wplS8YIWRE0yZ
5AKDffZ8O7+Wr/1o7x1lAuZ76Y4M+dtV+uYSIgGHCJaIE/C0hAAL7RH2HcUN/jSRmFlsZHy/iqn9
mO8OMQHwXaIjQ/u6XKXeAWw0SkFtYyal+YKfhSG2wkGYm2gE9XSO9uM8op8A8ojiyBCGmOiqWZer
6iDaGlsmwUSIR9sMzO2x0jYlssDfNkdi/DVM7cd5970mQL1LdGRof6m/HUJfWyeYYbCxIYz947MD
NERNpDAlM8E8f66vp/KzH+Mt6gnwbv3+yJCF8HwaVPGqPsRGFicmQwICJ/RFfBEiDOy1kT32Oq72
o7xnjAlY76E6MsTtLK4PEvCGlNRGKEOU7AW0yQlCkpoW49u7eTpH+5Ee0U9AeURxZAjP4jdOVoIr
fRDdLIhlcvKUurIg/TjWzeB8gYnG98ZNXsXafrR3h5gA+C7RkWF+G1RR0Gf1n4d8ExelGNJYP9OV
O5CTExNkPEdjLf0anvZjvTPCBKh3aI4M6atVfghbDCoOLEg6Q4LqUXqPA6KbpLS0IMMlR9Hvqfzs
R3iLegK6W78/MmTnUIxxkGoSc7ODIZoNZSOPn5HQ3qSvJId/8EgzT+doP7oj+gn4jiiODOFFvE7T
Py+iKaSfCQI/ioBDvK2OIeJpSQw2+GjXTuZkP7Db5BNw3SY4Mlg38Ty1hnqnQ1hcJkS0yKa64Cm6
uaN+8QlDBJl4HA15HVf7cd4zxgSw91AdGeKndfItix/0n9/LDDJSEsBku3uZnWATUwSVYz+l+POY
yGtY2g/2zggToN6hOTKgb4N1+SNjVf/hCk8Q2SaigCV7wd5CJ/AlghLQR3d6FM+eztd+rEf0E5Ae
URwbzqv7Euo904OIcHnCBRQQMQha//jsJKhAhFubf6CCbPMZY/0q3l7Ae3eMKZjvUh0Z7su0P5DS
RgRsMvGUpxorbSzBLrNMU8pR5HMqP/tR3qKegO/W748M2ct1+pDdBwdxqDaJC9jJQjw5y7Bht81u
CrFQYVJqwVZ/rqRfxdR+jHeHmAD0LtGRoX2+Lg/hWPETKn6U9T5GMzeSeQto8Jw3JSeYkhHQU/nZ
j/EW9QR4t35/ZMje1fGqPEQtgXlCKcJQnf9Y+rUPW2KBgMZ8lH2cztF+dEf0E/AdURwZwudwnOsQ
6UcAGGoICGMveM6weU34DkKe4807laH9+G6/zwR4twmODN2LVXSI3QuCF4p34ezMS7llcmJhjk2o
H9hWwVP52Y/tFvUEaLd+f3TIVtX6AFoXQiBQFsKk9XRyCu3kIhBsXEhGSHO0cS9WUzl6Cd0t+kn4
blEcG8JZ9eYfqOSL14eQz+wEcUKo/Cmfx4emwEnaFIcwAdt8j1t88TrmXkB8zyBTYN9DdmTYX64e
oL7vzwc4qXkC1X2QkBBPdSJjmxpq8iGVDCW9GLzmLedpMkf7sR690QSYRxRHh3AZHEB8U3FiCcYB
3qcikfG+hlQypxiEtzUKfmxOn05i6CV8n5NPgvc5wbGhuy7v4fy9/cd7E4gTikzL/NWcYAdeUN8S
ajqx2BvNvJzM1wsob9NPgXmb4shwhmTb5jBNWQ8HwBpktWCYIWw+Rq53sIaaPuhDAT70yMp+HVf7
kd4zxgS091AdGeKXGQQ2/zzYUOjFLGSBQ/wE9k4xATrhjMAZaDwKiExmaD/O2+QTIN4mODJ0P4LJ
Ux/E8ILzy5BQpOil43EQD4GTkBiZaKSXX8HSfoTHA0zAeExyZCjfrf1VcgDrGnxnOLJsgmP1Qq3X
po6Pgkg3N5FP+IxyjdP52o/0iH4C0COKI8MZ+jHpdbnu/7y4Bj/KFKYQFD2dntmJkuATk5twdmbc
R+g1PO1HeWeECTjv0BwZ0lfrZnWQdlEglU0iQG4/+ct7cEYYDlWwsQ02naP9KI/oJ2A8ojgyhN/F
q/v1YdoTQCe3zaGJp0zUPoTFplUFebTCR3GR6Xztx3lEPwHnEcXR4VxD98EDSGzrxKKmgMMzT7oZ
otdb2WSIfEFQGyxwOqrDfhdP5eglhLfoJyG8RXFkCL8P4OxyFTwcIjFFTyyJOKVPFQO7aWWIn8DJ
Zkg6jrbxq5jaj/PuEBOg3iU6MrRvs3h1kDKgTZdOkNobG+ynLb29nyE6wiwo4NwpzZ7M0X6cR280
AeQRxbEh/KMAv0xX5cNhCr6g9Bo8ZyyhYuTHZ6yhoe8EgcNRoMW3UxYQjIKTAa9h7AXA948zBfj9
lEe2AO5qONWcHKT3H2QzJGDLIDa2f5OjEyjjxlgSWBTP01Wv4Wk/6jsjTMB7h+bIkN7sKCdYe4eo
2oWmcBjyVtAYbmSYwfbGJpWw/59KibaRfhVP+6HeHWIC1rtERwj2HHoJ3QfVffZzzv9Ef20Bh2wQ
ElDd98ujGmtuBg3GuaR7BPovjqa4CC/DvTvMRMh3CY8Q9rNsVdTTssGv7K0OAh02OSMA8F5dDr16
iQVVg5a1/+QNCKBXMPcy/uNBJqI/JjtC7C/qoHpz/S2o8kNIeQ5pEGJCxAwkwOazp/4EAugIejXv
2fuvZO1l9PcNNHEF7CM9vlUASW21Kr+tDpQKg92/qUB5IUuyKQ22JORJoF3Nj89P5fPYiR8U7+vY
e3Ed7Blm2irYQ3iUa8CG6v8D5MmgSGlTWQjVw08WwNjkAy2wqf2HsPooFveI/WS2fof89iCTcd8m
OzbU/VUFa9v+02VLkBiF7uxgxNOXms0R8OPAywfdMNrskzl6Aett+ikwb1McG8JwZc4hUt9waQ6j
lgldbF5KiP7w70wGpaUjhCdz9ALC2/RTEN6mODaEN7dsHCJRBucuKSHQGvRJbe8R2uYmJLuTCr2d
zNELCG/TT0F4m+LIEL6Dwlm46uogYlrAqS1w0J4Mr50cGZzrgS5UYJiNK1ems7Qf4/E7TQB5THJk
KH/J4kM4YHCbioCD8YDiKMwGNhd8ITC0OdkW0FMZ2Q/sFvUEVLd+//8ApL9nceuFN3ee/fNzbvcE
0l57Tx2kPeBaIxPcqP2+9MaPwqCQoc/vPj/q+c16j6HzfTztR/U57dY7Pr7i7yflMLfRvXxT3a/L
/pyVXs1+XBP47LK633/74/XhbsMR6VOuYc+E/Wr1tXz4+y10KKCbXgXPkN0MtJWpeLrk7ee62CZb
gz3+91sDdO4J2xT9S7i1TMI1OLB52/XTV2A6CzjHhSgliGICX6VwSY8PFxlCsA1SoJDwZpsyclDO
b99UWf30FThXFM5nwi1o0PsEbtX5+abvsrj3svTXtDz9+U1aJ++yINUVvNbmzG7++LsNvxxx6DsK
hVLQ7MwE3x7qWOH7+9X7zVFe+Pn/kZ1XWLX06+sw0PmZjC12WabduUzjwuZ1+dFMEqcIdXSaZiIe
1n5WFcZN3feqL4bAlriLbyw/T5WO+hvtsbOsSrJ5EVeBwkPfKBFhYxHEDVMs9+de1PjLttDI9nKX
qaqtPN+2miKdJyKP69vey79Yfp8pA+pBlNBdENo5qdhZ0xnDGc/TznftXvbBWR1HTk9c41Qb5XfP
Sgc7MJC76HFWKx9H1jKuveZjDgfVz0lgRpeSpvkCB7d5Tf18JpMezXMsA6cpDeSIxkqdjA7UieOA
KGJaniqxdR6JUs8KD9tcEz3nXX4lud+ohmbWvImHThmu7uaVn7anZVtd4aqybJ0WX8rWu+hxO/NR
75CKXCLmnbeD9pUO81oFbl+oUEq7rat6lgLCynMNPYOHed/dNjO/9kPYuPOCF76qkTHY0q/wqVXW
7/2I3soQpfUyN31D3wQ4LU55kdtp4ZunBe+r9NbUyCqVX7uiUVS4bEFx24SKu/x75NbtctMOdVGn
UeQMSfquD6srk+VnaexfFYicS23Ms6o9MxLTyQZvXhWpQuFg8yB/aFPyPtDWl+c3VG6tyfss78vA
858uF/31x/+5yxL498eVlf/5y83dpP/502KdbYJI1fhHG+Hx61f/ufZys1l/3YE5EgGPF5z+3DWv
+fIVwgOOcYGZ/ev60h3hsUlCPYtIjoXII/lPIQL6gAmw0Ddne6UlGThiv4QIhkt6JIIEu/UoR/4j
RDjc+gA0UB5HoYCdW0D1U4iwEyid20RyMbLgQk3I3P2cji3AQHzuESIwzrYIgU4e0AXT2mQGMIYS
6m0RUsKpxQoKuLxrL/ZURc4D5qtnU7PvCRtL5tkzJIhiCeli6JcrERaQUYS5fS6mEpwhK4/77sqL
xDL1a2veERKWc5F0lx3tzNYRaV8tQOSEM9PIy1BhLfkt0XmQOVJb5qUohVUtU88tLuvSkIWd1NQs
Lk3TQN2MVXXvOSjHYphVLZpleYvy08hPkllpMLToumJYlJlHZi1YYYvSZ8WsytpwQc0cqbQx34Ui
9RZ5lCCnzrxyERheTGZemYXGIk3aIbtNy8H/noS6mVMcuENoywoZMyvuGQltK4Y/zXDOEjzzWYLo
rU7zCIRf0RU3ugMugmKYDwbmyuj8zzTH537nlwrFRqEiK1rSplg0wrxoaxOD4DSuar/5yCN6V1jV
bRkNF17afDR5kippFpmKAnZRlGzmseLC98Ml9rxoics6cLzOPG9xrCRKpGq8bIGCDinkBmrI+rOS
oy95GPZ2HAtToay4LgMzPLVS/6Lu0DffjPpzP6fCZi4blIzx2o+z2Okta9ZnZqi0BfLVYzSZ667j
i5S6w3nR5+eNayy6JAJpHniLJOalE9DB9oZ8VrTBZdJyOnMpK5Tn54thKJduGbz3eREvwpSnjmdE
y3LIXOVVeJlWXTkr/eQWVO25T7tWGT0y7/smquy+9FobEXPe5bBUOxzMGNOeMmTqJI277PLismUp
qK7Qh2nV0uZSguz0Qn7LGagl2rH6tEpTrlLXIk7iMm2jXl8WZmPYnlUum6jrF1mM1sysH3DC5aKM
zeScWokRKz/iwU2eysTBHQu4jaNEYYGNMysK8aKS6D4y/OVgGlcaiw/aNxax75pK9uXMjaRdU3wx
JPKmSdO5FRInLN1ZhQ07MdvotI3JQraaOAWFieepOK1Q8wkPOlM59xwwAr4OZnOZIU1VUHZnPEbv
Bhi0wellIn01MLyoc2NFKrw2jG6ZseGCgnq1xMfO/ZrJ4Uwkg5zz0JuVgn8oBqz8pvvW1BFcnSn1
OUuiC076d54bYpuSyFRuZH2JPfJlE3tyyhZfWCz17JZdF/5pnzDf9oeaKj4Uc+Ebd7KrPrComXVe
1Dnc996xJicKBWBoJE1wrrNoyQWK1dDgj7nh30mZfDDyTA1pOxde/p2I7qywjLOuQ4OqQvOsCK1F
bMa1kqJyaIbrJauZfs/a8Aze75yH6CutjVD1NA6UlZX+nNA8vEpYF512RkK+ZK0UnyuZBaXd9b37
IdFu9L5zRaW6LsYzVrqlMgLtO4UBujSMtWf7uq9VQcCiaGFbXDQ5D65qNhi9isvGrew6Nzc7DIop
MlVYupnJwpXfBlN6js/Nj0ZFzFlTmVeun7szN84bpZlVwWKmkWr6Oj7vpeHZHuHvNUKlokVbOF6T
S4VxeN5k/W2SR60K2yxXTV5588hin03zNgTknaI2Bkd0VXomaWxeurkPkz3kgYrM7BvzwlCZRe/D
lrMAI36HvDyCeeyjhdd7F2GCB9VH7k2ks291Z9mhGzoyJIVyDXTrmoAyzb9WdTQbsvC0CfV3UbbX
MR/Cuef6kaJt/IWE9dw3xdesN1QtK6IYLhLltmGudJVKFYr+onK50/eBHcZiFhbkITF1t8gL7oRp
86Wh7oIznashqL9Wms3zEmCO2jlxxSecVh95nX7iOEuU1YW3XdxfpFZ7qgsMG7wNP3l+vwxa2KJd
d9m4ycJLXDBtYvO91sM1r8wvnc+vspDZkjWf2qG0cZudBWJo5g0De7BDpQ1ozFIz+joUQaWs0Fyw
kHPVxUWgtAyWXtX5M5+mmR1y8xYPgFoV40h5qbgrmuBMU1PbVYC+gCY4L9wsgvWTvguCQZ9mofeJ
94VQFJWnPKEzEDeOUXeXNIW3T3xxIWtxWkbeGdb8i5U3jjtkdi6ja8rlaZSALV25iUpItDKk4fA2
OK3joVVF7a6Qjs5grp1g6FJlEeuM1f1NlSNgk1VnITJOS25+dVG+bPpYMd3cukw4UvJhXnVWppLA
f4dY991FLVf9kH5FLKSKDMGlxeNF4RZ3SaoHJ0qz08ZrilNpJf0FxtQJCbmoy+Cr6WbnqKShIiTT
8zRBWGWMte+g2NdXsvToLJLl5xT53txA8hpZbabatCjOKyw8W/tdMuemeR/EBrgiyDM+t7kJ62XA
8axHuasoC+KHTgfCITTxTaftyWXrV+733xsh4HONTBALAuXgK1FOoTn0pm3/cxMERxwnSeoaV2H4
wYw+RtY3xhf/d4/YWFrPnLEeVrEZ1fAIVPTKFNd1ft2F737/DEjL7HkNOOoGtiE1oeJ6+xmE1H3S
WoF3jVrQ8uJ60Bddd2cYzu8fA57yzmPgXlgoF4GDVEygjd/57FW8LOypiBrvuk6GWRH6YBjCPiw+
1Oxd22BlVqXq+dmPZz7FB949d2+fm/zPPYAjdSUApN+7Eo99tPd4EZvqyp+hCMjlwSUkkL8lEHei
FtjYz7wISPCgzd1h0F8TbVyFn6EIOMsOyT0Cm/Fn/OKnE2FCM07ozwoxZ4wox9x8jRMBsY2tFQOR
CAs8HEgkcuheA8GQTQ/I5ysGLHDOm0gaV4InoR1nyyZwW5XGZqpSrLN5JPpTo2LUDv3kBklh2U1Q
5qotok9trzMnDvVyKHHi5GEd2sg0M0Xa3nWKQrZOUFXf2qT7mIXd1xwVl31NlwPcoXWRJ3E5Y1mr
3Jx+ABNukeAkdDwdv+9ICCGQgt6bOLDBtq5sl6IbC4E6b6XLVRmWn1AnvnfM7OZhm98mJPwgMFjw
QzQUqjbAl0is4jOr89oJcO4kkdHOQy/PnSIz5mkR1Qob5aKNwDZkLm1UVSdn/iDawOFu5qmh5aHh
uB37mseN0d+EbSObedzhNqEK7grN7uoiRHkH6p95jgX2Upa1FsQ1wPtpqj6ZEVQLu+jprOFpqyIj
fFeHvVZWGttJJmO7RuGDFmLtQixKuYHkiuqruPlAqkwot2/BFLDqAOzn7FZ0oMhwQr6GcWWozirJ
rO9wY1dZc266VXVWoPRbQfywdCCUkKEZ7xtQvGbCyE0ReZFKfcFBMkd3CAyPSNS9qroIOR1in1OW
fUwCkV3nQ5ddoDTobUOAphXWNfXyZRpnVxWuFgnYaLElzjrufhYWwrmKaL8Er2JepwwtcQ3mtA/v
PaO6I7ZrZjGo94HawM8n6engrAmEN8th+pTErmG7LU2uXYnuYhk38yQXYAeaAizZQEdKt0XwMaoM
Es/AgjfNGW7l5UD6G1QNkUJmVYDJl8lZmaNbr+lv3KJM1VDS68Kz5kZHTovKvOGhWLrxsIia+tRH
Q+U02rvTMrnurGZBOtKrCDU2SwD5Nld+yMFITcJPYB7eicxftK38mBiDp6yyOu1q7y5Ph4uyDW7L
pP4caHyKO1mqMPZz2yx4CXYRXXRNy+fgQpN5B/aUmWboHCAPVV2H67BjqimBN6P3+IzSlp+axFXd
IBZ04F9JmczcFLlK1/Hl4LnvE4gsLXuuvQtqsNugbr+lRjVLqruyxti2CuvG80MnrxqV5sNZaeKP
yApbJ8zCRRWUp0EfapVRegl38HxNai9YGMKc57oHK6fIHT/3Ahsb5gArtF1ZLs5mKGmdwRyuWtRc
+0h+IqQ9zyrDyXDnwK3U32iOTAe54e3g+dctZp+Ksr3wOf4YFwjPEOnnRQpOcxAZVy6yFmGSXtWB
lsq30m+Ny5IZbd0Ly+tbRZv4PI7hZxDla3WtVVsmS+nVF41Oz+GXw6zrKD0TGdcqkuBczTHk9Wxz
MNLkvQ8VsARClN6XMCCzlIe1Ar/4+2BUp1HQfKmsdt5azayXwAKVX7UEF6tmhp312qG4trWmp6WX
f+6F8BVJek+1zLyQpH4vcRGDc9jGdlnSz0FdLtuqtGOjcVUm2Q0NvSWcqrkhqRXY/dBc8qb17Y6n
Czct5dIq81M/EotARp9CEl14qPogUohPxCF6r33mkDy+9NPiPEL1J7AZb8sAsEjy5p4lsNVQeRk0
5LqLk3rp9bhWYdCcxqQ4LyzyHhbJWVbHsMNKfV25aN4IiITWdfM5IYUz+CyeNxUCFd6eGxY+NyjK
VdEaS9azU1SyuS6LZTK0p23DHWuILjpLL3Q83Ogm0kokxSWl5XmXw5KVSaGSKv7govRr1AbXrOBL
XbJ1BVFKPzOXmPofmyq45bK6g3LVWHHTnTfcX4pGfovAisVJPaghyZYuKS96nZ6lA4EdhttLP4vO
AzBgu5jeWrEHRmwPHnhWIDs00YI1wTzN82ueZOeBkI/W4/9ntslzA4NDUf/vzJLnmabHLNWPjMMP
qp8mCYYTQpABgUuwCOFwlQ4M+MskYXBBB5QSw12IEjJlm0uIn0wSBufDIAgIocBNeoz8CAb+tEk2
PbJgQChTl1CyBIHJ19gkeDvquDFJoN8DNMM04agahdLnjUvwzIjVA83yoq67q7Sl1qxpwTEHiRaK
yI5E29yYBu/Pwq5JoxlCkf6iM9Z8iFjVFaqy0uLTs9l7Mm63cjW7BhLMhQU2GnSIYpta3G1uWNrn
keXXzRUpUgyB0CF1VS0yE0RAozNLNS2rv4gmNwJVJlIXdhGCx6jcoRLg1VoifbC0Rtcwhl87JI7x
h4EbEi96k7tr3Bu4m/+eY7ITGYakF3RbgLA11I4jSdCI40D4gG2vr2jHPc8xuyH+AN60pHMt+oxD
UKPDoRMIVyowxvoAYgyILpKm7LFTNpl+8LuqwpDayblT6SCDgEjiI8gqlTzyZuBj+O+i2jpLKsuv
HChvsj5WPoi3uOXdLKgM8zIo/SZZ/P6tdmGAQ+VIABBw2y7EzkdOmugNrzXyuLpKtWt9zDyJIZYR
EVgaeVp379qutG5zF8eff//YbfeTI2gMBhewC/BAYS3C/23YerYWOeo8BkGd9CqVA77CkV9fpaAc
Aun6H3//pE0s/XlKcPMkC+7GgQQB1HtDtH37SXnK+qEo/exK5oitijYr44WrZU9UlPszVEBkwaao
lxBAoLxN/tui2SyK7cfDQoFbABhcVAwXt4wfDwou8L00Ca5EEfFVEtZ8FcUbHviQVDOzzDLVI4B+
0cZFS1QRZWKtY4jtt1bPLjqTlsimbZhFNsTkkw+0zAl1fNn369xocgcSaomwuZUxiLRQc6j/S65i
c/nXmH+xERtQAw2OL1RsbE8fMmuecu4al7h2k1VQ6soDOz/SKVO071PvrPWD6JsnrfyiGwp/bmas
C2yCG/FdiwHCOr3vQQA9C5t1UFLx0PDcF4+eMnjCL6Rs+A7IlFFYRJtyIWjKz8UoDGCWMkClr+ll
yIrctaSjLX9YdLqj1lw3dW2XXYFumqTnkFD1fWGXOF1UpMwXMcuJHcVF8j6PedIpEbfepzYEhdtX
WkO4ucg/mFUkHbdIXbvOwjBQgaYhuFhhlV61uVFdF8ZAZ56HrVAZg5smNmn85JSb4HaR0Hvn9Snt
VFyL4kpDfEmTxKCO2UAEAQc9AdnA6mFQqJXhRexz+cVFNTvzTQkBcq9rwG1BkESB20z7YGnIEpR8
28vBwS03nCHs7vOq0LeQWQXzq020mLtVAZa3S8hd4eM2WrjCwJDv8CP3G1RCl40K0sL4WicCfMu8
IssoS8HMKKz4IWhyE/Y9TaLbwHI7oZqCeWcQGq7tHuZhgRmxrgtwPGesLYs5xuAzzWIusGc3rQdJ
qIb4LpjUtHTq3Lr2XcNDDsaZPgVVQ1o7RSEkALSIP3cJ8s9JaeW3nGq+qK3QIPPKTIaVNLNyVqEu
HObgPkMMDWLgEMeP2+8V+JrcHohGtUo90njzTocZbI62nfVeU8t5mbm+E2uanILlw8H/YWUGE500
QoVVGBq2cFuhwAzuBogMxq5NNVjAi9KMIHVU9+impZiBc11CaD6ElaTnVLdWteio6C7MaBhi96aG
hH+SqD6I+7R88F2fkOFL1RqdSHxwbUCUZ/dgiIWalpBLqOscXelIJ1F3ZkHSa9FYtXaXSRkEuQpJ
nN0iYdAlRJdobdeAgQuVCMjqAK5ESid1XdCHOo7aYmZGrYfsMtbYvfYLZIrsNOpF6zt9F1v6wqw0
hRXVuhmuWrsGXTg3DT90rxvYOqZnFzKXsOBoVCXzNA5KS8UFKC931jWBaRsuVPdAPBTMVGZnEHxN
bN+qW3fexiJOZpULVsGcp14C6fuBg8RMScRqO/FL8PbBS/Wqd1VgQH4x8wL53agbESAHZUQvAiZr
ecUN13PPUiq04KGddlUx9JDTAenmz3LPF+CrVQ0kT8A3TIN5D1mm/hRVVZLbkIaJA1t0vI8XkDYM
DBtgJZ+MPBmwAw0YosSB/yHjGtwCo4IpT9NPYZJYyZKWlo5nka/N90OtKZ2HRkYg0wjBVJEq4RNf
L9yyydNbUMb0LPQGEs3rHDiYZTr2hhmUg0D+QIZ93kJWqYelbcBWKR0X4/qspJzHjudSr4ZkbQNw
BqIC+yQdQjqs4wgSRY4EBhKH9olfLDEK2KkXiMi0SRQV1AmywHWG2o0gCdqWufUuhOwBs2lQhAO4
MeFgnCM3ZnOcux5Uj/iWyGe494ds6Qe49WaQDvFbtfmdwlZgpbB8PFrYXRsYg4JaE+NrCdfeQHoi
gH1ErvCQBkOgZMMMetfHLamvzNzqMye1Cn0JyQZQSV4lIiCwEgqz5QY+Tr9AWDr1z4o+iaE05H/Z
O7smOXGsW/8iJpAAAZeHj/ysrG9XuXxDVNllIZAQIECCX39WeqJ7umfOvBEd8Z6LiZi5mOhuu+zM
hNzae61nbWy0iTOZ+PQcNjR6j1ylKqgPuHkhWrg4KA3bBF78TBpVyGCAR5nYqhREDG/SWnQWDW+W
JxMx+9HDBzosseVVmbSRT7MuqfDnRBKa1q4bF3K7uT4IH8wUkWcyefgdlnkmySeyxq5cqGrEAeM/
tccu5obeCagsL50/XG/OphnMPpamNvduDeF8+oPFtalthxemDYruGSdY+gLSAHe3QpUcC2wzdfo4
mbSi9804t+0jTbo0PLqwsfNlctO1+axXdx+1HnOltgp/tdbbtmSOqmnb+218ffPXl25Rn/C6ekVu
w6jDu5iHCB9V3ep2y9N2wVcHlm0rHroxxld+nNEVcPwaaiqduvpuIOEKBSboax+X245uviiv7k0m
/HlwO4dtYEG5LgO9Fg18mXK8IxQQl5Jrnzx16qXCw5tPySJEkiV11OK+WDl7t12Al+HGZn2ErOSb
M0eb25x1D6HhKcFpsTedT26HlA9v0FfZkNVhLehJJzydz1Wt+VKsYzxYNLhrsO8pPtbcj4f1eyvb
6N7NxteHwYc7/WqZ4uagKk/9XLf0WkPEIOsCc0ASlIKutdn1TKWv4JzUTtmeD1kcosyto60fhZ7M
OVVtExURHSlH2YM6ny01TV/Gxlt4KWmHr8nmVUF6DDtNhk+FgryeQIbhu2GvFbtsIg+fqFu2BSJa
ZIczkADK8iqV04KTNlh8tN5D821Ml/TZW9Gmn7Z0GskPOHiryRTwswUmG8zY0ilSb3loOePHHpfF
5l6bst2ml2W6uDWWT81ihqs7ewiVW6LDZhkuTusTs+172Wp96ZgLb7zJD3VZD51azlBu+jpPIqPq
Z3Qi5oefdigjKJ3QoNoaOFmWQiMdcAqsw5PkAxFfid6CZMk2dGDrl34KvBR/mKnGso492Gle1duP
mvvekssY5stRQFl8cMarwHvMgxGl2GbcpIJOTXDvWrlFt4r1UmZDv/jsEpI6dPmK7saUtu5x1WzS
CeBjW6xQO4yRJQGfMhaLpMm435IBd38bOh4Xa7X60JR7w4ZXG63kualH3Gs46dIX3OvK3HdpR1Bg
aZ82uwTOls3c/EaT2SYka9sl/hLRbrCFjfgUXsJKJsvjUJl0xOGOO7rswVAMOwwOq7sRwdTqm3js
6+CeOtiex8rpFO/LOY9f2tHrbaGg69AM3dg8XaSs8PrHtAUCVidtXVjn+8d1CPG9XxmDVhpWdXz5
NXj8b2skF/F91Eb/nP6ZBfuTEfSfB4xdJ4X/weX5lYz4owBzZVSxJAc/9ZuccoVNoZRcHcqrH3PF
Rn+XU8h1SRYMm5DAe6XXqeo3hyf9G/wWPO8WKS8sscXS4n9wYgkegRxeVzKxGJMYi/8SbIq1qf80
GkUYh5BDwWxH/QiKwD/pKQvt6DR46XoXsdTsfE92pQl900LJT6rhnPiNi7JhiTwvj6quv1g7P/kq
2kdJCwVvxKwmaj+6cR0UlqWhXTaDDYVm4udyDcyOkim9Zdrqg1uG/oGGsIdYOHlnaKzR3jT6a7qR
Jvci/3s3hH6GCvWgBHx4UJey8PpFZgGHIwo/IO80ih3vIfUIbbeMJJALZ8G7vFP0oQ08eVyUnYEA
RSXmqOjgxc5lUVCZI2ln4Awp66Jc9O1jSJJP2w5PehEwm+xYjD7zjo3z3ImnUubblPZ3/sy+IcHz
mA74UyrSXsDu2SKkc2FcJ4vKpoBI8dEE0DsdXx78dntRc/8lbYazqM033wv2Ta/wYjdL8w5zURit
LpttdNn65AeOkzZfVxxqCV3Oa6x1Xkk75N48QdGFfZXS6ntbByaLEr2rtCljb7h0tP/aCMixcdBX
uajVWKJOfWwCvZEY8S9J/4hRXeZ+EwzJvQkSb917c7dmfY2/D7zAkg+YJxICIKvXexwLO5j7e+pP
55mkOzJun1uSiDKKl3PnojEHo5eAZFjrrJtND2ekUfmY2P6QcoAIloavPbyJ2Qt4MYR9uTgKXWj9
rGJWUtpPOa34O0bsn3PMdRG3QMOmcNM74k/ykkh6X40ry2I2+Ie+6R/qEcMTzgKggsBqAKqxfAwN
2C4G75FOL02jH2Zf+RljPTwj2eyu5VSqMQfksZ8Je3CYfAHqpZCl0BmMkywWTwHrYbhdExNVmWj5
VMTr5h9i2YlSKxNmmldTKQYU+aq5bxVH/2HYubIJKutgXDFF4t1fN5APi36PXTDmxnmiuB5JhwoS
Y2GntsUMEArwHjPYPLL1hQt5mPGJP8VVjHtKB/RAlbpMlXY5YF/Yew5trxgw8gZheJaefWCkfuvi
oMo6p5ISBMyNYvQAkn3KF57euc6YQno0yuOaHH2YCRnryZRFUEFhOrk77bzjqCf4+Lb9Pjczhojg
o1/tfRPOriBcfaJI3aIXUdlok1sYU34J7HnMKtMtN+lq7oM++NGEOMFNXx8CuX7YJr11tHsSnWxy
FW1vEqx4ZryI75KoaXY9H+dsqtib0cMD5fV16Gw/mw3UCWDw/TbbOKfSY5kJjcxSLp50zeH2cCFL
r29fO6tfyViDrVjC99FvvnVshgMwacgWusJAooPLrJOXZvTOhC8noCx+6buoZHV/qjQGsVnP+YIn
xmdN6r1Nw7qPG32jRyUzGxubQbn5OmHgzloepIelj9PCYLI6WIIbbzBpeEdbDUBnwFzw4//L4fmf
dywSSFf//lj8+7NG/vVYvP7Ub8ci8GkfT8yJcDICK8B23z8ci9fl7BGyrRBVUWAZfum3YxHLbqCD
JghtXNPPVyvhd3ya/Q1Pqbxmnim7bjeDbfFX8Ol/gpthMyTXbXhYcEkh88LtwIv4o7Tr+WQ1dCL8
rkrVLl4hlkwm6jK5jrfBJF/71st6N6XFJtZTXK0KRDG/SD0fgGN/ht4ywKePUJSsyRHSOKOxq7It
bS5dvUBN8ryHTghI5zpBR6okXFqBI0+AycV37zuZ+6aYkvl2miFKkeWNSfWTNG0ZoeXNQPN/YykO
R8hVLyPKzaGr2jNXtoI0FC0FXrbezbO41RAzMk7o2yzjrhhE6DIThKawHgshO1U/F2s+AxmxbMNT
2ctEN32OVvdJt/WD49375tsXbx3wrWV8yXUktrL1olMEj6WYEXbIegRDMhPrD1SC73U83iq4Sqgs
eIvzaNrS9OTek6DOJL/ofjs3Wiz7BsZsYQS9R/W496+iohByym0yuVwisLNH9gGBDmO/V6YxuSTA
Hdo6kbutjtZC+s3zsqz3Yt5QNv0Jtk4g4xur0iejqkIp8mA6O+4aGarCS7dzLdNTPblzr2s/h9Jk
rjjdkZMeDLGO0YwkXGd6htLkCZMUKaCALwZq4iHV0VzOU9wgGDMFJ5g/zS5t3Q9vWdcTX2qS+53P
UUuaZB/YxEP5D27YQI5DmPS7da6qh9XrdFYPU7pbue9nGCDTjHtQqrq5qx808/Z69PaeiHe6Gb4B
nNv2hgcqk32tdi2PBbTNcBd3MGrDalkPrKt2Ex+2Mo67OMM88h0KscrhHfBMejDTZedc4VT1Tcb2
yPjYX0TbrwX+UKReErFrROcKH6OkqMhULh0zJ0qHx7aK6yKmiyvQ7OGGnOPo1gfWcxghAuZ83r7P
ox9kvZlTMDQhSnzbpflc6fggGroU25pcYhWmReLY59gvuhxTAoNu6iBO4laOwsaBihUSp8WaXAmD
p64Ovi3xlQxQBvdQEsvDZJzMDbdP3oqWDSrFd5g+HeRgANct75LCnxfcxml8D4HPZUMow4OngF42
9MNv9T723FRSZy6e8np8zsmQhbaDET58rGm44uLHQ1x0JmUPOMun8AQclEToCqJGlO4qSQf2U671
q+P4ztMWZoqccZhDqdmtwRTcx1a92a43RZUIgiNzAlkcrS+OgyFllR1L6FVZYtO20BpkQtvq10TP
FqYIRCWhuwyI/IgOl7PzOCxDNiQ1YOeoewYnfzeyHrx+apBV6H6KaXiiQX3saHJeEv9hm5rzttV7
2oJG8uqL33RwPdeGZ6GcQyix4aOvQRQT/Lm7wZFzErQWTcJw1DECEtAW32zKD8aGZ9/zfzII7KZd
r6UpLHWl1pP21nfqA3sYALNmg5tsJtaFnQDC7pBHc9UM52aaXjs+LHrn6j7c8tob9VOAxNSLds6+
uYqCT2a+WcZDAHDpG291dJoM5uZ7iRhKcsScEX6rOACXSxOJdq/SdirmtHrFwM7KyFHcGhWXZYX7
5RBqoOe22WRucd+VUY8uHHfh2wzcf2sVzUjFDjXbqiyG2HywmAPAjFcPybahT5qnfFPblntc3UvG
2y8zHhZRql6gPLVIgcy8+cnH+GFk0Ho88DkrVjgd5NrKPO7jxyCdfqh1eRkive3wLd4n1fiypXOd
Df52n4biPLdrlPe9/04c6rju7F1j1SNBTAMsSWUOg0R/2JnqDvYpzVe0h5nHGwfN35L22Okr/hB0
77Fe6jKgM/psJm5E23zQxKIauA8HXqhDDiPbkmhfhfBOuFzaDArJs+9uukWDXTskUG+7bS9mgDxL
cgeMXeyWtfnJgvq0qelYdQGFGSRKokKCgamD07EMAegO+6S2wBV1heo3KsV3XQBofV0xfDRUlJN2
W7GGag99ieTKAsaDkPYomigt5BjfVP1wr40v8sFaOAaJB5uG3oY1UL+Ie7toHE0Od/sFJPu9VsOt
x6ou1z57bZLle2MZnEInz7Z3OlvcdK767TUakgzRoLs10vCeJnbqK3S1c9PvoP8ce5N8Q6ZK7ANf
85x5mmSzIjddIIIcXFvWraB0ovgpTtsgIzT8ZEs67uyGYhsgC9EoOPAKujV+o9uNbDxBUOX5LEDC
izE+gjJDfQ6g4SwbqDzxBK3lfZjjIx3w36b1ZtHeSxvgUvvJUI6znlBuQKgR/tmk6SGy+qg9/GrV
Jz+npfnRG3JWtP67zf2/Lcb85/WTPoK+/76fhN8xff5rO3n9od/aSagseEr5ddHV7z3j7yoL0BSk
tmNstI2DX7m639rJ6xNGoisvi2cFQR/DP/yjnbw+QOZXDjeKAjwbHfTtX2gnf3G8fzKgobJcHxOH
UCBFfhgm+p/byaV36B55HdwZF/r55pajXcOhIE0QZCMbdhgOQaxN62tMEXk1PPw+BsnNlK5tEV21
5cYhNTqN9XmyGuE2v7t4DeImyQaO1Znl1o3MFGE66lzrGcdd91YLXsLweGzDZt+t0wmd7uPQo+tp
BiRi0p6abCT0plOwbrgXo+dJcd6laoLqW31BZuQ1gqUFfHVzOXPqLuLBHbGsTAd9iuVwbKMNuO5S
jfnconAvtdsDfylp0v9ErPhxtjw6Idm3R/z0IxFrlprtxSGInLUUxRtxJJwVoeqKq47hO4xwcV+/
WDJ/a90S5nVbHyhOQvQc8ZipGj7kBA4Q6k1w26rhJNswACA4/hzQiGXO06j3MrkTauxzy4e7Jlr6
k1MTpFpRIWuloCi19cjz1OfVrWHaL2ANbhgAw+0nBJj2dgnj75vAh9tXqn6gEIKz2oyf9eSnl0bL
Y5R6EGJpv+7rziR3RiABGMcWV22uw2zEnJ+3Csm2hnc1hDDC9mJxoG1H6Oihi/mDzwOy33qc2QNm
30x1AUfDgVyFUAEv/VU2hyBwGIqFoPumvgIdG/AE5mAf+FrDhagIQMTVh9tvxC5EzGIX2gAwrJro
ftKBKruguUH8+Ix24a7tyHFa+VYIlfxEtpEhzaPC0jMiKNZ5bUpSxeu+nXHe+k2d4IMgK/LOQ7qf
Gsazxo3zPqUQ8RXayMKH/fXY2TjZz32EE4v4zcH3q6pYFhngJAu8B4k9hZna8E4Hx1gmmM92Cfem
vFktThbN+9KDqQaVvBWnyBi757R+Xqm5R5PVlbWXrJme+g8tDSyimsHIHdLw1KcmwBBzBZG260ck
aPfNmqj50sFBzAw40sM6g7qiDieZrDpyFyU1XLIenYHA554FozcfEgt5vLYh5MF4Fj9asM3IUMdV
uXDlHfwJwHKExqPqUvSbwAdU2iHMhVBkloRgSb3GJsUILj1nS8MeNuIeGjc/Mqsw5NAGMLqk8hZT
w3SATfVz6raPiSz1burBbMpUAuOE5ZAjFIvTc2BHtoJ6ZV68oLHowkfqzS8i1ZNX+NPsqn1NHeQM
MfffLV5VvHmYDetGok2uB4wL6zPxLEEXxlnuL+kJ8icrrV1Jli4zUvZoqHtQK7DceSm6zjshLnsQ
QfBlMQ3STrx+VkNzipvuHgJJ7nnxxUTfqpieZ/SQX9EDfVqGBEroeVk3AgZL7GxvZvjNhzS9zp8j
ZlXe+jcUf1vd1+dlCX8OsGdzssmLb5ElWpBR3BLQNaLZcKob9cPEQG7gyB8RQnkAj3gzRwI4SL0E
RacSvW8FgQW51FHhVu0ycOHxtS9BdJT2eWwCdGgrLiHyaXezx58kEpC+nt/6EOUh8RG+itvxLCx5
dy3IcNMGGJyN5jsyE+wYCIAkhWO5NMi4xRvBhGWWi0ns68wwjMZeeJ86yJxaxd0xiSL8zskHoN1C
dO4nfZ4b/wAnp8uXsNo114itSKcVilvjI/ubFpMbP03F2ixaRAGYgr0h1q+iUncOiu30XYcISM/R
VzQV0VEoKFXj9gHsBHCFdge8abmrEQyAWbcVksW3dYMqk2ovo6PN29RDk6TJwRvYYUW8EP0ZEB1h
H7Bk4kZSE+SVkB9Tkh7iLrglvN974bDngCpwTXMEI/Hv0XudCIGk2/zTiPgelBbGP70eJ6Q+yxny
pBe2DzDCPZwFcy4DRIYn+aBSryCifpYg+2rWHeJZdsWsxLMUUw4XckTm1gBXXqGCAvQRMk98A5Eh
pcib+p/VVXfGOQYJ2iTUJPdCob/mrHv0r1r1f7W2X2ZS9D8GjX5bkv6v7dH1535rj6C2oc8h2BoI
pwcoH37p9/YITyCPAoI9RhSuUnrdkPCb2nbdQgehzSfYroHfcrWufmN6479BZcOjnECqoX2CU/VX
2iMWXU2mf/CFeKyEH8LPwiKs63r6q+X15/aILNGoPK3U3RbVpwC1L1yAoroW03vXaKDkLMyaSl5C
uNA7pKkOPr7Wop/u6tlDGKUpUksfOgSv54CcrOnf2zl8q4zM2w7O9kZueBoetho3bOvpNa9j/mZW
+bBUVVtim8p7imhSHtZYAlLJuc83YiUMKkkzCQsbAt3UveqgPs8QojFyqPukbqGK6dQHQuDlsGQ/
oIntgorc1w6ZmTFqoI01Xy1ZGGZDdpdEA/DeuY2zloCfn5n+wbTGBhBXo3GpY5aDbyHHaEXPN8XH
oFLPweo+13C7mDD9kJV5titGPghpe83mM0PzlemF3UU6PknU+Sytoy8BEoObnr7Zmu0whS9o8LCK
wKbJPTrDs1QaM2p721iI9h4BBohIKqZ6CfRm9F5TtE6Zhm3hR80NbBjQW/2KlHw7HbtIgv9vN4Kw
MJQRr0m/ARS7j5b5JpwTfdsPD74OdqoV5RqTO6yl382Be1yvFf1KGgYjeQ9InSMt+hUV9BVI9Y7N
M7pQGBAwGdSHWOcvvecHhdqQXieuuV0XfHSIYz34rnKFaZl6GUKcmyaZMkxuyP0P8XIL8mNXWbgE
CjROvs7LU43OBv8sdoIZWUxD9zLjZVQDjsNWeA6KkN5HwsdnkxAMpOsZegZ64sYDXecnstBrAsVn
DR5Fos/WVj+AYuLIY+w51OzRo3GQexO7SRVWG8xRjMh8D4EUTPOjF1XHqJnCm0hjrYwbmmec7d8T
HzJApR5U3f5ouvGFp6jzcIltzvGmDoCSbZ56gK3hCvE8pnQXhBMk0bhC3E60u17MxQa3ItravR8u
h5ai4wPTvJbUzJ84q/oiZMMCfqX/qrUqU9LLa/6mzq8Lf3KukTjuHDFZYEYsx0likm04YTNQxv1l
W0esDWgfq35O8tBvxgySMRoPB2pPzR1alxExYe3kDVHopBPzVbD4BuL9I/QH8GwiVblHtm2vOjRJ
XTXaXQpMFDw+/dZ3w1Oy4MJHlhdrtN36c/WjWjzwbkv0mPYJRoTqYAP0WaSqjnHrJfBqYZAmLNk5
+L1XujXMKG9N1tsRjfUwLrm3re882EweGfiDEp9ohm1Dp2lB69QiEbZC0SVSiTskKvdio6pc20es
FCA1dhstfHsHcvI+LewZTOpzK0kxu+S+pbTF1LCFuaWIRAfCe0GqH/uTEHmvIYDVv5QwAWAIZluE
y76AkINghuu6nuBOYjVJH2ZogIKCeuHnVYKUvndx/tSVIlk7NPfbu97EYe2nKNfAAnG5YLGtFk3O
OmI9EhCkJxVbDdtxIvuK8jRHhhevZ8GBa+EGZPjvP6l02PEUgbVqQ/SvifQeh9n/NAq3RMiUOOk4
/tKPw62R9ZIhPPoJgeouRsLRNI5lCM6FJXp4umOk2UHnHm8qgj0qXYirjU/8PHR4022HuwkA4luo
pN5pDzUYNCSCncsYwv7ghwrZyoMm6/vAhN6nKI1hK3YDNjfkdR1esFPpzkg0zhFslWIVwRM4ZIsF
I/p+MD7U//C531ArNXkifKC53mA/+jp+57w/YYXSieLNFVbASIj8+QvCaCSvGjGUssHajzHCTd2a
6m1h29s4DY+1CfmBSw/uMZlLhQIHfX9+6hMoUWOL6xt4cLsD9FE2xnIBrsaPZpQoFT2aT9C947bn
Q60yGprntbIvLZ1exyHB2ql2fg1TuMSEWlL4Pq3Pm2mWQoBEAw6O2JXmSIRLEhxH0zx1LMBwN+ui
asmbbbGfJYU5HckUS2XSFgNvzwDW0peFPVhz2qqvVpzDOnjoGgBXEXtpPPVFYAcLI920R0bwlvba
gK8j5gDe+JOg0INaSu/BueKrHXrVAUEXCeN8E6WMBSiMMCx0am+gtz4uKT3ETqL8irXcVvLURexc
6xVsEZ9f42ltMn+YTsN0u7A1myI4LDzGfo81EIXUqdjTYWzyaBSvZN32Uo7NTeeh/G/eeEnX2IPG
OLfAil0DiAsKhukTXK0KoFXPTxHUwNywpAahoXk6ZMj1UozA+jMRqr7YbsrCnqNix6+NVnY/YksA
ljUM23pLaiiKtcF1hj/PDjyBKS+qXKN+nappS+9IMOo7f/PQb2LbxBGBt1s51knyPofrut8cQqZ1
D4EOhwfMmoHvVEQutI+OqEYnVuHWSUIKnQV7N7wxDF5E3KNCLAN0dOMd6iG8DUPDD13tfwYrGtiV
f+DIgUhfu8Pqe4VKsNCg9fHW8RpNQHTROvndibbLoJbsqd9QeOEY7DvOvmJJwoLtZ1NT2qEuB2IQ
fqbbDntpsKQtZmeOD7v/mPwTCaurBXPwPEtvoUbeBb0D3AF9E0y//wUfP05xIj9715wA3Me7fnAP
o2H7BjBbAf2q23XOB00y+n0hJBaIkMF+7TCVoPt/irC2gsnoC3LP9yvWxmVsa49IN+5GIe8XfE8y
o92OTD0CruF3FNf7KbVdLmvcAgKaL/LQOxQ4srchnP6UIGRTU3Edow4dmyiWbqi7OB0RnK3quRRp
u5ajm3A/WC4LCPQ1BC5TKifrrGchRntN3zcDUAgw7T4W2HIC5ewWz0T6Oo6IX8QyzrXySiJcHtnk
DUfLbrH0Ec7GGd/cQ0yZjxhj/aXfgKM0Ql4swVHbYvyoICRL/Rr15KutgO1i5c6roe6iXbzkVqRe
1niIKKcRf8GyuQ4+lDxu4jSG48VxvustbYtZJA91hJVwzGNf5n65bK7OkH/+kGGEzSbYwmQCqMEu
mQ9gLaeyc+yiIKznTKEQevXejwQDSxAeWk1vrL+d5zEIch5hewnboH9bpe6Dyt+QZ0+8KzRNi6XG
fqBlTiFdYXVDho1Qaw7dKyyTbTyYkGrwSc1HbNHDJG6+j3sT7FNksfY8NeZGDeOaD4E9y+Y6wkJy
ayVWN6XKNug5qwlfrkgmW/jMJu/ERKz2rNbHFN1WD6MxgDC0LSkTf4/c/Feq9gHQ/Xup+v/g29X9
v7Rq/NQfhjGEYAPGsNshwRz852HMx1I5/O/vMUoI0v8YxlIMYwGex4gFV7+wv9+HseRvAWVXWiEN
0vQKG/6VYQzz4J+GsSv6QCmidAGyOXidhEFm/yP6AFvMNghJyzuPDG9cwArcZvlB1ugoCZaVNYiH
m3EusRIi85d4twUc5NBwaxMFhccqhIoFtgjNHINRPNMdj/wdxoMnKxZaJvEV1uHrjT9VBVwc8D1k
ehEJRB5Jro3rIPPFGw+yNe+KQT+dSfijogJHoaewZylyZ5csP9qZgJtrscvRD4KSrUuUkbXbSn/2
ZDGq6JpNhwUYz+mch1g1lk+6W3edXu8pNloUlMvz7KIgA5T7NUDAqgAr/QP21AnZO6yCcHBX+QIG
UoEwjLAUK8Pig/stJa9Lhex/k0AAq2vPZjLGqrKGNSLfOHY9wEeDHVkdAz7tQPRV2QBaGRsv3MtW
88sUd+e+6s813hPMW1jBitJHK9pi4VyVbUcvFaHP1SonrLIEBIVFH0BEzAIS6todY3I+qACrmKqk
f02i0csZHFsQItEyCP400ab/hojAy7qF9jwl5q4PJrOXmGWvvfM3MIpH0cF17S3LwjnSmIUwCMxB
RbO6Si41py/BALF1FvYOhAgr23beChptvNxSIPh8TAEr6Pkx8Oof6EI11mTwHDse2rNm75N7RxJj
F/bs3ayB3sOr3UOKxG6y3ir9kpK6e5K+7NtPwbcf1tWPG/CNMp57LLZofx3i0BpvK9zfRzTO/sFN
VN/RsUrvQlWZ05pWeZhiOaeN2WEary3Mr24hTNfboNlQ5cS1m0CQ69V2WD147TUCNB2Au+kBniEa
kfFXU/Jf2emX7HQtS/++ziFI/r58ju/mX3Wn6w/+VurwGGA80Bvraxjiufg/6Dp/0J3wWCrsO/rF
NwOM/mOpi7DyBpoLhKW/E86/l7r4b6iYyFqjcF4D6P5f229zFbf+oDtdS11w9f7wN/lI/aXxP+lO
HU/gXywJekpf8kOPs7MGNwLN0p7neFmxDpaaGzdTDdt5w6GL07drgD4Enfq/7J3XctzYkkV/ZX4A
HfDn4HEKQHl6zxcEJZLw3uPrZ0F91SO1u9Hv/dJGDBbFKgAnc+feK78068HcApjAMmL5jsEpHI62
sUnMqHaZCS1UG6PuResxL2qbinOc8mtYJE/RWgwMa1kwUR+QGDo31AuydJj0UEEw9H8KkDjcpYZv
shYZAi8E8LDuGOaUgimVyEItTU8lLgA9PYRrvdJRuDijSL2iiW86tXnTLbMgmBE+DrkFkgdXMJE1
CiEm3Bc2ldG0lkhU788ONZM9DSeHGmoU2b1iYVLF4esSYnkomgCNWyOMGIwnsZi3BfWYFiovOvVZ
SIXdqbXgPKjOlSifdSo5I8qTTWRNuwEKBj5d862DpIkIQQGoCCr6tSSEUZx5RkNXOgf17EtZ9BTt
w0weNb9qxokkVWjsy7XQnMb+csyGfhMuo7az0m6bUJVO6UCHkmqFq+gLBZX9Fa7ofdrPW5IYOHnC
4hoI0HaO8kNMsGkDJPDa7sVDVAcAZ8z52Y55NMcj+gnD49TFClxujXhuvUIXTFqXm2YqxFaLsuNE
6R0teK5lpz/YUaMR5NED1y6dq2QQ+mVG6T7J8K7G/3Cwex5MozzZc5K4uPG3sRh40taEVrol8Ts6
h13Ty+fIZsjW1wUSYxnvOFfpvPPyaypsVL61QcN4sM1oN2aVOW43g26h5cjz5EvTGB8YFz8YBNP5
0rKscR7M9SER7CH3kzkzHw0Ljg9xcKYdND0lzQ8C2SGjGbL6aNvIMN1qxCfhBdEx6aE97+S353Bh
9Z0/DspNXI3vMEHGxrVUgM9qU++WmuJddPXRVGjb8XrvHbuMNqUeJMTehPRwdO51JSwwtU1vBPvu
Y7X0hjb31RUuzaXLdeSgow6GiyduuGPiWNMvhNOv7KGZ8AoTpF7zuwzBw7CyW2cAUKAHBpIMXijH
PgdDq6FENomXhQn3hch6XyaVtjXqUue8tNUtfkPc7ySETrNe3ARK9NUIR/OmC/Jb2RAwWMPouEn4
XaJuJAG19OQd4BKF6nJVltwpSY7TCCL1dSCsc5SrqlepibmxE97Awn7tOu3Ylje029WmaeQ11Eso
pXZ5OWHf3wzdeHT08h2vM7CVOXnLzbzyRdqmnjIpqVctXB+jVYMnqGGARouyM2Y3WV710HgfmnOS
HGDY+nFZU9MHXAZDHrzNazxPn+uLYEm1TWEod1Nl7gsNB+ZcR49KmH6kPbeMXpRc25W1bR2KMCWn
1SFvTswpuyf2/ekMJarjxHWHY3JnlkXom6TdN0q1dGhjdXFW9Mm60Ir8XiFicDkNxCgJOie+cJbA
mxaAqrgaSzdsVGyN43AxNCnZAFEkzDjju6jharbMUDs0WRL5ZsAnTrgSRMG83GDltsGP47Bp82Fx
q1m5NeqmZ7DMjRUtdbBRBiRcGNiQY6AjeWXdmRCamAma0TEli0ylUt/kpnHKyvZODdT7wIIjrOnD
MYBf5hvLMsW0sk2TXFWT1jynjtWOvt0WduK2fYJ4PyTMRAcj17fxGOAkTOL2RTphZJ7/rQm+1QQr
5Pqva4K7+KNp3v5YEKzf9WNBoGoGySY+E+v3vDvOYwR0TJccxqsZ53vv42D7psHB1U3Ji7WbF/w+
iCIo5Wi6lAJcgk638o8GUazG/H1BAIhPmLyWRTJUhyTwc++zcHhFehmrV4zFYubVPLJt7bUMiTVu
FgvicmMX51hyGsWjQ39f8eeNLq6Q7a76utriJr7FNPratgsUYmXatWn0XDTWrl5dhYW8qAgqc8u8
aLicNxmG1UWkp84CYRu2eFH1kEHIVNwDlAdX56iZW+PI5C6pXhBBPdvSTxYTjlyr35ZVYEuWZ53n
sZtP3TGyCh/MqnBTpOa2pwdLiuVZC8V+jNLYNdPuehLRCwiuh0WWZ3JKz8wL801q6Z/KWDxxOz6m
8OTW5mBLrb9dxHKNniM4p6od86weT3vhyRhxxwgkXsRgPECAYaY20x0U5k7UyrZpB9weuXwEBDJt
KtBiB2Y6Gpl+85SoGYCSUdkzoDHhRjTBvmc4DGzjoDOlgSF6O1b9LSbE5iGz5resqlI4avIYRuoT
oTPSaHgDK3W6CNPK2oyhUHwrKfbI/4k79f0J9e5gO9BI6sA6zto7XOjXMOgfZmmNm9lMI9yU42uq
tis4wLjIhPlhiGpwHUt7wEqKzMaMhVk4Nus25EAdB5usybxPWk5IOfoVgbG+5T0Lw4zQzxwmNiPF
pBuaS7LVWuQHZE92pIXoU7sS19NiVmp3KKUM/U44M4+rDsGrLtVG+HqMqdtvW6Nz3nBljoekw98P
CECd8s1kYBBzc70kgZSZkRdGde1WpgO2rK59+umvRdTw7A5M3TPQnVaQK/81wjle2q920JtEtOtP
pOW1xEq8uciXjdBwSoZWeivW2Z4wxKUS4d3q9IrXQHAvleg5m8yXQk6jO0zDXdWnLINQqtjjuHpP
qvZTZyy50H6R8M0eQ7rEDaLFhTowmUjhzDeFEvvJ2Bm+aQ3Xk04qjBHi3oyaFwLyoChwj/tWIF/m
Tk83lWnDOBbjO/YAxlTZOHHlEKoocOKTYHNIVITKZfiSDV4RhsdiSt7NCcUz53oBXG2ly8kuil1S
VjeDwZETpdNDtYaX7DJcQd0bSDANJ7v9FODd2Vn8idTGp3Cpb+KAIYCptOexfQEN08JWVMqTIsQS
e7zUtFEppZU15GDb2UZRIpIIzQRebeQTB0V+2+NoOqQRUwG7uFwa3GZF9Wk7Jmw4c2jUbT2nzdd/
z5VfzxWav785V76tKHWbfvmTs4Xv/O1s0X6xJMsOaBkdtqesJoLfmk3WurBNBfvlb+LZ97OFvT9M
FFlmIL7BztYW8fvZYv+CM8HSmYkK1dTWEO4/8ICi4v3+bJFYHNYbjsNldYKuX/+BFuUESmmHUlZX
xUSvQfqM3Kme6V42FU9xY0if5QmUR3pDN5IKuOpWd6gt7XMoVYZNeT4eR7AwmCFTwkFqvw+p9oi9
WfRRJTPXosfEhpsvEcmXMWDYqyELbYaC+gpUQOEL0PfUerNzHdX5g9UwdqtHY95wF51ngvhh2JUU
zk9BYtzneVxciZXIyexlRBGC0qnC5j/mgDsDM0wBdzg3MmVSTXf8wYig34a6Mt4XtbPHantKqmne
qlOB33C6rbXxaiqr7MBmhMuBkS0rDnaW2ibE9qZzLpq7qIWV2cwlRjSxkJk0dqnqRG4Qtl/nGM55
GYYDPri5gSwS7MK4vkP22UaTCR/HbIghN/FhyMSrptFDjNN4STmLBLiEROprMP1Tvo/KWPOmtIet
06SeYy23Aa7CvaVovDV9PJyyGIpoboWXThUfHZmuNNHMXzrlPUkyh5wmKPCQXm1csE3UAb4zZUg5
xSKc5f0CPCST17Sd5JU7DXDBylDvjNuEc79s33VZfgperp/X4X7NsRZp7VsEJdVtA7QrU3RAOjHr
A7zXNuCbN2U2AOjJzNhlArWKA7c0gMxQc+2inpIJ5pdW+bFVth65bn23QEoyl2/tPTEcxXqoitk5
1kOyT0VH4VAHJHo46WSQAkXJTm3ZXYPZ8boMmW4stuXk9Bjo4yfHbM1dMemOG8B08Jys3i6xuJjr
+Vkv861ZDK/ohtUhN4bboYXSoi3jBz8ZvISRfQyi1q5YmonhTpuvk0kaLB2ILpxeCc6D0XzRmkBs
oFPoB/Ia9muk5MKvkWktfy5azrVla6VkdJtkqC7DQRHHKixb2A8lZ65ArXV4g2plY9nyXVZyPA6I
uDIQ26aa9p0RbGfLGD0jaF4cEwynORd7M634ES3Dpz5lJRChl97iLZZoPUoeLQ9GVWI30ufRNSpx
J2v71GnzRxbVqQde/DYLovBkk5haciB/0ejBxyr81EbeKdroPVkq59CV4n0Sq9VUApS1BkI88Itu
urrkLW4ugpRBuGjGivl84+I8VVY3Iqg8DAdBKCEOT8gO5YROUIzhvE204DOrguusmXvPzMEDDlFf
unbPUR8s2anWC9VfVLvek8zyFA3vY1Acx0RvvTjQXxJ6TA6trjtHpqJeGGNjfWDVTe9LlZ4dtYuu
TssijMf/nk6/KqEcJH99Ov1v/vZeNn88mVS+67eTCRl0xa4TKtV1aa00h99OJoILdBz2N1feN4vd
94MJzgOUBANwLdg60gM/HEzyF10TdCgIod+CC+KfHExMnH5/MMETdFQSCmtMQrIF7+eDqawwF1lk
7q7UzLhP6a711jrlZnuTTggx49qAhyq+aM3cJ/OcEDyiSQ/Wdr2b+gArQVVzc2KtBtR0q5qMKaMK
n9Fo0ii0i4YaueodDq9VwFDGyFFpByds9JVJcNes8sFSlGzMKKcLpUZaYOTLKHSVGxTA0p5YJYhs
0BUG92N9qaJPCHaRXYhhKc6JTrK7tHX20AQMG/RV2WidEEQUYocd4QRfmuI+KlZHx6qIqE17qJFI
AtmF2IShOQkz/4D59wgvTdlkurUvEViUVWkJ6vZiWbWXxcIH4GgU7lY/uw0CTdEcEu2sraJN9NYY
bke6rixJGoxDD/9wVXkERmrA21Pq6Uyq/QoxiJ1D1WbqmvcemYiJ+7hxVH4hFpEcWqSkWcG9hF1I
Wc49KtNkylcL1alc5SdnxqhMDXNuwuY6XiUqc5AY9ibtKrWbVb7qfQ1AhdsZ9JJdGLYHscpdUNBu
9VUAc1DCyPGTjpVAkFaRLNYibauvwlkrBiQ0m6FeFZSdn60CW5CO2qZR5VlHe5t7+jWribxEFkiv
OCLUVairDbCNsmUhDL7AybeBKPnhKu2FnYorGbUvVHDXlXG1q9Xk2KbiHkvNm7aKhPkM0ZsBUDJE
jlfq5LAqOGq0BNUe1rTu2iiN1HQtn1+9cwzw82mgFep1ZXbFHWQSfnCDMywtrxaz+QoQpDzog3LN
Bf7mlDSlDUGMY5RqzxgHLhrCHp6Cld+LR+MDRZmDap63bTeh0rUywC1jfckxzpJ30SOcgnaKRtTf
WXrYnnKpHockeakW57TUGovXAIGXo3KuZ+J5rYrI24WBtilT2PhN2152ycLtM9xHYfCljoTcFwYw
PBw+dwECA6Ct/qk2xCGtu5AEHxtNZvTHcrbzrWwLYrvWQxOp0ZG8C8HXZLnjNcczCJYBNlZZ+l1o
N+43DtrQALTTnPXDm5ARVTuwPS0wn9oyYcCw4LBs6YCPrd5P7kRvs4nmmGqwJW69cKY+h2qwml2i
5jqxLZIPRu1NxaxtZZ8/Sn0hId1FoKc4LltEET6gqmAHToJiGqcxd3unH8i1ogEndkQt2x/URaoH
Yq0HasdsZ/N32dQ2NSaPxQ4bbXtNAIFqruZY7up9otgUPYiPSdKxVyvDeriwTcYFk0YjaEbCc8IW
XIgG6I7/wMV+nYTOpmyHByyiJ6vpj6UxX1IB3g0CSWZp812kBIDt84DjOdUuh6l/iMtvuf3oOjf7
mzQcH2U6XbT58twGJpNHML2bvEwe7UE/mpO6n9v2vpOrx6QvAHmUlNZONp1TqhOhNuU2nxlm6M10
ETTGTUrs0J9GzRd6ddT7vtjMbf9pWsFrHGpX8EIvwZte14lgWj20X4LAIsSaLs9ZxJzVrKX0Ybm9
trkgWoT+vaETvy8j8zSxR8kfMq4aeLZz+mj0ibWPTbtgBrWKnVEJiXGVP/89wr8d4euKzb8+ws9l
+z//W4Qf2cefjDPXb/1+jmvY3hEHGbTrhjBUky99P8c1CcvJ5PD8NWOo0Zd+P8hZ7Ee4bl03SkBV
/QbU/t5hssbdYW0N4CUdqO9aGPyDDvP3/SU1gqriqjRAZNC0qr/rLxMpSLQUTnLZ5/5iCSJDO/O/
Aa91yS/y08h0/SnGqt2uKi2KLO/Bj11sTfPAEikruexKzFdeKVXybti/JKs49NRP8BlD1de1swhx
RfVVxN6QJTjBWktu1Sq6yWK5060oxhulIv9rCkvXZJ9hpIxVVw2jw6jnh36IAN87+6rXzuoy3gA7
vKiX8jSxzSFuwqOapOsSMiS6RK2drZiZLQa9NcOEc961CaQkkXe+2KUga7P+Ez2OLrGwieg0Qe+A
3uH7J6E4G2jXgX0cARDvgnESXqeQnkocncd0v5QMW7EiuI1uPsLoE9AYLeNVz5V2A03f2MVqGtl+
hDya+eVcp08lvlhvXo0p+9CBJQQZv+hA/hnyki5unnaiTxmK4EPgXge1Ix8XvSYTVutwQZXFtnZa
OTKTcSskCR4avZV3MxXWZClXki1mF7x+BTxj1Vyn/lSuyfQSu6zdBw0RAB3zi5AxlnozPfZTbctr
fl5rvFpzKNqTPpdkCELM7TQi1nQdaTSpdTg7J6exxXHAS/Ki2pr5hK+SCiqblzsOW/gCskwhQYGL
H5e9jIaA2NnYOg9lSXtnF1CflF5dVxlMEcQEwAN1GM7gmqzh0ul74Xe85+cC5vlbSzM1zdin54nZ
pFPDAtZZzkIAFwdqNoy3y9Cz/oqHqlNqzm04W9qmS6LYk7MT4ULMVXdKTY80lCfq+Enm1nDmoxvo
b4GTNF2he+3qD5yyKT7aSx/5mF2XXddlmls4gXnZRoM+MDVrd7Yx7FksKLxo0tubkLbbl0p+AeaI
sVbL9lvG6GZpHWTUUwzZ2Z51vqkXGuo1yyTuOk0MDyE2wM9SJfCUpJ49TvZniVvfylsvDWrtXlUQ
Rexuq+hl6jsKRA9ODlpiFnLa1Xvbdh9F3HzMyfxYs1OmMYajw1otHiCUpMuOs+hilgPyabeH3nZe
qL7CZviiWv1FnSvbjFPHQAFu+vlrwXaFsPwKclnzRjtj5ch6XqbW8GLZOBcX22QOlrbY5Md18dpy
JoKLSUm/sIkPj336UvHxgd6lXpXCp7JHzJH7Xl2AOrQ+W9koadUa0T/EXd8W6iGxiAXCcfUsIa75
HW8tzj5vipfQQ9RvXXNQ4wugDsgcgX7TZUV7AXH4FOoTFzMO96zGII3llassn08ON5GKC0h3Gm+S
8iwr44xf+ElZOje1xF2vhzdFXZ0F/z/ozjnvh5vIiY+ZXvlMn2Oo1RPzUSr2JMK20IMjX2eUl6mS
vpap9soK0CMLT05lJo9Jr93gI/BAb3plll2AmiApUc+nRYg9mH62nwEeqVOxR5TwWN9BbJRie17G
oyyX+VAvFFSdLMFDoGQoESS4OcSkb01Guqudahe0mnK7zEq9/eFIuv41DPXTqoFv+uD/h6QslSfv
CmFHk5SM0Pj3z0/eaNbydrYzuD51qq/VAXndgYB4ng/ZucsRPgQrisMSy0NeLR9aVbc3dZ2q95I0
BZ3CdNtj5CZP46WOeFKnbseG4k+gqSGYGfJ4YYLVw2YLc7lwTWercSCwWndMJKDpetA9Ibv9UJZf
GrH0bpy0jzqEEX/QOsPVALBsssIFYNdOB61iaNQFxU5Lmp1uDtcZDhqqnPc5y+96kRwBBuOmz451
r59FVZ7ZPUjuGDua187xXp+w2LcDyheS6TYiwI6HUHit2t6ac6+5VWQf1cjhvjZC9Rx0ENCSZnpg
Nwp9kt3XXAv6lclWEbe27dnFnn0xVMtl1CaHdIRcOCKIxUTYgxXC1ssGMsTK6MaobYXVGawO2wwK
WLwsTsGGt+dcazb8LRfOtRY2R3OVJtktwIEQdXXIPJuZB+KRCt6F1sxoB1JMToE5IHlg1QqN6RQT
MBMnwOSrm6WicVm20JPf01rdaVVubUyNqdzs5YbtMkHYjzyHjLZ8Lx1xVmuySqGjvAeavWxg1W7s
nohlmuXaQanWZ1l3joX9rKvZVlUZ70glfZlzXXOZWaW+GYVXLBLSvG+ebbNKsGiA738sDSxOcVw3
MKvG/PD3l+rvh6hcqDZ9lhSI8Cz+cH5XIiQLBp5mYFtAwGpNIznSGfyqNf0lK59Z8A9FCC/JhjOs
SdIh+Cel1LCc/ViEsCKgYPlxGF5mDJAU+woAyj6ubpuRKBfpDmzrrGP1//630n6nk/zxp66/9w8C
fl+lXWUSsrtQ54LWEKs2YMM7TsXnELTjutIocTtpPdmBcRgg/DFCIy6dQbhzVT0uXdYNP5eKOMcd
DAjEVVZnjdoXGbHaMVeTB9bsjF6YMpjLzBc7ALauZYYNzxJ1xO8XUfiyUmBGVIN02aw8H3po1V/K
Ium25sJ+yjiOv2Zcqz5c9cjjCTx7ayPj4iy/681155UCBycc9AO21uto7t4T4ew5lO7Rz7d2O9LX
WCTs1UjxE5UKBV242M1Lr7p1bpssjLWijYinWz0qGNHFkCSNEJ+/Q0ywHT7rdkRJqOJDYyrklM37
aUmeTDU9Wl2JuJ9SrMUBskPSxdjCeuuQLslJJ89czAGTy0xVOWBSnrLq07CSiOIkv5BQJYpm9LHd
cgWrftqFMN2NyiuTXG6qJSGVnwUXFRp/aIm9VuJNluF0F9lsN5wq5b7v0ooJJQakRXQ7BpmgBfvy
zQ7ri0bNb+oKmCWTW1YRISUPygY9mRQ1y18rTXso5mhP+nDyhqa/rGzOyIQoScPiI1mrPalrqAmW
uQsr8yzGzP0vl9t/u8bXQvyHq200KTH0hauN8M11eKls2fr0OO6WAyvCzkxyIvcrQ1PrqF0Ur+Pp
7384y8b/7AZbvRhsARJYOH/+4VoVyYKsjHJRecA3z7pbbXsmSiflSWzBLz5cKe75afCTdjO88Y/s
Ekf35hhvg0tSBfl/+dv83Nj8et8Z2DFwa9q0UdbvTBmzOkIvYv/zZYT8Y5C2VJ+aYf/3v/HPz6w/
/gzU2x/f7YX9bUoUZRGH60fY7J355u9f/09/BwRdIYAXskLld59mPtmLokL+vyyV65qhdGNRc/76
hPo3c6Hyaf11+87SkL59+xMFnu/63rnDBxKORdlk6iyrIWL+/527ThO+1lSCiso0HZ1P5nvn7qzo
Zr6EPG7RW4ufJPg1IYEKAHt8lef/me9IrB//j7UddbKqSW5pRAQUnG9d9w83+zQGIUD+wLxKl0rM
LBxnhPZliIwuuAL2boCNVVgusmfUBaqhj+7mlS3LFKrCrtpDTQ4I8LB7J/V7p6OUt3J1r47MieXK
qu2B1hLkA3cFxnap4dnmBsuZSJARCg9h3QK9TVb47UrBrVYe7iChrMuVkRs7gIWIWwRUVhB0KU0G
P1qpupHdnfqVs6uJ+GnQ7JsYAK+9knjLySsGoGQ1yZFhZfWmQHsXhLcSiC/GS2sTr1xffSX8Oivr
Nwb66yTNjW0DcuuBmaC46dcgieEKr6xgnCMFSaasZKtJ/UkX8gbatnNzhdZy/hgniMOzRSG6Moiz
vLiYdPOpKuhV0EOqvdmyywZHd+WmFcuNjRKD9yIdlkkP08lY4sTXgR73Mtj2LM7UgCFrAP9a4Mit
waJvYMkAXgZgKgxtm8H46KBbpCMCI+l/YE3nAvrFYo24pEKa8EjQo0DIQNIovCyr9jnsjKlM7jNY
Gl1X3FSNeopgbMByZyOAld9gpHH7FcOhTnFT7DpFk1tpV0fNyr8wYqSaEcFZHRyYb3HhmiBubPaF
682NNoEAeqXegfDXGmVY3NAwzRXbUsFuhGqqPs9L4hD1HtKv6DnwYhqofnr/1WmjLfto2fwu+TJL
JD+w4rYUjJODqMIgdY4uzSKQPo519jd20SfEUFwvcn6xVee+W6YbbdBeDUwvarm8xEPiuLbVGr4I
zfdYn46jGs6v6wh1E3cVe5MMjOgrj8BSEX2t5oblBXvRSOXci/p+jvm1qoyyPQzlVTAR8CU7iogK
ZDRi7aeV2o7f0ZfsFwEEtTRZxdE9Dh17GPKKkWjGXpA0dIydpZDlY0fAVOGJaPKhcZUy+hqm9YIq
MS9bOTJWSuZwpyvtSwyRvOS2AcwNS5K9KCBz2gVtneiPxs6BaTQDCnXleg6U54aQpl0ZGuiV5MFi
IsxWFV0wW0HZZk0TWwT2mUgFM4vyWFgrc5idL31NJx/Z6WcbdVdVbr4NLcyfDFU9nZNLWr1TZRDT
xkZ+KsaM7tcwBtZ/g72J6ELxlI27GpTnposwzepO9saB/LKI0s8z66C24YuRGtXdgkeJWkDSsOnW
g1Ciu4lBmeqMz3Vkxocqcg7LVJ+YM1cnIOLPNnghVprdKbZ9iAx5pTjtTaTaHwAdL/O8IbXItbnY
80IFVPQecdPbgaRhCiYxhDLYJJHjpxPtDXeP/doO7SFii/xtIIeIlUzZFgTWye5gv357ov97tK2z
4L8+2s5vbftR/PFoW7/r+9EG24WADdYiRGYMsOuc+LsozalnrH8sYdv9J0jzn6PN1H7huDFQnnE2
WSyvo975Lkrjtl1ZeiozVJXuitrwH4jS2kpy/vloo1NjTaNFP8WORO6Hnysruo91mmGPV/NotAAV
hgAHZL+aIcM5ZhqsB6dugc3tz8kwpI8AmxQIySo200O1xKsBnMDyuZ2dcfGTSe+AEI9VgTTLHhjb
+jrZo1iJudz53L2sT6XfbvaTrYXOp6PmWnfHRKdttqTMzcAL8NJDsKzK1cbHrEhhEbod6gte/nTE
yLOUmsn6tD6cND/Xw2bxzXV99CaQNB0dPtZdr6ZS7pqBlu8h0xRQK4JAQaxr5P8K2+wQkSD1Mo7r
k8/RkNM2RD9RkaiSvPPJb6rsg53WJScy+xLzLGfGNWoY+at58JWssXH8w3ZwAOBt1FwhAGA11pfB
wsCy0OTtOlzF0caqQ3NnzdGnPSpA1wr5mRSZCfKeHKEAQ7+rFLgrytA3SIHleIrCqj1JiGSbMM6J
nHSkRbJGKb7gCkghRXSsEMmh4DHwVVQAF6yJhrim7klMcFsHY/GmyWwhOV6Gx4ptWaACUNxZe+3s
ZFV8pGKxdkYGxq6KBnOHtyj2VeR2sL2M7k2rz67Zb9u68NyQpgaCknU9IrfC+Aml8RG1Srm3GpTx
fqXJ5djD/KYMIbTZypcqZUZpL1nvak4pdxHMPzEGcAWZS29EngzwrJsQEENHbgcCSstgTE0AcUQJ
+wUWrLqUHcd0HAjUJ6qn46sATTHON44TWLvRgZnS9pG1QQZJEVRNuRl7bLnFgj8hl8ZzVkBvCGuw
fTR+aDwjoiVEb7AJFQjfntWjOy2z65twhhQ6hWN3I2KOOqgLteYuLHgg0KEDr1adyW8xJcDBnyp/
0gTD2ZyhYjAV6V6DYrCWYfn+38fmt4GeSn/1149NEk1d8/Y/7Hjr/qwv4Hu/Pzx5QoKLQkpyflvB
8tvDU//F5Nn43WPzYx5B/qKpoOkdNB7GbD/1BRDqNag7jm7/atv5Z32B+se+gLkgoWMUNRIR3wKU
P7alTi6QElEmrrIhZi2h22AdP3LfmWxQZosjS5LzBzDQuFgm5SwL0j6JhXw5JrYXFdzK0Cfup7A7
pXK6G9TpPAe4WNBP0T1HZF0WnbHRr3sc8/lS5MYBdgHhoAD//Bofniaqnt52JzLd8UK6KYfMSKfC
+Ew4064xjE9DhqDb27rYqHEKtSA2dL9JlZoK29z2SQJWKAN4RMX5MtsMuNvMnH3YebmnNtW9CQWK
tIGiY+UOkVAX1Z1H8CBApt2mCJ4yR/M6HQm3WTkX8fjFhg6VBDWQYU18Zaweu4MdP9v1xCIMYR+M
Ca9nzeOTHXnPNo9BKaplXSq/jSjlQCDle91m2/VQyn075TmE46Fhtdz0ZS6DL3k3XallVFNxdi8x
RH43N9Ndmk7MgMJiq03ropgBGJ8Mq/dQNUEVasVzxQoK4mJwDIO++7ADfbkErf0WV1Zwot9iSaeF
dxFUo68UUrvVW9F4Jise3ZhZMl6GydmNY3rSrHogjEQqlGdK0yEzD+5iipgYlSi3rNJhnw4bH30m
h+zAcRaC2zpTlVmVk5dS624lLhsvyJTZ7UDd4kNJI1CirKGc1TjwC7WNT+Txsp10xg7NclgecVhF
XqmuOKE2Y9hk54T5xzR9KRu8EAAY7WfSe/lt22j1dWTr8UFqzXSunYBM2ZyVR90mMrJRTDM5c0RU
62bB6dw3C9y0JVeDL5OMFckqLKUGZK7epKWj+RETmgd15o3fBSD1X4GJhZ+mJMeX05pvxm7ufQ5Y
Fwm7Zq5GsHWAKITDl519rX7BNI93ffTrMTy3Rf2itq3jKnV/2UTFuA+CbtoKwghkxUrGwhb1NU/b
S7PTu23N8DARTQeJxTmxkjJERI85sw2Au8CiQc2Z8IJKTcbgYtcpSE8IkJDGnTAKtoZiCbooiTWd
QKYOjw6LLQ82wgRFhIqTVBZAEZTmc9IDZc/eQ+ZYc/zrgth/a+C1ZPzrh/lL/+VPHuLr9/zwEFch
NGPvZwM5xebPFTBYQepbpMz/UDP+X9yxDQc3h1DZGPJNwfmtAsbLwQoRHrsqkCzK5H9UARsrIeTn
ChjJSRDoYvMwAwttLd5/fIhnHf3jVE7qFZtenwOnsHY226pOUF9JaEqturFwr+3xgrNpJw0YMWFV
dzvWaDWrdWlcN2vF7As+Nw3OXvPb3q3R3g340zI5VRfNorjVoFL+ya/aQPBXz8c9gwMWc9rjwQkk
GeSKFGsc7vo2yDaFw1IHMZoPY9HszTgq7pnX92y5qL7aJJdLdlg1mrmuejLiDUr512xeVxq0ZvF/
7J3HkuTI0W5f5be7x1hABYDF3QBIWZVZWm5gXQpaazz9Pei5PZxucvjb7GdBM9LYpTMRHu6fn8PC
wLifOBe8cCmj4oa8CyM+w7hWdGxJcuSePooAXLwSkEtuAIlmNRfo7hsF9XuQQ7bXZrLL4VzVB7tw
chahlFu2w7Nrh0y4m8uIvSy9MQlDWZYfxBDQQpKYkOVmwIoAXBtH/2hjCaGnPtsdBWAVpc+xpt93
pVP5SqJ9VimecSAdDw0rD3HdHnoEsmCJ1X1QOx9CQGpKomifOtMNIt9TKzUIQ+FFsjj3pCEs11zI
gzWauK8sWE4Lf4QuwmKVgQamY2V+m/t28oDZPgPFTddxh8oMQPqjIa7tzFAB6sc3MYk8V8lH8unz
LBpvZjOI4+4o2BSykY8O6+qQnrS3vaQTPJlM+Og/t57FplEiSaFaVeZbC9mVWlHoixR4z4l3dFkL
8R+xEVBfCNTOyqLOCnIUgyRowubFKQRYrdUD7LEVw6z0KXzK2Hx3Vr51PWtfWWniPGq+068TzTnD
eAIKUDTghVO2kTsTyl+RFdURdcMVbrHKE0C1x5WuDXudc2cuv/KVvN2q5bFvtHOFdNPr9QUKX8we
BqMVGgOmskvY2kVc079KoN4An1FX945Xr4OjZY16tiG/3Ay0J0qu5dHi0qYG5Rv0lF1PC/doFMqN
uoLEo3nTMwJCD2qzGkzsUXSNfpDMbiuZH6fO3BhgyWc1vTJ0Mo5O5kgXD/mTAGFuEtPZdyvVPAJv
3nT4Z1uA50EF+VyxKTzqel0qFuI2B48uxnhXp8ltDDZd9tnLKJo3c+Wpq6na+jOIdbtJe7+RI5BE
8Ovo7wTLzsqRG4uxkyujvV9p7UW4zmzVd+KTcNwBulc6089BrbZVu7Cl0y01ruPhkAYUO0MhQBsg
u1w9bnIloReSgGapVc+cOScH6ZtE/pasFjgbHVwnxi2I7txVVlMcN7vSS5OeRA0WuXn1yRWz+dGN
JmELEpQ5yrk6aDSg6VjogBxCFW9fbfR0OSugaro8qkp7w/fHqtG6SIPQDuYBWAYUd+EyjL6D9M5e
7Xf9Im5bR3+dVy9eaKw9ydWVB0tROQBdaej3xpdDWt9Ry31GCPbs1bRHz4shnbH694LVxEeCxdzn
YK2aABpqsvr6csR9iYAFZqM89Gq1XSjd8Pvlq+lvtsEvgzu7SsrVHLb6AAMkdlyyoG9rjAsDU7zb
qz3wn0vT7ylIxuR/fc5efDb/qdPEx/w4Z9f4oyqZhSAy+N2J8K9OEyqFFT1lklBZT9M/DVHM7xlH
w6Fls57ATEr+OGcNJi+ctILVO0mGSf9bkgWL7+znY9aRNgvgDmUjWRmCkD8fs5ZahQJ9ZHe2eD4T
7CUoSJiHTJxVG87OGuxvbRCO23oF2DMOSXjz5q3dzw6wIC15oYXTIyUPyh7bEjaY3Ev6ZBSbSjF7
i9h504zXxVidKz2N75Vm1Bw30hdrm7RLe2NnUfKKSmu5wd8b7ioRaOom5DVLi7gos9jXjAUcfN22
aBIJI/YInZQ80TcqIvn2BZFsQhR9yhYN74reyzZGncmeoHpk728p78JlThVGKkGi4WYJGxLxWOlj
qwh309BJn52EZMf7sYY1GKi7IZXqZpxQtUNFxVzDApHKmTfLZaO3/QyQVXOWaZP1uqxPlbW2wYjx
Ke0BBZU89XMblX6llfIulrJZ1zYq9uDRCRNXidLuLtWzxtkwfcquJk1G2q62+N9zSKR8GQ2HG2Yd
pglHW1RahxpEpvinHaz+3tf4r6Ww/5n9z5nb3yfvyaKLu/nw8X//z78+8Mf7VNN/4/4LP4lmMD0D
mznoH00NA6+JBlbJ+IGK+zHsNLTfcMoyCIUEbjhifTP+eJ/SLCa4vKaK191Vi7D+3+kI02356W2K
8ZZm8Pdy3dENY92T+nM13AV90mZLoV0XsO9FGhMUTj19mH9/ifxlROjXpDI/CQ+DtXsDYkp3NNP6
5QspjMBQQaTjNU+f9NCFwjY25tIf8xiNcglYmCikBeC+K6+cub+s0+rB0ihaK9ZCvDGHL5M2anox
NDiPuE4KT587mqom8FJkX89jW6HLsyP6yOvJHbXZHcWn7WlVdl0KMi6qVeBSq7WafcyB9gb6DQpR
+6LOqVSwt3gF5x2bqHKv62mxDeSwpY+OEQvQHMTriYmU8QSx+eQYeNf4MZ8jA37CMJl3NP1vlXw6
K4p57mLqR8oXNult59A4w3kM8pDrtPrA1CdzRTjgBFxnSv3Q3WAT345G/+TYlIqh9Rrm80uzwo3S
HkdgNsfXZhNcSEzZW4CDe+kEza6NWEnWm+aB/eV9bBuAl9l750b2VkCW2A452FE5AKbLyokqvF9F
HOBltmq3vKqkE2lkJFeGTY9izkxWkHW/lulrb6kPTYsYcMp7l1zzrVX3Oxpre3hGitvReuAb5QYS
dizJRpqJFq7KvLwj62M5r04HVwiBVV/TsGl7I3V5Qfg2E3v+fskutfove4bwJKR5og/OxKxANlMz
d1at+ayNeOZnBt1jpMZbqJ7XaN2TLaG43ZIbpzAMQrdTjZ0z8LuNRnrxisSsWNXOK9040iHpbVks
s68v7WMsWQkKUXy7iCHv2rE/qGY6kOcV7wJeshuO82MWx+Zu0pcrbaIr3kYJ/PGl+VAz7UMbM+bJ
k7ovM+dAcxrmK1xUrDw3eWr71Hjy0tKJMsqseF+S6jmy2sjLZXnPWDcBy2Cl+7HXd5Y1ehoLsEg3
kI3zEiP/xArshjB8/Y1CO2y2i61gpTPlRKEuphRb1aw16O2NsS58YY1b1R5XdGwzHYn4EwabURwG
0HwM/WMUziE21e2wlGyWz2k1PKamvnpARlUsLsALprUsiPtpQrIYOhEX0XO3oqvs+hvhhFs1VT5t
hz9TzcCx5NWI+WWgNdl2LDWNfjmCv1dyE4fNOFzaDbN+hWYjljikG0RBD1kfji8ysdrNFFanMOaa
2bLzyyKYGxntZUUCe+ja/Th2z0vARuEEeHlIxHXSlKdU8pbVi5QYqolmVzksWWTQkouiDSx05EpD
/CHHGV7KmOjk/tXbqJO7qew+U2ILgEXwoMjqGcEfm4eHyGgu0o6Im7S+TYl4Xcw59RgItGxrv2bG
HVJNjDT9sSpXKSNj84LoPNlMhENGB+pI34wIDAZN3zZqxPh9qYadbhHiEypOpHAwXgtcbd1Ujn6g
NA2UxopbUXE1l+NLUxK2imfjseuEfWLIY9T3a6cwtA1YKixJq9n/9hj9uXmxPkU5LlYzBIg+AjRr
+fbnxzWzM90IZjlfjxgUXWMXHKe78gSrxFW+FU/VJj2w6ecGF4zWKep3+uFPNej1v8ee197Iv4Ix
///LI4jVKQ81ExvLz1+ezQFiebJfrgfrWxUcHNG5zvSKK8L9+19HEyqFI6pTg6zPz1/H6Tiz4mlY
rtX4MqKdnGWfTngY+/Z/+To/n36//zz8PjkDVYGPY40U/fnXWcNNM3uVIJs0LxoJohOSlvH0338W
4z/9zf78w/zyRfpIiFYD3nk9bNtH1hk3w1582P66L3rKeY25t7RSXByX+4ez7WfueTjF28d2E2xu
kuPo7ulzX3Y+/9Avt/xn8/jfvz9t/WX++kc1NMJwOmtEQCB/+f6yflnIqAj1mvnfObghUHhSn8Kj
Bo7N6/3ZPb6ou8k719txb5pefkFq54ZY4Rbg6j93vd/rwfWN8td3vfvP6Fv+n7qqfNQfVSRVH6Ue
6+BrdODnXIH+myAgoPHyZXmdIu6PyBxKPe6AXPQIDljfrTF/VJE6uQLqMYtW7Y8M3t/IFVDQ/vQi
AsyCRY9QAV+LbTeYIuvo7E+RuSKzdZHxbVwNDMtb+gk6IEyxT1bhVY/5SsUz75kM490AT9W06rHK
VZSlYszqCBV5FelXpvPzPYPoetcnCMMLFTMbgoZNgnuLbRVMNEu3GrmkLHvF1/F0taC0b8HRjTvZ
yADGwiwPCYtjstZ0r7KG5mRqRg8OXmN11lLfkIF+CUZD+2osMK+vrjBZko+Jpx5DynRjrUIxcsiI
kVIkYyJDu9HYkkjDqiALoYK7s0PMLue7sqd0m4S9sldXdVmyBgVsbGZqoU293w7gyboiGfaSe64b
rgK0Tk8Zc6xStECj2TatorRuVaZZaqZis5huljhjVYFwIl8lbtxFd1b8qV37jj7CxwpovkSgjbR9
11AksmAFzVOvL2QY8DDp4C4T57gtWRPB9HkxKHShG6mvVl887AvFFftJzcamSvOaSAYbYSsruP3O
aZp9FQn7YNbLdTOmlFLSecLp8l425bnmdo+8Jjoyar02u+A+HDjSRxpNQ+p8NRWE4N45EbQCftIq
lHSFYe2qrHxOxuwoi/hlSrqWjpjyNYV2hM3C2cbZ8GoWzmdVWPVBNSLMN0Vnc67za6GFR0iceuAy
jsnxpUCbX2EpXttz8pgK0iUAjNftFjrLCuOzTU7tR2u4fZIDAEE5eSUo2E0aYmGYwzgizFazYOGk
21xQ7062xBItpvty1cRlGvjLeGDxvVhIFdLtZVfJ6K+rFqMERViyocn/blTd84AxJoeqtg109aMK
UpQd2IKOBctYgWLr27Cwhq2c9ABOLOSDlJcr4RQW6URg5Ew11dr0WVc4KOw77kKbBXrdLnkjlPbX
zHjYSNs3vVrlrUQaNmoCoZK2wxdzPMl3u04IbFF5VZFm23ixXBkFjsstny4uum43mFhZH8po8QNI
3PrKJUJQtAsH6fiE0a70IdhrZkHXvriSqX1QlHjbs3iQ+8F4cvicrdHdVfVIY3m2rtNcPllOjrMQ
l86oJ7MfJNMuVak/6/izLbpnK4sEiJSO5mtSOZsW4YBXOuBgugR2TVqdNK3ftTg02rBnsT5kH6rK
UXe0XqwB/c6GvdGPEOsA2LnNNF3lmbYcbZG9RG18NmXFRoIYrUNSW5eak5+JLe4yRWdnnc1Tr0xT
si+SraEwUm2cwmp86JP4UutjxDjVS6YyobHHFuyKGjwYlvmE/fxKo1O+ixh6+hM2SM+MGBg3Bdq4
KCRzo/TdLsR/SawWwaYy57ejDJ4WpkNuXVF1LDjrlo6PC/Ns4g6U+ZS4h2BpPutCNzbasvJFuSwJ
MDJeNLPY6vBr9YYuegKYetONq10y7ufVeWf46dDIPetGX1zML4wY03CE23PK4PRkRe2LPH5ZpH4f
ILL3mqC0vLpjDJEm6i1rNi8qwRQ31IsbTUFwqS42nLN+1y3K7NaFHWy0drhpon4XFNr9ELXQ4JSQ
GYZ9RIuEUcvKbzJuGJMVK8dozB5is+O+0REumG38i2uUhgivl9QZesViTDcZy3/+IqLTUoywfjAj
YevIvsIluK+RrLuzCjsOJGy1m6Lko6nMq7CEESDscfENS9PoohviYmR0tO9QsVtrZGepac1xv9so
Q0cS2AnvJj3e9Jqyd0CyO04+bI2qOZIRjzgFYCUzHZh3+igZYskSXkg+P+dg3WgjfCNBHe8mLeo9
exzOss8fmKdfEs3kQ3EnG4OxhT6BX8++iKsGeGDQ7RdeRDBNiGmbhtjNlvq+qNXJDHlmTw4Ie+h1
tdp8dkl86ibgjlO4sWLene0MwV5XX0q7AMkBdJGo+Aai0N7qeJrCmTdWvDlXMJ7cFds5me2baZFx
u7Xuqz4+0dn/TDselLEuV6SAtefNDVZgiU+qzixjap2rxlkIxRrjY8brlr1fA3jJSCBpRa7wRrtp
zIGcqrWUO/ZyvnF2Npsyjpj8R3PJJVzHb2Yr9k6BSrxr2uY5TtU7s+gz3D7Og2p1L0kKeQ/EO5uy
hL6h5lck6iZ8Mpr9BkmSKAmuZr6/N0wnQJDYrmwBHWEWgW2EKH45s6Ro+qtzmjPvNBr8fyPeyc5B
ENWR89Urpdw4ef+BgxHEi1V/6FFxlSRO6wXwILxuCE5qJRmehnO0xds2+OHUGcCmWTznXVaD1DfP
kSV4l+F3QK6I+agP96TK2SDmOakQXRmV4m4ukbDHSvKaWtU7mW8PXiiL40G6o47gbxAMdyr6Ea8e
auu4KNah6tik5iEO0o3SCOTKMiOvVtsrZzHIP+ZfKYuTHotfV5PFaBap1aXQ49xzuuoLBRXUNcN5
GUtF3Sg1i4Iws76lkWm6Vag8i7oPbhq7OPE0b53gZAzRLooNUyHuHNlA9FOnPrPjWkbM/GLB/hUa
pQFJgurU0T/I29/r6HUd5K/r6NNn8/758e/d2PWj/qijgT8xFsEj/Qd78I9urPqbZrAr6ZgkvEjl
UOL+SCcwavlFsPijG6vL3+hq6taqAzEI/kLD/Rt1tKb9fMNeGfiGJTWD0Pc6OWHd5ec6Wle0Ue3q
NL1ShdE1R6eLK0GFkhvKE3v/FuWObDCW9XVS36hAMXv4DIyr99PhIALc0sXKgtYIrNuP0cwQo4qH
e/rPzYWYeOk9B6v1XnZFirnM0Ly8Da7mlM6VSR52X2kms8Qxvy3T+WpSssF1LO0b2lIT+1R6UYnl
upC0sqygeZyAHVRmueChw6chxg8JWo/7M59AX6p9OJnbARvhHvzTTRcmYBMbDSFYLunkCbmpxi6l
IZpfK4YOBlrM7JYDT7LL4IZeL+f/zPJJCATWnRp7P0jivHlKpIiAgEHiwR1LkkkQpHmqlfWwcVgc
31d6DqkA5AJIoEBu8jp67qH6+IVZ8URIIdEslQDOw5a42ys6ad5RdtE+oj6HLwPjQXc1i1N0ypRs
T7CLboqRmLtWVbMLURfhrdVZE1Umg6zSgt/KuWNexTYnHCWIeiZFdawnQ7uOirL0i3ZmObhmzbFh
N3sblTnbLkPOl9YS+ylw6m5PPnDx54h46jyoHAJr2uSYqA2c9L7TL+yqAWuXO3Mb8j0UdXw0LEXC
6kpbJd1q1E/DbKXqm1rrht/TFbPqJDlFkHf6wIZJmZJzK8gXGuGyFWy2GImDd22aS3jqTfqZlf1T
3aaXpRChj+1ul3WcicwGT8CGTy2YBPYmYt9EYDZFxbHSmhdNSS+TEdxFrWHEDKNx00U21XF9Te/6
XOQTa0BRZ6XXZjLHMMBhyyfn3IyS5UTqnZIgHTdplbBBZcDYSufo0Ofg6qeAnMIEQ3STL+H7MtH2
DCD9uJXDGL8k9+CaTgE+sDHfwd8365GdekTPW1+Ppk0PkJmE2ANHyOTPXWH68YCMABgUsEMYE50c
c98WZrlXQiYNAvbvFPMvEz5vpDoba67oyYiVSmQ6qcd9Ek1YFA++mMTZMhk5po2J7rqC2CBEdyHp
S3mdmWmbOGvZ7ci1VzmpZDbm8m60gJ478witsWgtuILU8zF7J/guHLe1rM88CD+yEpsi7y6vS2ZW
5ZXkujcLeMj4eFTRW17fzvmmVNdBXzk6W5uXvlCN0C8EqQk/MLuQscd3k2ScoKI4Fm1X3n9/bP6T
bVsbiX99fmyy//HLBoDgvx8h6wf+OEJY8Vi7KYJWCxMMzWaS9acjRKWVhvpJw+/7vUvz4whxaNJY
BhNADZY5Az+6bD9WPOzf6OvyyDcZvmPgEH+LOwTH8NdWjM3noUMsqEQtQtO/9PPqMABQow4ABI3y
cVwJYgMoMYURpGslbXOtLCtnjKHFs8nNFto2PtnOQrlq51x+WmUojks492660Cvn+vqEL8HyGxbO
vErVqBONjst0vFA8N0HjdUZfburAYQG9hYyWgEhDWElyebIjEsvWgwNGje5+sZULaDwLxBqN2XDf
AF3r4ukpGNmZGpLqrikj0HVK7OxVEb4XINsmXVwoeX8uRUTsZaW6iSZRwYrijatAvmXEhAj6g4IA
Bodq4yXotGMn2a6IiOMJbjPbsMbQCCYalgZQOUkaet91nIvNZM7UntOnLOUnuYjER15P2wY8nTPp
z4VW8szrM8y2IOy0IbqJVqYd3+a7U3A1NvGc64PlsXFSlo8Te2wbWsBckvEwmUiXcJHD/shu8gBm
9WLmnzJTN9MqaCqzagch/AMEKZfMNNwTbbbdfDBpGuCU85NYkZtema6saNQxRGqPMTqoYfVCsW9U
uqFqU5RXWKMS9FFQeg667F7z1StV6xim8MJeLatzyhbzo50lo309teRzq25i/SJjNOFcRkr1BY5n
TfYNyaZNwJNj5YN7u2TTLo9Zy6/jxDlU9Rzd6Kn2gHUc3tx6JGs2my9hqr8swnKrnGtuf9/LLDyz
TFkdF5GTPIiUdE9psBkTcasi8WDYY/Mww+bipiJ+XC0v0LB629WBfPh6aBEclNXkY+pljKGU16BP
Aldy7BEtubcUzrAxgdLYM6DO5NHoC37FZNbpSjxVZvxh6flloCQEE9WaPaSmA06r9N8M+Cxs8Okv
mFZfGXMiJQut3ewYnCxRstcEjhgLYC9kKaBAOjf9xd7OUIWA9kOKTC9lYJ3UnjUke57vwD58wcvn
itzb0pXmjIs+JcQG6/5dlcozjC70NtNtFnWX86Dcow567RhbMKx1gNcpF/XUnIUePExFcjGPdDfr
QHsMc5Yxoya4DybrgvMAhKIWGlvYt5jmbedcaIizrfFBCrDLWZjB1VcYbVqxeGsN53ZsknNYNVst
WBmb1nA1qsatPvOz5AQfm1Y9SBuTtg2yH7plL8cL4jNv4dw9rmPjsDDPg2FeRfGy15vcrdiIJ3w+
P5s9O1VJqCAjiFmv5TGHgK1WWBxYi4dgggVDnOe5afOj7gynVNcO+Gsf+yKy+X0E+uo/PFScmh4v
WOFWSnbbxvob9Zmzt9KMvqaEOtaRt8Fcb2+CjmQd6xQc9g7LuwaWoaTKkwM5F29q4R9q9DnWJy5P
KZXOHgSbsmcSrNWd2PbDfBOKmTVRtlkFvwKeSTf6LE9J77yTc1o3SeUDlfZJN2qabj2N54Ej3y/X
R1xDy2wIxZ3mFNvMivD8VC0Gzro8OqqZ7XO6g2rWITvKO2AwvN76JbyjMn+zchaKwTKd0iECgR0q
Csmj7JYaEo53mKrerFlvWmylG5XWuGvIajPr4JnzWMOdbs/bNO6/mm4J7pJ6oUHbqPdFPBRuz/72
exUpZ1kOw6ZseUbE8dMYDbQFoj3M8K+FUeSmw//kRtwM0pzC1YtbE3ga+YX8KQ8VKzwtGjtYnRzK
DTs1F6bd3Dsr0LBZ0YbLUr6iP3Y2lTHobgf/MBhAG1oQEXFS1t7SN9dGnJ0jmIk67MQJhqK6whSR
Qx+JRNHbxBrQd+YN7MRT74BfkyuKMWF9yobNKBS2JpoV12iOIIxw/9zrkBzjgFUZyI7JinhM8Yvw
3SzPzkp/rOfH3BxvqjG55vXALwFOZA4vEv28AJ5Kg3MQxa5foZKT090VUCZVSTUGddIQ00NB9iuA
RimhbFUOuWib/zKtwEork4zHTSCWKDU1GCaALQuhdS7PWKTG1b6AfdmsEEwrb3nsSNx+coWwr6hM
uodAM6vksKwYTSUdD8V3sOaK2CxW2GazYjfxCvebckVxpgJ00bjiOUEMsdHNavE/VdnvMSsqlL+u
yrYNPeX/VJLxUX+UZEg32Z61yUX9ioJEekeoEd6zkIJ/YTIx/1GSWRgKTJgR4LuIUX2v1n6UZOZv
BLYcsM4WEcp16+Dv3Oqt79Ovf41YudU7bKA5YKVJQjJh1X8Z26d5pjpTF1hnFuqPYVcPxakbtVl6
ST5UFbfFuF929KxbL4/ycHosnQibZukUa18tiV4mvb3Lo3r2oxaQ0dj1O1ZufPIQJEQEmL2SpUe3
dJI3nRsSb1Qz3sxKC8xnMc+qI+nrZ8oLO5W3RZ4+jX2ppjedVUV3aRrvHTwfhRXQWeWdHIpYOTOi
skeXrtmmyZXwBU96dB0EUSyvo4z5gFnYhF4MoAvwBvusK31k06K4l5aibwOeU+OmhePYXdVKG8WP
PQfxAMV4fEo1JyKGnZb7OEqSmSO4OY2JcRx789YMESMHVvEoluy+N+i3l1H1rq1iPRn1bIMtsdfA
BGN78C0qksVtFINmr4Yrb3rso9j0dApCBfO8kvMICFefnFFVKqzCEWBuQdCZOdPajbfJ66QYvsy7
1B5pS1bwKpT4AyTofd4bn8IAYdfm/FJMm+1RnRZmiM9tP/L5EQJV6eush5yTY7wXC1mZeo085Zl9
T7JS25YFKw2F3inulGj7CB9pgardz8f4oEfY7M2cTn8Bss1tWX7AMVFnPDjmo15pN4HW596iR2xB
GdqeHozqaTb8RmeetAMtAsJavfgQjDDsvs09JTADXG3tLi+cb2FUXkjHumh1RjGxrbBetzh3NDGx
6UTtdgqUD9NZtpmYDkhPz2EjK2aFjV81mL3zYt3pCqqvriQhI2NaC72Sv4+RA2xpLp55SXcwDwZr
z0Y1pvHCvDFUxEmA986dmSjUjfDxHeJsGBlcpjK3QaWQHeBEBZbZMEwwB/YpOHQjs3zuE425Udgd
O/6CXdtvaevSwDdpdkhRl5ulYC15oAFVm09q251pgd0nXZl6sWgf8zC6jZgX+pXod2oolQMPbd0d
ouZ2toJ7MYqbpe55i6js383qGHIBh7yF6OC6D5b9jIuZvUTlvamVyBcGjaHZ5JBaVCfzxp6BWGi2
7CkCl1KNeTmWFXn3uZy3Jcoir+oL3QPv17m1MV6aqfqRZfEx7m1An218kknFoA+03Fz26k44WcYA
skbJauS+oSbfGlGN29nprpzGeB6USHi81Qc3mXPpRb3+lc+AI9OqvO2Xyut6C45JTbPNmgD+FcyV
unR40Mal2CsGr07oj2wvZ/FnNmsLh6P1bI7mnUaW7DCUCKayRjtwTdR9NrEuo0FByAfi2BO5YWzH
OrmKQ4nyN73Ns+FMK0chfGdBiU+YhecODZ2i3sqM+8RYjSQEG4xCdSHvR5VlUNGIr0AzXoWevUOn
PdSjzjkfdtwnFO3TaJXHFpaZl+f5Yz522kZz+rt5BjQZy/ylnI0LUyln9FpwPtjosYxJ3uiJXVkA
ZcTszVH9po/wIDUTnuYKYe/N+iSV1c6VcrsalrdG115qaHd7R4ALqRzreukHXFi0o3yjwbEkgZy4
DuhIOM7EqK3uLiq6zLMrkWGOL2e3t9KEZ63+Wknjrss72xsjG3p3H4x+A6UVthi7NEUszgMqxg3p
us9hIZtemFSWiTb4A3O5fZoWDoJkg+FIXxMKENzYRmN8J+KYe2qLIVgEo3mOJxpIQ1tPRE+1iI2O
+nYsKGBmGwGnis0ijYuJv1PMPEuf/Zj2Gf2pqDrRljvMefCaF2DPcsXIN2Q5QnfSebVWTfIurYJb
WJAsG7OANWno814WTX0oK2ObYuv0I5aYtrbNxY/n4bIrkvq1sc1t0Si7cAx2JSX7DcYU5qFlDH23
HVlW6nJnS3cXUg0WghtZaMzsavVQh/olK74oRvPE3nFPhq7PUNoLhnk+Rn2/8hMZiledftTwmHtm
hcsRtkKxj4pieVjGnL/NOCtbE5mqq1DcuyHwQ9fshoOew+pRVRs0jDlchJlzDJzlQokXOncq95sg
XW6aPGDga93ZiiUvl5abXtSjLqX+v6766L7QCICmi5ptK506rI+Uxkv07l3WLGDDy7N3k02QeFbZ
kGYbCHpaFl13MblnVn/8tIyHXVUtFyCeLsHx+2Bqrge2djd6UrPCR4/Cja3m7JjJu13kb1kb0JCw
HK6pUjFxGZiwz+15wx4r8b+FubkQ46Pap9/KVEEdEt+lsPc9Qdptg1aICZBRfWYQdMJcGNtON+A/
xaAu+hgQ6piJlyrm9jX0QBudHhOqKgZ/rJsABmh6UdjwpJIpCR/rKAOhH7xILlP0ldONleVfTd69
mDqT2qg7V99TqV3+Hpias1EdIqJOnj32pU3mGmagqynKzSLYR1QyRpBsSYPcTy8yNrw9gzOVwA4P
MFX9nOx2b/XBpc1MegfL8Aj4yPHrVHETs3jK5+ZMKmVt2+c5rH9UaUFzrFv1wszyD6Wyv8aJ66Ok
g1LUyj5ok09C2Nu2L7tda1WbtuL/Za72KBJxuYQXObzApmde16bfnD55i1oevsRZwElahz6mZ2x2
dui1sjku7cjNLeXPk3NTx4l2MS28nlGvcC3WEMohZ3OJo9/FScg/5gE+5Opl3BC4MfBQeyiP4x2V
2ysV2CGeym1NpUN2WB4XE7tdX8VXsrbdwBmfVJ1PXk0lS/fJRUrXaqfn3bsR4lVA+cKCFfIIK0dU
WjyqOgeewzqIGanstds6q6TxQzMyQq5aEXsKPfMqdi5nbu5kberbnhUWunMmkAoj3/UleyeDttoO
R2RTemW7rH6H2zjgrVMsBK3xG9/lQ82PZhcgwKg7mRTHLLUjLSqM5mDp0XGck68IidA2HG228pJd
uexadkc1gClz4avTJXTS+ygDNMLWeO6xjrBLUP24s0Uhoy9vOiuicgzfbBlfGloPwSkQEX+s+hte
hgFzwsgcuBJDc8Hb5z5cx03c3x5VFjdRsJLWIGu018Nsr5XZYehSf+W23BTfB1iiiCVmVcNUlacI
jC0oaTbomyNToJEcRDwO9rAts0GZb2b+OoUwY8U3AlK84WKNIKid9FiipnCnVOHdpjS7xQm50JfK
VsH25BepMm5jo/T/H3vnsRy3lmXRX+noOSrgzaAnQCbSGzrRTBAURcF7j6/vBamlovLxkfGipzWt
ehQSwMU15+y9tppiFPQ6rL6mhK/GBBPSjb4E6Sa6U6rsplf1wa0V9XsZVfdqaGh2ysZL8MLGpVG4
CQz1uciG8xBa8KOMOSoqbFKHfRciqxierNbP9lIKIywntHzoJHQ2UBGd9ze/O/bmOBFhBAT7spJU
0DjqYmiMY9eEJ6s19jNqws7q6FkCwVNb6p6eNLubvPjK2jKCXkucODPv6jDE+9qKrzS1s9UUiToN
A3Otdu2ZMGtSAQNIWxwlbPY1/UL3sm9Vn2I7DgRHgwrmlrW+V8vkWo6BqTQEU2lp3q+Zd/dWj1x9
1FjstLpet1A3Wd+4IPkiTqwmNTZN5PP1pNM9i+C8sNvFifgUl2RYBqe4AAEBbbUflI1WEaNgmd1R
gAVAibI5pVr0rRgxtJLt5fQjuEVfPEIodZOsO6rySadUJ2DBrCrB33Zifh/3/qYJwsfGaO4KK0eu
DazHBJujGzeo0+mNpMexlJ/CQlpbcGpcJfU302hMG7QDT/zAu2A+2hvsBZdBUwBZSIUnFf/ifTrB
Oc/LaDcgAkKdF+VADaZD36EoKnXpoehE9OPxVQ9dJy5MAjvqhpFgPSZavg+V4D7tqYH+50D/40A/
S6D//kB/8yNB0H6uvj6/G1D7RvVKqwVJKykOkKrAYImYDH+3WsR/oTIlcUlGwYnXkS7Mr3O99i+J
Iz2oFt0yjZ/BEL/O9cq/CFHVRVNR6NrThvlH53qEtW+E0/OpfjZYynTsZeDHujJbIN9oXpVAEiBk
pOoxSJ+m+jgMj28eyztqe1Wau/1/1g0oXKC0VyQTvs1fTFOthzCPlJL22E7aUpaL72OhknAeXWtV
872pJLoyVbgghhkQsZBtZAjCVRktW4OZQBf0nGAcZZUZ1VqoxduIsHG1Lr4JhDtwnNu3WkW7p4l7
ewqSEwxBLd4rXVMqJz8l9toe2B/4PETEcqivXCUfJ4AzorYZaJl/7zXSzBSskjRdQ4O48TD5RnAC
+BI2YUu1llGuiuhiokRIF1asvmAdT91GMnyyb4NyRjv+aGacjILc2MSsHqwK7BgNJtZIVe2Jq+Pg
rsh540oVJ+exyjB/hU84p/eQgBaIxMZ973MyT7J8nWXNtMDJTAx1sgIjCasYado0ZU+C2FP5Vwes
8sKpGUAskjaDbEE1F37R3BiI6QSx2CiYiWJRWGdFu20KMXe0drwaYhD100A5YapwpsXb0jCePanr
qURHZEoIizYOnxtSnejuqraqmWuS0E/CxJ9nPfQB+bGO/S3z/Dottb2aIQKt5O6Q0PjXYURXRblG
6QB4RrW+ROGEMC1Ozkj+8ORPVH5CNoKl3DijEG1VQb0lOAE+2KSgt5vUGxCfuOnrIVi2ZrgZE/Il
tQg1khfpK5SaNdJpfF2qtcQ97/AuZiRg07nQc7bDVDmW2t2rucLBRzvqtf5YN9MpDtXrIPUowXrp
ylC7Q9BXm3zsN/4QsUzjn0qtfk3TaY+T90aXMH40UXLPyv1F8gxQ262bVwAxJ80VhuqJcgGdtsZa
CUr9mHPz8pgOK2GcvsWJsRwNZMgegZnxsKf2a9ptCSWUlED+UbOm3WV4tq8bT3wFbhRGj743iwXq
JnKFtmXYlN/HPFqbc1FIKZ7aSnwUBPGmNuZVmIzdbrAcUUu+TrF3Faf0T4LR3+ODjakbsGqpgnEb
TAhoOT04fugTopWmXy0JjYAAN21pToZ2MIc624ahTrBfwTKo6TeRpT60RQ2gXkZAAIWUryfqb0Qp
2gEQMWlKwNDWaPbYgqRdDyZU1XZskx1dBtSCOgxTKynYd6tggPpaP/oQlQiO1L+IhFUvrNIzv1ZW
w5YO0TVaaGRyfN9EklEZHAXsy2D1w+NQhfq+LHQyyHgUNjUq4KVCHJORmQcLKt+VnbSCuGwmtbaz
xsMfZ3JGsNMWzKWuzaEKst2U1Y5W6KlQi3qTtQPhmQq6bkku6zWV1miJgnoPuI/tTFwQHgBUzhsm
C5OWLNkQzItlTqYiupwwORmJCO+AAuIVOXG+43no8abxS+Upz0ZcrpnfDhE7YceSBIEEZWHvxaR7
oXrXaAVoAzjXPL3JtVbgU6Vodd/G2XXfIVdBQEV2AGRvOXE4VywguxBsV2Q7oySymcot/31/lbWK
j9of2Xg+bv3SWyOKJ8qMFKup2SeRsAq04CAm4n1cdbSAxG1vUdvPhvhJjTxAFCHULNPTd1JD1ILH
JvAr3WXZmZByU0Us+/SWJO7e7UIFb1hOvMBEJSUwp3g5hWF1mMz4qMgFlu76Sip1sokxy+GjzOyp
1xZMeRtZ8tqlT6bbJhm7O10oblOZw0Vqt8mirghGAbSVWsw57bYX9RzP2VxBDAUw7iitx5a+OZcD
+k654pTj96ZMEhvduouCbpWpaGOZ+smCLbmC3Ca3GbAY0q1Fa9uOVbRNIv+YYSlD9qiYmzYmT0fN
jVutzDloqdEsM5KpFo+q55H4Wd7qHjaMTJtm8x6VpDavXa31JXSog9uMpoCjnl0oGTu5k/CHdtVp
7UOF2tWdQUuc4tHKsioFDRvUjFfcF65ipmRnp/mj3hWbrA9xY0ATqfOTOBrbuBzvxCBadiEGibwI
7tpEhtlbWsA0oHPkQlQtci9BfwADgD6l+Ig/gcrWoJYPrU6Rt8jRYyFrJUs7bAtyuJUHeW4VebI2
kJ8mWNjhxM88zX/qLH5AygEcsdUg6M9SJP2iqC+nKV4dP8qOzSygG0DB6/1VX9Xux7sA+f3rwEai
V6Hw2V84p9vGmMAWB9kxJSEFRM4ds9LZTNMnpssKob/FCxiTdTcUbmLG61oOqPfJIEqyHTPVXvPI
ubHiq8Brr/VSXCoopeFS25nvveatjvqMT0CdyEQSfUxKv/d172xg3v3lWAVJslQ1GjToMN9ukLS0
zcPGirNjT/yTP96KEXkB+U+x699ay38gS/+9SeI9WHC68ZTTM+QZMdD/vErdxqgB4rY7Fn4ATEZX
NwrcUIwXJetG12lLT+geBAwpVxmRNqMlbmABqUT8FUxUCgXjKHUDYWqv2kCxbjJWJdDTR0GUEr4S
0iI0mXaDlvvHEKTx4CH96GW+Gz1FcjHO0cWalDzHlBelxA9XU4/IvpYIokpCgpkb5UWoZHeGTDjM
ShzbYHM4eamAf+FgxFLE1ibQSbKRX0MVDysH0HZu4gxGchiJEKYAPAprUeqjgxiguJiGFm6ohP0h
sBAqSKH/xWul9LbsYQZZkr/XUgI1yTRq1lQPkL2zxElo4caIZnQhyicIisj/kbQz3yd7T3xuYQNq
xoZ58dEU8L0YvbQeI/UR9lOwzArcNQV4VgUO7KSy9Rj4zBaG3+aLQUjXqC04MUvDlo78cwwV8QVX
+Yo43JTua3CQc9ThSl26JLFAOZSH65QEd4KoJLjO07Arjfrw8ZiT3h0PfJBY3sDES9jR/hwPniLk
BCdpkEck+Vmx6nSBqTc56kJZ28ynT36toRWhhSXpVGRD9AjMqAeeyoQshaghUiYPDb36fpIPWm4+
KGoWuHWqlW7bivQmNBBCfoi8khKFuRRzFY4hi/qCngNwgUpgP8JEJOJLgipY3qA6HBwpqHNWg5Yw
0GI+G1NcT6eXKtefLaLLgTPh8qhS+U6XR/bOIEGURlrgTCudShMAwfb6Q2Tqm96Tv+nGQDpnzzQA
t1vPhlvPivYGuvsyV26o2TJCKJmP8g0+gUMcBTdlqF2nhrXSx+bBpGZBfzAXl3rZshdEO1u3PUHU
M9JWIfgKVAorhy48C4wJp7CUR0kRHqSgKxdlg1saWT62c2GwhSGno1atRDHaAMVcykRGsRrhZCLe
wzT7nUFsaY8MjWUe/HbS3CrgWixzgMA6Piu9+FIq1XNm6Eu0NIeYwKq4i095MOyNTHf7XKV4HaKM
yAxHtsKruBDizWhOaCLGpZ540MbZ0IBA4FzCx9gJ1lVfNt+Jc/ZsYxQdlfz1BkSwo9fBQqboCwhu
r9ekxCklb0kCzYsw1iEVtwC2EOwFiWaa1JMZ19i+AHcBTzpNNVeOhV3KKh70pINKyWNX1C643sza
qPSIJFbNxOtdMBrLrEqLRSuU0SIBDoPuajehSTKssLB7CeN6LTLpTujnIsmkamSeKUit/azZ+X25
z0yNXS82n1NSQMkfE2Or+sh1aBBSm6ePpsA2c3oxWgdFfxBqTgkJ3WMFpSikCKCaOJiXBs3C3jym
g6vTsVLXntHdF6KArk886BqZUoOn7gnlIibE8+BhygjYag1flxGRDtV3UMbZN6xJEoWxpRvrqmMX
YuRkpBsweGkXSp8sbfOXeDlzv/lSlQuxuxxYY2QVcXtEB0eD5ECfwxm6FKDHKa4OEieWj+eGP02q
P1eKt9e7WEllRIicLpgZ8vxVMr51w/UM8vcfenX98YVmVcFf7gz1vkpaiwnBRZtXxjelgb5uujIC
fXmcJKSBRThgffPkW632802QC4y5odvhbiHiFmc6XC9Uwpgf0QrOFa+ef9epJeG7KppXQ6Ygq1La
L/hgTrlo3CRs3zj1wCSU56IY+Q6N76ZN+JRFEEqCpLj2W8p8WhA0q1Rrd1okErojLUeJQGK2eKuM
VOJ7S7ZuiilZUEnZtkqzgRW7Q/a50Qrr1Mf+rmLZNoR4F8vEHKAuh2rvwPK/T4sK5bO36XENRclg
2o2WPk/iqDlJ7z+Wg1Xdy3NyhVwr/idP9c96y8/X9/ahzt6JNw+VgA0i+jAoHc3hKZi+juZPpOff
7iQ++/cvFg5RSNgjE/l0DM2bIkK2p9x9Miw+HhX6xfjDNIzBCGnWUZPPIVgJHpMYjD9N9H97F386
SH49JeBebEklzdQvht5g1D1tVe4C6Z7cvDR9yp7kLhyMT96G/OcY/1H+ItwUjyLFL7am0sWFxijM
en8qyHuwpRcWtcVt4kKaXHZ26NzbmX2/0Z1u//U6dIIvw/I5WY5f+aLr9WdQCnmus30wjfz4oW/G
hdWFWLJ9ppHGRbbviMvhpl2lV3jLlhZ9cFda8Zxdyals0Q6W1qLoluoxe/nk3b73K96OznnyefMr
Eq8m+6LiuT8MG3lJ4p5rnQ37BNYmWKzuNWevL9KVdcSHviavbH1LO3M1rJn37GmVYw9YUDpbWAti
ONbZqj4FNppnf/EFtPAREPNK21ibfNevq7vUvfn4p88wqb88wLc//WIHLch1mJC2yLi0Ece69St8
xFtpUTpkbS6CRbgkgHObr84v+2W7oSs4ONE2sq0t6lOHxWeJ3/Wb53z5+FfJfxY/fw3k33OofrE6
hGHeVYbOrwo2wN2caY237xZZYYznx9ZtPIwOoPmVeSzX8hOFtOXH15+H7+Wooi/8+zu6mG2YaoSx
LsbhKE750uj73STEqAHE/JNFaZ5VPrrOxaxjhgjJuykB+U3/qutfxGHd619HZVlCVxEK9+O7ev9V
/76ry8OkgNZH0cqoxV+JB8y7Lvyr/98FLs58qP4TXafjcoy1nRxRB7SMxcdX+OTFGPOH+OZDE9LC
zIyRDy0vjjWM1EJ+mFCTf3yRz57TxeRWS0kddXCAjsP8VvCZWcP/kS3/dqL+7D4uBlibT3Wb1bDe
+24gJPGYxoMzpeeP7+OT0WVczEq65wsjxTlWgwEluIVMNWlOitI6xkjGUC8fOzSEH1/y3fvSEE/C
mFQwRF5c0kSh6RVh0x5VxAiRGysBRb7Vx9d49/W8ucbFR5P4dP+I1BmOWqRSv79K00+qCp9d4GJK
nOJ0UCKshUeRSZtiNJDFTx7Tj/Xxow//YhwHIU0fL2EcczawS4cO6Do+cERwtpUTLP1T+2l032wy
+nCume/6zacjUf+TGjlgjXqgMJwxq0IptjFNPEv7adPZ5wleG0u3tkS/ZJtXgn3dLOdV/fxYnpUt
p3aykJbY1tbYFlafJQu+u5C/nXIvR05Y9SJ4g+YoneaFXLDrVaJuMsmx45W6uM/sLRza3XfxK4ez
6m7c9Xb/yew1W4M/fEIX770Taj0oARAem0W3wJ452TIBaLtkcW0d9b2yahePsuvZGRVbt1oVKwAU
n8zQn/0E42LdI0pcUEGbNkdhBySGwFE7+qa5ZGzv2tdhXSzTvbESVsJ3MqccuBwnfxG9fvx1/Th4
fTA0jYtxEndKSlAbQ7NyB7e0JTucd3Wb2LntNjiNUbPZ05Hm/T1g/kXqFivjjPZi0S6DDb6Ep8/S
N5V5Y/yX3/Pvz/3SFW0K6Os4KrfHcgneeaUni8Gd3GlPDIH94m88F+PmhnA5O98PjnG3RLDDK2pW
sXsTQrBCx7/88YT+45Ccpem/S7yL5+b5/9imx+f09X/+m9b9fx2em9d35PjzH/6S4xPiKJpg6uBA
qaaozpXx3217+V+aLEkorsCNQgVm0vvVtiesRTRluvaa/kup/6ttbxDxMrPgNIrtEmanf+aQ/GMw
cW7BzgeoCt0AiQJICC5OYdS7WhJ0x554kXPlqyRdfbZDmSeJN8NVQwRBwAlX4g7p26sXqxMZWLHS
GjQpazUiuuOLIJ4s7aqGw+idYZTU0s/R+Lc7iR842A+vOP+iNxO7PJCbTd+9PUUFZ3Vz9IHxjEQd
oUDy85quRG5uu0YrqLSg8at1V4+gE5ce5ewl8ldjGQGzeBqg1W70OQdvLNEpSTXaOcUM9lqefAFt
HyM6Fb91QvydELGHjL1KLmFnMnIQJZFPTyqj9kvLPjCXFV1/O6WtulZZ++sxCV2NM6TrF2G+8saB
0ugAI9WoWgVBm1jZlB1vhN6kwxNem123szRYfEbY7YXS4y2Rn5V6JvKmvlmoI9VsWi2eRwiOJyjr
PJfOXTBr4fRNJrYhqBx/R7wJuSPCXSUQn9VlT92knAcjWHfGVEMjq1fkPq9UsDh4BwaSAfPeFYqq
XnnBeKCmNt0YjYjVrtLGOrvJyWZf6yVURYz4ayylQnM1FSr/Q5tWQ35KfHXfQBjEBD9pa5VW+iJt
lfJrLJp7Xadgp6b7wgg3Q9xjr/doLsTHcdLvpRmRT6wAQFkFAqUcvkCE+AaFSlv2mnoYCnXrkSLU
xcW+8fpl246bUQnP4lQ6mVcuwgEJxEjKi0kuZkPKC7nL/a7uxPuylZeqilouRXurJRT7QebEx7DN
zlncYBLtj/EUExhJNPxAI9mOGwSI5YD7qu5ikS58gi/UuCubERGWIPqunBbtpm37ZpV4MojtsBz3
yQiLpzZlgku/WUJ/UgPzum4ravsBIvkg4OhdpFsvCc9tJtz0XUafhdeSD8nSRG9spM03AxUvrYDo
Svb7pdWmRLgM0oJmz0KNxqumxWxVF5C5enXVV50rkhrX6PhlJQBUeX6DWeCcemXp9EPd2U0Sd9fD
GFzrMyi1bxdmYT6oQEvpqlS3lEIVJwqr75mCJNiz4AnRoZ0AvZCUR7JA9yr2/i5r9QUBnAiYDWuD
QBlaAWgiXQC15PlnwAAHlVjuUktXg6gtE4qvEOl2dZ2vAfMg22gWWi0cLctayL2wYaK4Gkllsj3c
CzbsTre0lC9qVTsyX4hTxjj/My0Z13GvJZsqyVyCQejoj8I2rqfbekaCjUlzDKv8JurEBfpMhrVH
xGdryrM29jkyzENeJigjoh7fQ11B2Kv71NE89IH/WfR+6NVkloC/X/QOr9m3/CV8z4M2/+GbRc8E
5c3CoqIxg6T/ZtFTkbEBCrAolokqTqLfix6ERhHVt2ZZij4j9//EAtDAIr+GyDF6wv+AKqPpF/t+
FiRNQUdnzosr3VLp4qhhJA3IOdkXThLcibahlSCq06vXg0OKNaxjrSK6mhS51QjgDH13UV1beL+u
ZKMjxpcZPjOufd8iQMKSRmXR1lJ175mhMb5ogtnMOLrUluVRXUUl7k60X9PKr9F3YVJWV7gEIFtV
PRJ8/P7LrhAsYLvyQ1bE4otfJnwGMr3rPDCSRd/iAe8A19lNzn+rGKVqo1eonooCY6XsA9Sagk7b
9pmxjSKMpj1xj1pAimLdCqtWxik2oCzpyopARCsj1kRGyiOMh9GnxpYa2hLuL+khGYyutAILZnGG
RQ498plldEmrmPj53ITWRsrO0iSL0pa9qlhOSr+QG/ruERLy2f5JJ8jUxhtJug9VRCIgWY5h6QcL
3bKuoqnBLStL5IHNmSp9eMJr+lKHqKlZmW21YXI0O61fGuYwrRrkzNvMQPoCwnkAi1KLy1or6bRC
V+htcxAhhRUmFJCwEE5qSTyLRugblijFIedlW6pkOMddDj3SjIxVRu33aujEEzqKYG3FsxyHrPMR
Xd4UushvMi93FPzt6HzJOaoI8aArZWTWchjQxNWmgQeMUB4og9gPvRt60cWqwyYn4uMxsk1Wdd0K
fWC49XTBPIRqX8OuAXgVw70CfyXNHCypDR6TmYwVgMjyK1rEfQ0xRQKfFUuNj+WbDB4rTR0AZPvE
C1LbjMZTMtO3AjBcwaQtSsVvTogrRyedWV1qZcYo6ukTCZ2+qTqIXvLM9uqi8SaYaV/IMVbqzP+y
KtORBo2KkDr2WIMRhPT8gEZuobtVXS+rh04rhO0InFyi86ucNa2G9VyBU2OOHjTFkVHtQfhLmn1V
WuKiZaCdCIvU3arUoG2q8H2EHHFl1UNaMqd2pQTApjtjgX4I67eAybMfZppf50uupnomlsrUFVLr
G2HHez1Kr/K2vWPrcqgLg26yLBRHPIjjRtbBvsB2WQsa4oIUzAyaCc9bmuZrIwy7MDF2iAT2Y5AD
rokCIolphiLv5p5P5pjR+0eJ2gk76Mn7NMAiEbaad8jMol6keqG4beDfgIXyNzhHNhVw0rjkJZmB
sS1mZL0AyNSWY/PZh5iBfzw8DV2OxB7dhC00XeqYFnYQPdkAaEaWXT2nFQGdOXZ3MJY6+X9tk7oV
KRxFXDpiV8MrlsXrokYKiY/a6NQdZlO8eTN2sQHt1w/JnZmIJxCtd3onmgxSK9dPHgm7W8+cvhcl
yMOp3RituVDSdKk3g+LAAsFAFjtIO54DXQH8Sg/bRzkYaea5Rjhm5vI3K+YbTpM5H3y8VgXk+Bjl
D2MJ6iFWnYJ3nEYtCnaJbi9I/A4PjJ146QsRobf9PB6lONogzDpPOXhKQH9GxDFzyNdGmpOCw+UT
japTNiBHHx28R5vMaxeCSfzAJKymNl4bOv6+IgL/OriChq4sYXenm7PNtlhDAXXiAAlkkZ+yQjRJ
BMxXVGbYR7f+WYYvGXb+ehDNRZoL+64bXXbQz2zqgL0PTsknIkPvoiG7IDzC8ZrktUpecwQ+WAsY
kSImNxwxPdbN0liQdISbkWs0Fe0/VPeqeVM3OqxCbaH5w7U6WLdJNCGpTZD7Y6pYpSryUGLB2SXh
I6Ljb1rp97EMj8xw7lgmTo3RTjcJKPfrYKNIJOxO1YMoNZhmzBtdLx7MoL72QTO06bdsLF5LUQwc
gjJtQwndUKfF4OHW4uyFzdnxFSgjVXDIO+Va9tLvkoDbtBJJUcDcJoprwerWZi24YpDcRKjxG026
q/ilhmeBHtCKWd+zq8XW5VM81pbpYtTZKt7IBcslUk96ylm9yEtkraoqv2B/fuCfUjHFKkRJEa3G
l1QuwK0QDdY/11lNCrmww9e8mci0z5Gp2l0Vs3VlkQgKr8RsMeKQ1Q0YFhgL2uypKT0AUcbGMAwy
d4kqz5tqTUt/Iw4psg/NIpetg1gv3ucVfF5BWnnqgJun5dlZSwoba6PRGJ3GinDRKxJqdgUZA51A
pFxorM3BO3nKtEHnt+086RDkCCKzNnTTBO+bJ2KTQhTXm1cRaBdFGh4L6iNjJbYIJ8w7r9KvagCo
Wa1dt4Mv2qZU37QEBHQF2C3wtvP+c59o/jYxS9HuE/9QzRPVlD+McbOTKw1j3Ezt7ZEbUKns55N+
tvOK7K4qxq0k5ztBxgmCN8j7SoY0oQvYX5xJbraViLO278Ggxiw80bfA1++iJkUO2RPdYRnNI/Yf
pLDoVnPoN6H0TU+B+zflQ1wFG3z5J+ZbsotnyW5f77QJMzglzNiZROkx0OrCtZT4Nq0aYCoD2aCK
dI5ihKuxVczsLMUlinvtwZbuZYGYNlTZXV05ht9j+xrlRZxENMmz8+Drq8gb4CqP3wqhWAq4cRpi
7wrWP74A0q7oBHD28pdVIGQORlROS62TJiwSZK+vO8H8hszMrUMR5K7hhuKwzHJCDtIa2J4/TO6Q
ZruxoafeaLc5KQpoogsnQzjZhDEIoV7YAnphrNONR4tZSfkmEZrDJPSPdVW8cLpb+hHJml4yHDoV
H1Yqsvy92dKefxYn/itrOZIj8q7/578vivY/doggDinYoNazgEf9WUBo+qqq2jATTmK6DtGt5PG1
QDTcxxeZ67d/1kU0hAZoJkVqPybElj8vgqdR1DVVEk4DKud+1bePQ/7dVxYpUdgfX+m9De/bK11U
knMvH6XJ40qyeQQKDgRGWk7TJte/RO1TSO7Ix5d79+nxNdGsVPGpXt6YDMrZ9JLcP3fCU9PuSvBV
ycvHl3jvjtgts1nmMuSvXTw7D9mXaAGuOZPlB+68HcdlgiMp9VchpBG5OX58uXfuSEU7J5tUsmBj
6Bcnhg5/sjyKTXgOM99GMwV+a1XEn9zTRZNlHnR/XOSizFx7QqPpHheJKjILq31kBYv/323Mt/mm
LtY1E0RawpvOVXHQe1DD+a1nhJ9c5K/lvj9v4+LVFPGcwJLW4XkQFDvQHCsEoFMzwT2CQNLrk9zW
n1zxvbeDV5jypQbWX1fmLsab24pDMw0z4PVno7wqRbTvycbwvv/zR4dmVydxYM6oMi8enYeHWDe7
KjojlYQ6ujBwm8CL/vgi7z06xQBWB6tOmWulf95IDnTACMMh4v08Zvo+4KQYMRlYcJHanYpXs/eu
Pr7iPKYu5iCmuH9f8eJlgdu3qkIao7M4CGjO7hU2UB9f4aKxB3cPkp8BWEm2qATwvV5MPnWuBjFV
rPQc7atNs2HxPKAiXmpXwbXmkIPqft40em9AvL2ri0sGnZgOTdFF506vOSbP/i4mhfxnAehv68zv
Pzu01iIrJ/EvF29LnyTdaFIxOpPeCttrZ5rNJ89ufvqXb0fF4wWnB1m3cTmwi1oOpbGGiQkej8hJ
md3mU6giHo+iT+7lvSf29koXExwn4rySDD06S9prYF5p3k05fTK9vX8JknpIPuNLMi6GWkhJ0VSh
5Z2z7KS1A4YO2ZZb/ZOl7r1PiMH2+yoXrx5LS9CMPlcJ45cEc70iLCsVG0frxM1ZABGoffKO/nJb
skh2skhWHEsRyv6LrYJseUaRGnlybrpVWT31+rKcrj/+hP4y0C4uQS3t7fyWdT4PNCiTM7gTWxJI
SIy0Tx7b+5dQUCPQWbKos/15iWgYUiHhpHWukxdh2uj9ZzKIvwxl7sGEzsl3QuFNvozVYepESD83
Sdjnpa3mBNEmjNiYWq8/ntV/WpEiI/3vq7Kr5DV7JyF1/qPfFVnpX6am4w3GH2L95Hu9aUMiW6Tc
ypdDH3BWxP1qQ0J3FUXV+k1q5f/61Ya0SF5kUofMbaHK5ZP7J1VZIsf/mOx+tgchvvJvktCjzv/c
n6N8rA2iYkyLcAqq9sAfpmJVKbmfXSlCFsgcTuBzP0E+rK4UeBv6Nu3CzJnQLOuRta8ycMVkCX+N
wRVyKLc7GR3wSNcHA62SDGRHzIfGAStc21lXwK6+U+EIHaMyaRzIBAQArq5J0dDKleijZMigVBTC
WgiTrziDFY7F+d6P+qtYntMMm2oBNWpNS3UtUg20Fdx5oYViOYwQJ0rWUYajEsoiII9AS1zsVutR
6io7E6SvUSrZQ9lpm8o0HgrVgFjev0BVOJhWleDP4d4eLewCDYkBNujQ12o05+MZwA+LWlEs5uVp
ArFIwBu53520psq862LgVn0jRmhzhGrJlJTRbjG52wyrSp1P93DHDiQSkxgToeCpYiLLZcBigUr2
stL6bhVjG5Qqn+5nLz2bMUlyNVmBpYp/Usrbx3Twntoogh2Un0hwwBiaepqb1jKHNzHb9KFBjTSk
/CmRlbcQe7Uj08jMV9hHqZELlDepBhOGN16lWrypfXwDgRx9G9POhENNWkKVeyBaEQIr/vicyW3P
2U/63sjCViIkCW/5Hns3aGkLvEtXGxmstrbfs25FePUEHIJ6s8cx/JoKWf/A+9w12tOU6gd2n06X
JOekjLai7t30ddQ45PpENZYFi7gBQc5aYBjY7Xy7+JlJgL2ZgILBxwmU1KYKN4IAg9A0CRhMfdLM
ZUMItkacdysiw3MSV+aKsDoXhwPPtG682KOmlYwSbukyByrWabQDikpTk0VC3WEljTmVZiOr5L2R
JC00e91cEycvPvxnOvzRpJJYBP9+OtykxWsVPifMfhdZtPPf/ZoRJXXmH2gi9NIfsx4z0q8ZUdLR
WACtZjLCPPkHTwFoArwEFB0Wf2hYs5zj14wok0FtgjVUZxE4hcN/xFPAWnAxIxJBp2qyDDSM3GrT
IkzhjxnRCMoqG4RyPAwK7D5Xon9ukIhMout3ETO/JsIAFJuc2QfO2rTG4B7Tw/VofS4Ba8fXngz9
xASOuq6kzhhtRZdfKOrXpBN5z8TH3pACkJ5JPAig/eqyq2iIAyBF1Idc178HBdz8GGeuLWV16AK1
UsgbCaslDHkDeL+k7ScIJBshSxpEUdC/RmfAX+REqB+OZAsAogPqA5Eu3gEczRa0b0e30ihHEekA
fJloVockWBh78CCPajduYy3cm3nj7XBRx24sWLBSmPBN3Js65dcYSPVgGQF2sAFOiTLE9KmNYlEO
CCpKE9OUqAqPiS6dCn3ItjTTbyUdx7CXQr6BsFM4vjUKxyrSX/oMa1+ZG9Iq16LvUxQ90XcCdqt2
UoqvzPD2BR33O+hR3oLuGbpAha88iF4bf5If5SrAKElN1O30hGIp3RyY+DkwGJ8DFVFj/8vemTXH
baRZ9BdBgTWReC3UXiSL+6IXBEmJ2LfEjl8/B1LLlmW7Jzzz6qfusESxWCzk8t17zw2MjRh07WhX
o37hMIPaxZFJRYrqxIVyXSq5w+SOQszDEE33WgVuv7QLe6fL8sYVYMBoti38xUu0jsqRyWsK0cjW
IUCMVG1fGBFZaXdSkUMAKwRhqFvpqQ0mg9qmnLksEpZSQp0jfne9CdXyciKMBzAxRLTHxs6/5CFe
aO25QsKA48hq5hyqdjLvNfLS8cHs0/mo+sI7x9CB61U5S8wTHm9CcPagDkH9oeusN7z0wgTASHxs
vrN7ZYzrf1ev76sX5+u/X732Xf5WZl/av1i9+LofqxdN2gvF1RLW9zJDzks/Vi+ThY0ST1pdGC2y
RnEJ+s95jrpsW8B5XbzI/5HSf6xe38R3HEo84D8cZ/9EZf9l7bLlQoFZbkTeMjf7tZq17aYBnrgz
XMMXCBM/mW7LZvfTm/IXQ1quWH/4JvwUeAW4enmCoLOgtvSXW6sBWzlJ0qa6tgYvQa20v0mXkWUW
1jXDk5rTSynG9GYuY8HkM4rcZ843ZnpDA8bkR0wJzKPJstDwjNVkLeMg2wj8LTPX7lU3W/RmZNeB
o62zUjtMjbfX6vKu1RlmTxET1Nq9HeNmH0w15SLkDIuYmKpj10etGs6aTN+yKX3VgmDdVdUhyZJn
+PIgzeLoHLbNRpqMqSKuQ8aoPuC7URIYD+uM89Yuru3O11gfiJMN+7qHs9W5yYMr97XV+Px4z6HQ
D7oHoMIyKnpWiq9Z40Us/czNp/xrALKFnGOFeK+TSasbta2y7iJAXGc/wCeAVMvR0tXfFqKHZcOk
MezivjdCDFbmgxpZQsy4fUpzbPHRNLw3wj5Otiq2dVJdFtE4rL3atdZOHDh+UKo7FdMH6dpluwkn
65JmQIoQGusmG7yQE3r3rCXWdh7cccM+jLptth+Ji3AmY3pV3Lq8Lkr75A7K3uAii1dZWqMU6iOn
sZYz6Zh0jIkqE6p5j/ZoV/OTkZcQZIHH0nx569B+BbIhux9y9hZPpi9areyVOVQHz2iTq6wdDB8M
/7HRYhq4DEwUhgwvwvYdT/vW6+Dj5YPp22MNpS4rnoKZoXJQU2pWhsZRyU6t297dQUB5J7qIy3pS
p86132WTR2uZxB8yByEW2nImFOzd07HwYceDv9QDsuoOoC/JqbJlrI1R+iUtP73ZvBlJwva9gC3o
Vz8QjoeK2rfbWC4FDRa1ydjmho2t6XAwiu4asPhDH3aNr2WM0KxI4R6I7mh5qdclSRn8b+DjbUKt
zAo283K29GRyZ1q9D5Idzdrrn1Idalk8iQ+6xz47RvqtGsnasosGICKi9LLIM+XjLax81pWHcKrv
CtupjlEKAilzXbaiCNvXOH7uE/wS1VB3Gznwfrju/JKKgNJvbh99Uny1DcwBvdIf0jCD1YbvZNRk
DFq+heGpfbSafNHkBFM8jXws+KSGKb3x5o07i9LctNaUHipzqYsebAW+pOLd8Oidr++dcCCVLght
V16WPqS65R2cmXmpsIb7ujY5QVdfcwo24rTKVllZfaE9CjQvoM5N10IUTYf21FFB9GTb7ToTAdqt
eFzMHpTcTMlFzlkq1rRb1SXeck8CIsThATdhT35Zc2n+U15V+k2GTQCsJVotNX+ldYnnhE5KMKKa
2/gVzyaNnaRxSvc5ks5XFDC20AwQjz0byJSV30fTicv4K+b2E+LfkVzqS9jhG2XNuVWFsUkq47Y0
rMNgaLfTRIGrFj6aKVQi6UC31jEOhNeII9dTThFh026R2P3Am74ArION4nJug2S1Qa/209pcuY2i
WgfSqar6K9ctN6pO4RBQr4Hbc4CUPWIXkBruUe08teoxj3H7YGtE2oy2Zj0+ac1Xp+OT2At3a9mJ
m9PoM3CAop6TK3jSTZq20elfenTDftzVtTL9JOSI5siqra5Sy3rOS1u7G+d64/ZFqPtZwrq1Sku7
mla5M1u7lvmjLzNuldLKH1NYFaodnoche2xq7YUiDetG75z5mg2v3qqsfq1N4xAp68sYyHM9E+jJ
PEqBckieDsitNWVyjJUTzoX5nHv3di6nyzCP7uIwfEtMpflDCoZIAcvjqtzSEl4gvdtt9FKY/BaH
6J68XULPLHW9ffPcGeUMatXKt8HS/I6fg9B4zN7jeylrQKdluH26aj5rrdTuRQK2dpooYw1VCUpQ
2Q0VV023tls33/M0y3WdYdwVPcgaox120DkxIeXltBsKnAF9RqVu2EItBkPq7IfMM/bcxK+dtL1t
7GgB9O2Sfrlea8F7XEIDm4Vxz6DgmRPYXegocfDs7rlckGKk+oP/RQtbJqh/GEqbuvQY6rPjLnPv
ZcT08zRSZF1lSrPurkvJPcM4J/Je8KodZh0krv/7Fv/HG9CywcOhF4ZlUMqGUc/95QaEj3RszaEZ
rmnyDNLHesJ38Pj/+xbLS/hJPBoyqj2HLhuuKx7Mid6fqP9sV3f/h2/iMSZzOVsZJgbGP3yTJkrT
MSmG4dpS9zWpDO1K6w///Vv8+dfCW/XTt/hlvI43WIaA3YZr/Cx5vZ3zllq5c+G+JtP/8p3+pL0u
v5SfvtPySn56xzIch7lo+WFqjGZGAa7bPHY58MhNnx9nAjr//Qf78+TYkEgsaGK6ZXmwtv747ajL
w07TGgPzm2djoS+I+zA6Tfm/k5LvLZEGF4O/v2sciukv4ivL1/y4ZxjOJ0ELI/XoDO6/8yN/3DMM
SW06jl1L6vgkCDf+ds+wXO4ZjJldAaWJXu6lhv3HlMT5hPEWMy8F7kiD/3huvEgTv69HDg8UduHl
NZi8Csuxfvk4YjaswLK5LYlREW3LMovXY5lzGruZzH4G4Bt7UTCLjY0sGJH47Ondc3CXGRSVmHic
fHuKrexULx7+M6ASqEo0lw+Ogr42woVhg8oia2e4nI+4hdtZ3EAJD5LeXGuBVxafZyU6+5qAi6eK
tatXGPtGx8EI6hvwT5pXd27VPGMgDNwGsO+oepxaRh+pXdJU3mVU6xFEQUX0YRjsh7pEl4fDQ01S
mYKiShMO5/XQn5DoJjw8MSCKLO1uDZEOb3rhOBU9XFH41ttq3GaNnl/EIi05DJbBVaI59pZOpoiq
AiNPMd9a043hmsEB2PRwmRbucIUXq4UVWX2UA0UWq9E01auMGZlmLZRjP4KVfYicpL03hxoqclQ4
73LOvF0fZQNnaKIU1OdQSG1bt3LWs81ohTW8PX204cowDXbalpIBoZOeo65sm3b0P9qVUVWrpqGn
iwuM9cavqd3XgY51w6g8Ag9eZH625mq+juaZ/svU7My3lFPWqaNO/DAxun22nAYjn2nCLAd3sJ5l
3p27Ln3nLS0OtSeMOwMLUuYnui4v7YGABQjB6Ao2Vki5rRNfOXHT7DwvU5tk9uTVDBgILmXBnj7l
RE4ZQr8DQ84u6O1pHru87LaNlxQ0wsUmqE8jo6AhatLtREczH5Ra3HCk1rac+JtrK7aqNXzi8oRt
ATdekx4hhc8bYHFyWzvT+DHYUbaXVR4exzKmDtFJXO0yDoR+zOMmK/1yoi+hbRkX1ZOkWzSkQ8Gm
EA1DrmINnJEdj5nSxCMXgycK4cwLU5PVmZcf4OnM7UvSTqDUldLP0xyNuNmG5BDGkIlKasY4sFbT
baTksO6bod5McTduwn4Otk3dNOH624LyryRnsKj9/cp6wgvU/MUIhy/6bWn1PjFucTxcUgjW39bP
H0srRT0wRJDDWHpZIjkw/FDkxCcwDOC8WETJL3wLv/28srK0uiYDbZfp9T9S5L6R4n5eWGEDUeeH
Y4M5o2Dh/3W6ElgtVh6X8ulZs9QDdTVZDhh7yo11FGkdDYkISfFlI1PruWLOgnA2ZDdLrMijCyOH
4U/CwW9dPYDzJkVTH/JSESJ2e9rnOqeh8axpguNgZcR6yqyc05uSQh786bc0lX0eB1iv7C5Xk6AG
3l5afGZ3pFGljt5gQImVuXT9MHkirKBr/kgNEAOR1M/NdFoPVARFRvC8uBajU6kn9CFk38qE0qyE
Hro0DPXU+NI2hLcfGEDZ0ZZ6aWuT2E/04cUQSSmSy4aN3hY0sBZ99Qb47nPYE4FqRR74RlVs6bwd
/DInAJVo+zjmpjmq4k23VMKCiJ8Wev1DHGrv5mVVkKPD2jmCA2DIMHNdy4J7o5Y3OfQxb+p3yXxj
tOJhwIQD+3Rj01zhfYfB/fsgOv9VDLpn+hS3058fxeXLfjyKhHRtm7M5Bg4iSWI5Zf72KFqfhMnB
4ttZ5fcHkVEqbkBsOXScfj/j/H7E8T7x39lYlpAT+rkr/4k07v4y5/wmjWPK4BDs8T+8FJaQn0/c
GmXCoq6b/LowgEFfNt/CG1MX6yQ5rG+xjnHskVEpr3+ve0IPSxU8rSV39lIOb7lvUz9Em4rWeEXy
ol5q5FvpZOvOdq/0lop5DWA8qFHGhwxiIPuGVNGbFaX0URVeaUtNfY+vxk+C8txM7RdN0APleMMX
eym3j3iguqXunh6N00hr5sryksul1EHpJfOKyJqvolb0CNr8GbrFF60kF6U69dbTKwDOc9phsXrT
RmMbDS22+DHcuxzoijkFXgzIdOXUw8sgtYesndjRU+POctrnkDvqzmNL3RmWJc4hB6QNBsuWtSVl
PjaFr0ymyl0D+W+FtH4Tx+a5BPtPKMEEUewunSnxDQGpY647X+0236HivzZ2fLLNKQUhzKJCmhMA
MX/b2+e6eu6s+FCOZCKJ3jyXjXj2KBkbyjWL53vjee/KbM5qjp+ccnxPbZmvTUuf19gyrjVeLPHZ
YZ/D5CeuxMhy1lDdpzS+ow7yqqu0q9mqA84r+KImM7P4oWV+SBiPrTiuEg/R7eslCHOqqehe0ajp
+uFonJJIhLtE6wQgvozDZEdFQDM+iEY7cmJTi7H8KMseoLOXn6vJ9mDl1vKgqsLcTQwfJPB/lmqw
z9WUyV3qRmqd6Hm/EX3AvLYjP0aSmkHdZO5VODwG0t1mcXct9I7IOMdn8rr1TtnESjnvr8I0PZhO
CBizpW6KIwsltro65JoDddvUgh0PWuAPZX/irsxIfmY42Kq3RFO3oneuh1A/hIk7+sJMdnZSPuSt
vfcWGT2dxUOb1Cs9Dx+bsv2KHZTp1swA2emETcbNi2Dbzs+0+lR0UVZHfFlP8KCbddYMD5qHx5wv
zTZzptUbq0/vJg26JK5sTm9G+ZE3BFDjsrq0J++c2gTTWorGVrIcLrqxHzajJNjsQm7lWVESi35M
4iT19kMLcjq11PjaBlWy1psqWFuqWca6CeBmsJ/xA/TKjE9g7G541mDD950vW7rQ6aoGLjKoaj8a
ZuBbpX6a4BnahUZgOonZP+ijQTMAiFzU89o18yuGqcWKSBUza8tS/hjOSw7nNR2XXh5Lv7OtozZ9
pDqKhBaq29JtNtY0JmzY7kZSgEwr8wdOtoThv/2hZv3Fa7wLtu2rilbXpcV5RV432gjKW1dTXt9G
XfOa2Utj0nSQ5Xy0O8qWlDHqOPlpopWN7Ss5fZiN+hxqDDPL9gZ21mXbJ+kW2XM902hJKypXIb1P
V2DgiYh1qb7qvKhHvW4/Kowhq4y9fp2N7muMg457qL5qSjifZsngdBykOCInJauGdCWTQ/uZVZc2
+UkxhMvEe2tIBvoCUCcL8qnR1Ejasuu20dwf24AJuKnCWxGNr0nsoCjYKefiusk2VdgafmODysLO
S+kalWLReNc6dYfiUGyyEfG8huG6KQpH8dCVPBJSXFJflGzKMbgqM9pq7S4AsaGFd5SrkzH07rzA
3lvjJH1RUCPaTRntbzTMhUa9DVuZPauhiQFUkuTXcRwBAuXBdpInV1gER/sh3bKs2n5oRm9jURJF
teNtPxRHFvTbyS77fY1otWYDuKGvlA7PJbnCyGQX6XFInsOyV47A1C2LYxQIm+lvdtFE/U3s0AJo
AvcPYouoEJ6ZTRFmfG3f3zkikfu56N6aMqHUtlKE3gozouC11mhv0j44vrJfRCreoRnfME94Y9we
rurMlT6DVY1kEcYZmqOKK732Fh8PgxrJEamVE6r9NNJ+bTKLjODTrkvWbKcqdBj2ertFQn/rvPip
rPggDUGxJReC24hfOaIVt7DBIvjZjgTuURl5T/tYHCxr2HuhnaPB2SkPjZPxLvUPpJBuBvZEiuSp
hI45XnLhc0ICZhMfN+mmBBf5bzLr44tKm4d1aieXkwZXIRjoFw71YVhpqXhw2mmnyL44pXOdhNXX
cWmYhlzxLAQxnUFpfPS64sKgp+jKdeZL9n9mUriRdMM4tFlFqmwy6fqSevlMED07NHP9QPwVNGph
PWmTfW7j9stQZ1svSB7Y7PVTLBr62aR3aOLw7Mb1vTene0sjx+RGPVG5ruxWkz3sMaFjGZpIpfU2
MhQJ+7Xpuu/0NGlQ8ZHlmR3M26mUt0aQ1xtnobYWFDZsqgqOf591wUFX06sAqMPvsze3aSrvxwL0
mQy0I6PxV5W46zDVGAMk1a6sS77era7LlJh96enhBor/e5WMIJLb+AW7E/G6WlzrnXgsbbELqmzc
z6H1keiDyxprkOVE99rIEWSwcLOOGUiTrmic4+OXGO3KiCe4krPxIpr+yrNTTvgVv1ilsWpHFEuu
E3cafKElrxz1L1M46mR8g8RHET3FPWqV3ardNCOWdpaT+J2e7pOQXjMgcux3LRpnbdJFVSYKXdeT
RK5A9dYyVNvesHRO7n2/Lhn8l5S7s6qKp5wZ6ioMUTXzWruP1PCgPDoyitjzyyG7IOmNiaPD5x02
Zb0m6HXXCrfeBIhy3aLO5br3YCPXhSifvrUoeDllXkzseZ4s5L0x1LK1ieCncXLigUQDHBADK0TB
EchpuKiEOnJhLYCTMpH4OkB70CrxIXTtXrNQGN1Fa0y99MNd1EczM9975EiPnZyiKue9QajECaPW
BdJlUFjF2lvUzFGkT2GeNz5VDKYvkTwTLd+GwZuOEMrBwF7hcStXRpccK0cZcEeS5MqMy0OwKKkS
STXUHOJfQ3JvKKgYFbKrm0PrMBFibdrARs5czENmvD0E6Tb1ottOTkfqa9Fy60XVlYu+WyL0SgRf
KSd6jxcNmOfuQ5iownxmGEKk1lZHMK5ogKcK3LjJFi2Zz8KlJeJ2UziJIgFf3YlFeXZcw+J4iRqN
UepyXPRphVBtyPY9WZRrAwm7XrRsmh4eZsopxym7Nxe1e0D2LpG/QQ0uUzFC7N6ijZeI5BViebGo
5vrUtCyHKOmtSL56nI2jXmAmRWyfc6rWFvU9VPPBRI6PE+yaKPTVItU3nPLclKUvWmT8yBvcHUNJ
XiQaPwWgH4yNatbg8cXKOfMtloAYbwDg4gMc4nWUFq8B3oGk7c42XoJ8MRWEuAuoumKntOo9ycjb
Ef/B6MCRD3AkjDgTKts7eDgVqB28hkztT4uFYbKiTYSnIVb9BWCWQ4e2S1K3N49NQgdV/c0LkRWz
eJ6+OSRqzenTm8whO0FNm/A7h2T4v8Og75YeboZ/Pwy6eE2//vkCumRlfrqAWjhcGMRKOEn6Av36
6QLKbIihjsWgG+cef/RjGORR2gwJyiX6RA7l25zoxzBIfhJM2bHzu+TVaKvz/skd1PoFlscddJlD
efx3joc6KZ5fZBhseCyZdeGc0z4LT1qY18HdOKYAgDh6pbvBtuEQuTabEBo1LeXZwVaYH5YWkz15
//KQTyYi0aBj6ksyqW/H5Uxnuw4eFjoIpcPjNMCjWaU08mhe4ly6c8DxL9O3Ig9ZdonNerP86iRA
1PuJwmeOXDOm4ghKzTickiLbapK0VGwm3W3bN7jYRvE5I5O6apKI3h86/zK93M+I9oMZ3tZG0a11
Mc0cp3AYFLnat7NxxYH4K/3PN7ElzzMXJTTQu5iSD61snrVQVieIEac68g4qsuMDvU3P4ER8qUV3
uek8hLEcVxijKBJJrYoRdPjCCPhgyWqT6MELVaWv9CoY1NURkk7bfthRCs1rtl2g1JxVlapc1gbv
VC/cqVSZmLCzq5p6viVzf1nn9quK2nM7Fx8tbzTLVunPJUeXKaiOuZu6fl62e8eTax1xzjNMPNlz
QZzYxD5UWcbacqfjHGjPUkU300A4O2oT9i6yvbXbzEyiGMXJpUbWCNgkQGJwiXxJp3DHcJvYlqXm
bThlsx9W0XuTw9mfKsNZF8a0E/RBQKK0drk0r4rKNtdDm4HLVeqxCiJ7Y6mPTkz6XqTC2+BDxNvp
iDVdjR8QIoAPeN65zrp6RYkMaW+3vpdK0mEN1j91FPtAs/d61ePQLP2krVzfCQtumXo4fZ6K+ShD
+4uLJLAU3XiQLOYXW1VHerQ/j/p8UyPL4098GSqqVVUbfbigNLblkHqbqkmuchfkUEOAX9kGHNBu
+DpKtn1OO2xCVbhNzO594jSw4vK6dfv0fSLkVNK/SRuryentrWd2c4Ho822vwd7dYlYD37KYvvn5
6ZSelits4MS4wnviDfCQv5FFclaDNblGLCj1gh5Jl3d8xom+ioN2neJt3nrfcCXBQi5hlBntJ2Am
Mw8DICX4JqkmB64CME+4Qh0tK7F8KjhX1sJFmRdCShLS/EVYttxYfNqYQCwoldSYcKsvfBX8OJBW
avglUkJfcRcOC1WoLYdrjvh632+p4nmXenim4hY7gWlcWl1dAPL3bghshOsmS65qURGxM57QzqY7
ZWjpS2EkAMjqHCkEU6ixMGNkywdSCSuldRIEmQ3ZZlwYMxZK2Eou3JncpELMXVg0xkB/CdXMm3Hh
1LgAa1LANamHk6hbWDZdhsXGjJs3BebGoC181QO+KQT4NJLWR01aztFY6DjlN04OlrfPpovty6HJ
fdMtPB17GdYWC2MnzlUF6wzuztzO1DAY5nOS58HWa/i7w8Lp4QjNqpRS5FHmC89HS/RdT8xkZZjL
7zcQ1JDYwYkBxC4bhquYJ8of5u6YMHOKBn5qXQNYGZYnYEG7OAdzXnoAG5JZoSN5cOQjFwu37PgN
Qdat0JQouZ+2eQG024mpOVrqo6ncPsmQA9VQ6bvYSV/0Xu06rbmbU8ZbWaawIA5qUxjpZdMp5kpd
HvmxqziUV3vRNQTLgwgYV9mtK86g/D0sfjR65ffk8rMLruPXBe8oPuTY2+QltS5hre/R/Z4Yv28H
uzp1gfw6lqaBryo/tunAYc0Ydy6N0f+eEL6fEHDK/P0J4fKVMfVfHBH4oj8cEdCLXIkIzaPGH/18
RDCRwAFasagjJf1+RJCfLKqt0G9Qcv5zsPhxRHA/Lf5coCgWwTA6iYx/ckRgv/9FieeFEeERpP6X
V8E/+McxNbwthwJofT5ThPhYW1lLAmYqln4XChnnfCtrAbqiPDiT5tNH94jjiTWmw1bHVeI+kfal
VbaHPEk2uLeCZu26OQtjHA3VQwbAcFOa+k2oFaSIhzikfZwuszeTTyMlv4bVRyd6OfIRu6ROEXVG
JSHlePEm75LuRmeloXpW3A2pmH3ZTxAoEfMpk1hXEVeAeizvp0l7xK71wEShW+kmj6KuhoPQpnMU
y6OB3ZWC9nc1M5hdOHVhAssnMa8ZQD+afVOso5Z9PWjTy75S+HWD4mNSCNoRHSeBzUppKjoOHXM8
t8p4ZTIwrh16LNbEBr7QqTZDSwrwn45yE+rQRaoyMrYp9grUZc2eDgOXfJ81+WR07tlK6dEzotPc
ub5uMAju84gxptmfVF89Rbr3otkuDuDMuknLZkMnxWMaIx6rZH6AbLjtO6O6MkAo5lX5YTKVoUry
1uuqnnUUNGOYH4x8ekyb7qSV/YcO9XGtaxPVM6Cy2VZYcDQtbVdWlu7rRsMvGgmf0l9zHZhwVpwq
kmdzqiZ/nmqUgxZ4U1QOfruE2krm21TDT9qG8p3ZLyjR8AkLv1NHeCwsjhFtQNCtARwFYvPgCWvf
deocZOQhLFLKDLhVTWxUiC7fAYRip3Sy/GAB82ka57IdCZZYpWn6UdFvbRgsKZOANCPcbnfjOinG
11DQJ8m/6ZcQ0dbl4uflXreKLO1Vh6zpU/NikWaxfIODINkYeckBHGqa3nRbs4vERTZYWFILdUfv
p31ltjkLuxnSp+t6yXpW3Z6ZzYyvNLM3CwRL5rmxKzSEDogy4qqL5c7V7AP1S4+64+z1znwceiaR
tHXp67YxjSv2s+SigplCmkQYm8jBUhX0CSyYkS5x3NrBbgIqclWNlnmDg9rdx2m/82yKcobwmKdN
QLzQfCXY5HCEmOIzwfLB97CCTDJncgOAyoBM4ztD8QYVdWv28XMZEl308IyGEb/PJJsyLp/Yhcd8
99Oi9hem/WUN+F1UxtFHUtoiBcx8zHWJB/xiU6uskaSi5hnnLH9I7S/ML4f88I+/BWl5lHOUPIOI
AF6mn9WyqQrHJompBkybty69nqr7wvvOQ/9XSV2iv3+/Ry3A49VXVbyqL38JgFy++sdmRbgO3yYZ
uAXQskinv29WBvsOgp6wdVh1yDzsIz/usw5/4lkuGxW/QEEU/XdN1fokSd3he4Dw8c0U8U82K/bE
P3wQcVZwXWXbo7GFBCDSyPLnP7kYvdHRsBpZ0ZWWSpOlGL+knCfrIHogC72yJhqoagw0CA2ay2gu
nemkCoa6SR6mJE023ozf/YoAp70uaj5y+kq4en+DXEGhV0eikFFeONZzh8CV9QnphRpa5lJWL5Z7
LYmuej5w0VZhs2s5kkV3smWIpxwWQGLCGElXczgn9zm17w82LkjTz1IdvB+jdU7bSRJtqwo5q2yz
BssCyYbM6dzHwgCURb1d2z9WOf1iXFmqGWtzAQ/Z15q68LmXymsr7SvmT3XywlwPRi9BCRrw+iw4
o06HKMnkGnCWM0r082BG9ZKxCHyvNA/Yt3M/t5LuUtfc/MoVRX+bmyLaKMiUNkfOot93GtO5Lqvl
ZxPpeva91itnsGGdYFQuY8eFHJy5txqj9Zljdx7vM+XO77mpWesotGEM+5NeOzQFdp6TVMHKtjpS
trK32h325klrgP1q/UsbkxDG0Ucfl51AWSw2MHMWr9/83fk3DZjcPdQCyV+bKhXuXL2dbxrVJ58t
r2huPLdxtwmJQW+VYa2+z5dSNoug4nWp8W5eF1rY65uw0cvcD4Oyqw9s511wJriSvKRZY96PXpdx
Khddyvii0ONsr1tUyq9wYwXJoTZUMnIvhwv5VQwy/OpRn7nrWitAQ43KmjWX+qpGa7DBa8pdY/xr
npkPVOq8cJB9Mbff3bT/rlzmf43ULafrqmxe/3zAXr7utzULpMEyS7NYm1zcID8fsPFjQdn+fvDG
9v77kuV+wiBlGL8ZWlnofj9fG9LiME6I2KYWHUrVP0jUWYsJ96e9kxEciynRYvwfFiwd9rY/LlkJ
pcamO5vROde5cF5GJgH30dAjeXBUUYR8ZgfnOHe1+Cwie1B7TyuYsgwj5DQwlM2jF9nlnefFzuyT
+B/KrVW47VNjdfTx8ri6GxFBaLVj7XE0OTYhLtt+ZgI6N0fBxL7Y0Xp77nr819n0StnVqxkFNmeE
W9HIfIN5cWdmeczRj/uskYrN2BN909QxEkztMSSEfqj6Bqltek1ruodrrterjoLJVWNgH5lmSbGM
kNusQPXSCpdiwI5mwZBFuB/IAeXi1u6d2zwWxjq13C9TQKOcVOHa6zlRF/VdZZmfI8nooYQVuy0K
9EyYtfMOvHbulz1dxfQ+3SbCvehl82zSlpOKIrtAOzt1Udqt6sCUa7txsfkqdEhWAxDsc3rb19VD
bc/VpaV6CIYFjAJUkHGlUBlWgA5YtjNGWK01RtAVw+yiKHPMatUzImFPdZ1OFaKuvs6NmphiLLzv
pttTqbNDetkbabuuXDfZTjzw5JJG8nEsfCVTxQicNS/KQJ6Er7uPC/6f3Y9ACr3ysYjSLy5NttIm
hVZl70Ya3YsSPbltE/sicIID85+buFpYGA41rsxgaRDHURouHrQys28jIe5tRdwYzMEXURYn9r/b
apLwz3XJjKBw3VXVlwnU/PFUgElu9YEBXFnsshghzbQ7NHOjZyZTPCaiydYCbszWGAGEV+1d4QjM
IQP3l0iXW7t2+6tOMkOiagdIsrIPbSryR5k741qlHVXZnMId9uOCMBMUeN1aJ1P3oKbkLegHZy8i
1a0cW99C7HgSpnx2gxBp33jNAOuvxuVl6P2tNmGwDeZzhpbYxCYaK1rcVJIu7y4yL72eJ/E5Fl6+
LUgJbdUYE8ry0vagV9MJixLwCie5KM2SY7vihWvySXMjbUUMM/aNZAx8TS0psvTKqfKz5akT4dTr
vpHAC5fhZOjaW82qP4OjWEeOiXslY28oAcr24jzFA7BkwaXKC7ZhX3PtDZp7pnhvQhsvlei+wvu8
b1r3AInpIulT46BHLnbDzGuoveT3ECT5l8yAoGzOIfbLMWOYU4gzPzx82iF6rhXTdEPPz2ZgXNcc
+GsvfcO+5UvUW8RkZj65lV8vWZGLwuLCnLfFUyTg2XLgN2kOKrKTRr7HdyLSagFahO/m+esQBOkG
59WN0QTP4Pgn34LCsoIdvffkfJEV7WVnwIDt7Jf/Ye9Mmtu21i36X94cqQPgoBu8CUmwEUlRvSxN
ULIto++bA+DXvwUnzrV9fXMrb5xhypEokgDO1+y9trLzN/pgyKe8qDJukyomEtQ7RFV3aTOxkyby
iApzP1bbc89UYlVIl7V/WmykscjddWbjVnTlcUYeY70pblv8ie3VOOgIUuYCVL1hzgjE626vJ+5z
nxcZiOBcB2EQoyyvM0HMY8tfHxZwiVG0GTfjJK8YourXETfWmu/cwhZDT2UNDV9O54zPc12Ed5QS
2TGRibXr+Ah8lWnZXmf2uKoqmn/YrgG40MHuon2nmRo8sYiXnuAcbLUk+IMN+c8xvSyv/rLBIGNl
nb01vziplx/9dlIb+m/Y0Dh0GXj9AeH4cxRm8E8GMCPOyQV09N0oDFOKC8BvOUhZin31xX87qu3f
XE5WlJ/gNmgNiEn+G0e1/HoU/6vNXY5qWBzQ0iW9Lq/2s/3d0UOdmaxVQtwkrR5WurHWFZDKcWSJ
a4yhDmQi3WYmpOS8oDfwiugl95yFaQReuGNhXF47lJuJpcH6CXxBqj3aJ6c8wcAtL+zJniaBEor9
9MZtp2nlap0/TOmD3QSXhCIXkyIivKJMnNsxNOcQtu2CqMlcW/Bws5TwEXFdzyQ4oBCQA9iaKFun
Frv9QnRMjiHxzuw3iOSeNril/TkogdQKq9z3tspxvsjrcVqCtKc5AezTkgk8diOCIvE46N3GSSYf
/Xa76ZB1MOBhr4eh5pPN+4TSxO+tPZSo/ZCVKzECGwuK5JMXe64/BXB4mV2nPJKiA0dtcMgqNNfI
nvwSlNFOACk/WpamTkEceQxG0KTLJnmMawwuuKMJtgyTCy6HtZVMCHZm5F52/9DEtU0DVT/aTnip
6sV4YqqT5ADYorrsVxB8+02h4QFUUgA1BoK/Suv+DGkfP85UZtt50BaCz5VVGE95Mtx5CQT1QIFi
m4kId8ya6PI0/oyy5BwW8/VsQNLuHbaiANPZEWrrYNHxpHF16qlRVhVqX7pKfP7z2KFA4RGCAMvE
8p6Ym8ywD0ln36YB+zgTA+SGJ75fo7baKq38VBvwRgzRXhum8mWt7UpsPzmlF0rNo2nOMHFle0QJ
PPGi7U0d2yD2Uz4aMUy9L1ldtUW4bpMer655dqyIlQPwKnQ1SblPdcKnK23XJNpNOpbtGRVux7cX
N6Rs2HeGbZw94uP9ZkLWJ3No9AhaWGBgA1plErBBkgpnlakADnlLfzRGW0zh51AGr1MNuztDsAtJ
xN5YnXiSdf2amGC59QyKU92xEIzD21DpJ30kqTwcr+vW+9wAKwWL2/IZtvYhrGMdy6t16vr2EpMK
rt2WpZPN79PIQJIDa+Ol1VO6oE4wFh3beJbnAtHIVdJ5L2Uq7jqr+ewynmxYZFVzuCXsZ1O16srr
tG0jjGOZRddxWV6NSXsNfvpmKNJ0Q1Z6T9hLz0g4sL7MttaDJ1cmC6CeZOmVLIYZAeV8Dmtic3T0
HttwidJRps3rwn7Kmp1awnYAaO/VbN401ku7hPHkvfdYEAOTkdLTGA3D0c4CC8OBg/2pn419MMSs
d63+lofdqiHxxwD1v9Jiqp6ANCBURizPkbGlbncsyQtCELAOpvB+rlhb2Q07sWgJFzKajhsFLNjO
C3WTbAu80WZq77IllqheAoqMJaoI4xGgmJ4rp6gQeBZLpBEW6huXjCNHFl9KMo9Y8KZrSQoSm+WT
xayUeSMBSRRvw0o0AQvspProMgQ4eWl0jkeXx4QQN3lJCEDv1PoFy8e7ie3CF7N671uN9Al7vDPV
VB3MYnjVS0TqUnyYYufsZjWrOKROsDqA1shW7sY+fC7ouzfQjraVO+2GAAV21dx4cXYUdrKdl4wc
q8b/5nTxBjvcviwm74pV56PbI8+dkVDRYT3oAjFiZJXtZq71yq/GZPRrzTiP3AY3LOHvSDvaj5mM
10VGDrdDiWQsC0U81wbiwsU2h2G9S9EuenH9FtWIf7qJAt7OMp/ZxpfQ+xRXzl3bmXcpnwnngA4u
n7Khy9ybvDO2ItL4FocFaBA4dDkzZaYakl1U1w4ouYzYqk77jJiCzIO03lgLl9wKr6MEaZvdx8NR
anrh84VOezYLd2MBMzuvGDyVsb7pXRBpY+1y2zbhYSxHoi+YMJjHyFu0PZnzKto5PvA4RswrUVhA
Ydei+t6Ig509T7AgIrv3x1hHSBC2n1IjwpHekg9iOQxz6hooEmtCw6jue2s8SXRra2rfXQ8KxEqr
a1XC4a10BexkvBNo83HETFsmcsey9vaarqmHaJ76reqN99Trx1ULGCkHXoBEGwHT1zLin3rKYHj6
n+upc0lWzy9mHvzQt0pKx6uyIBwZeVjYGBaGzp+VlP4by0YDErH8PY/nz6EH3hdG7NJzKG6wiS3j
kD8KKf6FmQdmfbJOhUsx9bd2ikuJ9+PIQ6KAwHys6wa/C67AjyOPuqxl50ZJdFP3iQX+JlXcMJZz
0Y04oooItUCbfVxcykYXWM3C27SxQyoWd2HXbF2R6929svXQ+4K7dd9ohRm8VWmekCoPAkw7Yq/D
gqaTmaL7aJ218IaArDinm5ARDxG9B0mJ3dJCPbjOWo+SAwWug7hxmNADkwPAAn9aNRMRachB4jra
O6pH3pdRuK3M0WmsfR02XoK8CI2vXausuYRykbn0GHccP0QmbPPotjdi7nrt3WIJ8/vG5Z9L3/jL
XcW5/GVE1fcbCtYQ5EDBpDVYgX81Un678rkpbHYWgsQFG1PYsrz4tqHA8k57wJTwX3b4bz3E4nmH
bOtB6/v7uYxo+36+9kEJQsxekFysDphK/njttzP7zt7q7evQLOYTlmZRoc9wUZVutBG37ryag95g
F8v0Pdu4XeCUZCzlbe/3UEiXTBmRnd0elxgJIiGvQcnH4lWSEAJrhqSNbjGTmDNZa9QpHVkrz6rP
tWozixCRLCsKzasOrWxAtXiDZY+3feJAk4m0Mtw6FhCVfiye2fjGLCXNfbcM7Np26Fb1IIYV9WIO
Jl9rt0EvHhL0201hZz5uyU0wiTv2kgj9dVS1ZVAdqzI/FnVw0tX4RMw48xyHYRWy9V1fHRjwECgS
Vtgd7CRepw6rCswiahW7rH/7gOaGjetz7ng3uEz6VYbiCQU5iCIERtieIASq3L1aRP3G0qPE/fCh
I9iI3iaDNCgsYmWmm5YaYavswV7bvdevg6Hu1qYzj5u0I0BEoDHzp4UJwGbLF1Y/bZIe45xyh8+a
HI8Z9di6J6KKdYn+eRyhBOFw3Sai3scWKmdoRqfEBZW6yOF6a8rXSa1ObU/9P8SDwRrHvNcYbtVO
T6BuGqzzxRcT4Ms/gE8PV6MsrxOjvKtrtcbYhGVgXkfYVFYDoyesbP7UZx8l7qFVE2G0M5lUZCmO
V8ilIAKvZJD7TYWrApcGwqxuTJhYlunWnRyNgRVcJo1xWJo1yQnd4E4Pw+ee8SkBAV68MwlZ3Gh2
eMPjLGZc1q31ursaejxltWiewxKJ00y++TTp9104+pjmh1Uy6vu0SO7CYjjFlrlJnbhf2fYc+4GF
NLpii71v0iBai9G7oa3EnlSb72Wmt3udQT4qjvLa0gEnRlB3CjN9ZBRA21XjUqwvWlSRU+Olxkpm
PFvdLGGJkz8px91MGfIwYb6Iqi/pQq3doLL7MbXYW9VY0ZYwo8gllWBqExKNhREdq4rgINObxT5S
6rngPNwkRvc8BupJl+2DbJEUoPPeFZF3SVoL/xdZWlb3cXSI0GmButDlpUAoU8wtrp4Dp+zvgwRR
SclKino6PIStpMTu6rvehpTlhq8wAuL1GKN/9ZK4RrIo9bUU/eMQs/XTUxlvSju60rTySjjeW8GM
eyXC2lgbpX5PAMI2buRD1Yod7pUbJWgPxti8Z9Xqblygdpw72nUYyXPsVNraTOPtGGcEs1H6o9N8
y8N53KPo3PcD2n4tcr11oTF/M/Os3HZd8ZIUDK2nNi65y2b36Anww6BtdqGYmwUusc2Vw0VqIHDA
s2qvSIMEPDFddF0SvEQPUDb1NRPtR0KGoitUL5gv9PE9jb27RGIZsQGY4ikcJ/Ihpy9qYAA9DFmx
CUL2h8htmbm3nb7LHFXiku7v7YDRPCBEB90iJoWyipGuk7VJCxLt03B8s6OOeGO7KPzR9pgq1mdd
k+8p8VjoOzIMSaTIra3O2c6a+NIoeaQ83k9z+VI4ocHSoz44ZorkBjelABq4pdfBWdOzbRgNeQg7
ZPZQKBaBTXLW0/wKogLWyeToeAw4G2ilWXKIuvo+iOov3ei1m0I1p6kMLrZWPVSULytzYiIpSPw5
ejwXeTYy5BgyeKplr3ZJWj4XZTetHeVxzyLfsAKkfCqkwIgH9eS1Xb/qS417uiC6DHXoy2h2Jrfj
CE6jF6vcNUuUQ0a+Tafo2VDvqmF7jbI69otJHiM7fxknPlHdI0JJdYYfDOXTV1Wh2SJekiD/w85i
euGQUGSS09SWnzxDAjYRXwadi4Eh80PV8IUpiePCysiL1cOi3ta5c4PTz0dbqOM3VBpCxOGaOLI7
3irphdFlRsW5tSRNSDhoxmrOnBO+aba8rjjANyEjLXDHg1TWvVEFHyLHm3dNFr/njDxWgVTM42He
L/SrR7NgV2w748xC6ytB5Z8G4avqcEFH/FWDUHTvzfv0ix6Bn/vWIwCjQO1HbAMxFEuhRBH1rVJi
EIsXAB4y8dbA1zwK+G+Vkv0bdnVUPvDkv+8QTAv+j+s5WBpYiX5lW/yNUSs+h5/LJA9EDB2Cay7+
CVqPH8ukvAJ1M+mufZ2b87CtRCDxdDkvDkPL0umfjc5+TOfbAMSCUeu+AXKh78LHYGEwEHpornGE
bmrwDKxcQDWYKn3MF3aDvlAcJnAOdodUGWUVjXKyFyGOZ46WraU3aOcXGgT6uVdt4UPoCynCXJgR
POaC7QxGQsWIv4OwuSoU6USJGT3nRLYxjHiZiXXLKheLI5MDBCW3XmS+Nbb+YRwmY2134+KhLdcT
dPFNVSdHwo4xfefl8DwJ9zXuqvjIgCbwdYWIXlTJIzy7VzE580HmZPO1Wkm85ryfa+N1aPNrDxfV
ZDv3XrNLZ+HXXkmTnqjHPopf3FjbK1E+t40WXjlGtfEYaOTFABqIQPtsYtAbXy+7vnpqwK/H0eeS
bQ7VY72qbXXtLWst7NAHWW4JPF1FE5mAxn1YnxuiD7v0pTYiHn5VsmvbmT2VPmwyif6ZKVy0ThOD
UDYZrEqrbfcD82HMsSYBZNrJzku1LztmNUHc+6pM7qrWPjG+nrfSjqhrsmxfg9FtiAzbdEbLuq4R
u8aeYdEN/c3keqD5OZ4ExqldVBB+GJMPmhW8Xgb30QoZazjNRzFP8aYVpO3grisJOxvtwAMA5Zwg
M15A8V3nzLbsxKJSBRGpwmjGtbLB+olASBKlmAmSjotlYRbOzFhshVkySyU9oANqGy09vnKHydAU
e+Ru5vMNVrM3jFWHcBEF9i0+csSVzFGmW+XY7drRWVPXJh6DpF7LOrkrdGrmiG9Oq8xHqySYGlCn
T8CKe6o1/ZC55RlP5iva16eoxUxYuwj81BRsZtvmuEz6ZD01FCZp0h2GqYNmWafPfUz7PLPDWMdR
fhu00oQUOu7pl8ttQ8OxYlOqIDQeTCMG3+uQaInQsayqi2wi1uaClIOMTEfqqWogjnXKzPtkLl4z
PT52ujqXSHBWJL9eBcwnBfYfIyfaOhMVKh73YwLFyYvCHVribGW77QOu6HtMhY+EkR1EUV71jXwH
Qn5IcR6wlnwt2uzRTms+1Jmpvdkczb489wMiVBINb7N82I1BfJILmWFW+8orD/oS+zJJ2u/oKpSi
okk3j1WmjqoVNyKShDLMDTVH90HhssXhO1NWQcTu4VpOs3PVeMadFVfHNB72Mp3QVGV5f0gG4yJF
cw4rh6jKgRhbvBwE4963ZfvMkXiEvn7uI4mMaborRMYqnZs+zfC/qvg5TJ2dFZb73I7dw2QVOxzf
i0q/O5uFF6/Br91KkjXpMm9zbWBbzyYi6psD9pIPrEkA5oos23hGf0eqxKlvEJ3ODoGM5Kp8YBSx
d3rO6okJ8TjTnLnF2czs19n1dkpTfudRpsXDS4FEtbXEl7kN+xVMDH9mqxvTBNPazaBG7iD/smty
VWZs3dLi2TeaUAUk/KrGzo5e2J9YmR/g7XQ4ZLwjWOWLHLJjEE5qRXThWQWSfEGvWOge7kprsmso
tru69K6bIqVaV+M2r4Xux5b+FOv9adTls5lqCJKTe7y89gYVzscK30jZhgAa1FEPtedRDBcwkdci
HTeRvTBMJ/VmaLRBcRXiHgL6UHd8F41ubYs+jHHB5q+VaZ4nj/YXodg+LZMdiwq1aW39yYG0VZOR
HkUJpgjtFmM5o1n5AEvXj+P5Y5I597PVhafCqquDCIO7Ki/O2iItD+rMl7P1qlf2DpTaSpqoE1jW
SNwio7FPaWkNI3xPqRCZFS1MB2c6oR8ytrpeWVsRmzsHbRuq5KhCWUNtb4di3+b9h1bF9zWt/tSH
D0HT7uFA0Pkp96lQ8Y73/IDz6rmro+EwypuUnUQioBsk9sRjZdxZsryoLnyIxdxuXHvYaxlxyjOo
j9YGVq9D7/D4aPQLdORiFRFHOvTGPTgk1xc6hCWXSIzVoGMnMu1zm3He+1mrGZnfqzp+svCh8vBn
emsU7L1yfPTbqLZXeT0zqXYH7k5mFGRgs3LgLU1Ttadg3Dlh4d2g8SCjvhsKf9biemUMuIHDAbHF
AAh9gMkh7SLZcsKQkIyealMZ2XpELWRhZQuYkG/GDE12OXjDVUKSC+KQ6UvRtAf87VimpgIKQNLo
K5tNg29l2fNQhgYdu91snAhxgR61jrYiu54MmDw8Kb2rLkWtdx8S3UEuY82Ntu1dZd22CiNZ5s6s
NVUmQckO+LP8Ss3ZZta1E+HaV0MV3xhuupVj4jvG/IQL8o6ND1w6AwE4QAgjw8hT6PWHAKzDkq7p
NzrI2CEdd71ERmF23cch6QkucF9kYJ4HRdIzIom8H7ZdYBEu2D5UQkwY46I3nqxP0KT2gYouwhrf
g8Q85jMfkxcRBBpT9bca7K3ZOjpxfg7izKRCzjfgmXE0EY/ac0QzmySd9utW2NpkaXnXtWm8Qv9w
AFR8ssZ4rzcz2JbqkHtqZZUi3cQO/gIotreeyu877BlDOU2bvCgeikwVjCbSI00n4lXtDBtiTSm0
M8b60AXeTkthGTr1May6Z1uax6yAoG1y0pruNnWrTzTG7AfD2zGgUphIq50DlKN0w1bdveeRd9IK
EHtcdCNoZFgjn9jmh6sWpF8p4rvGSHzcpmuPbAZco/Y+GsV9m4Jk6ApoPdOIeMRhV434KxiQhS1W
gt5r8VPp+7w3PhBAxhJdH7cWXkYTbQelBRrMIqt5uqcfMrNfh3j+QCsYvpcy+O3D7KBVyZPnAa5x
5xus0xG2Tf1hUvrWTKrnUrcFnTPrWG2IPwdNOQAPUb3fRea1ssR1EJoYEDvbJ+zKl4GzS7z44MXC
20IZOBKz8F5N1nVXAbvm+d6dbIOLJSyVxWSJCVeEu9IPJtu9lHp5VUjmCWzwsZqI20xqp6xDXKuF
5rYFe4K9MEKX1hJZGk32i6XIAvd40hAdNJ7G0SWQWZXPozXfVpr9YhiQAqu4/iAI2V0Ju9+m7ZAR
w8q7dgN97y2PHlAJq6H0on3YZAm+jvRcsbVPQw3SsdEc4W4CQbDbEf99Tqc4wheYapQ8/NcEhE0f
6vswHqtdNhOq4eBhnbr+NDfLqW3JD6POjZZAINg0owfvcpLXehpfo65ay0RGwPHn9oRhc7EhmM+k
3YdXqgluvTZ7IWhH7pfb3cb3g3iC0zxtBvPFjdCdVfKWOWJ88qAfuHp1CCvxwNZtNZeWWMWqZ5DB
vjBPT3UodmzoWX9Z+ZfeLTOe5QbNrPuQduVVTIefMg4cMqxurdF9mPT6jn3aYmhyrhM9xDaabDNH
TviPk6c6817kaN6RiloeLROCTI/VZGt08gUC9cFrdW1hOzGDGfjFWq1vS/gE6LfksE8yVottUXE6
AjYR5j1sHYM2ommY1rrZJA1Gcaat+YYeB+gtvuv4bn5XpfxF2C3GWkJsQCwsIV6eidnmxwbKiIUA
3VTElwQoZ1Gc23lcefL+r19k8XX8SxCDcPXri9i6RFxDjPPPw+w0GBsTdnZ8EROJMWjHI2xND516
+OuXoRP995fBc4gQ0FoGXsuf8Z2qPxDCowsQFO7GF1U+auZ/CQb+xe9n8o+rBHMJH9fPn1XrTXZZ
2nl2KRQX2t4N0DH92X3/4rv41e8HjMsnxAdFKPBPEt/QWQa0Vp1fXPoO68b6w7jyHzMrF5f+v30N
330+P33X0k51xvd8PjLfAbxK0UA6G8m8/R39xV+/lV+8lEPbje8Qz61jeT99FZnLvFDNZXoRyR67
VSdWFYNUueYY1qrfVe3/8W0tf/ZPb+uHr4XZxfdfu9DjfHDYul8q6IotFd2aW4tn6jRs//6b+v77
/+lNFU7iEW78+wsxFS8g5URbzpHlKK7+y7W2/NE/vykWn6S0cTqahoGQ7fs3ZSI0Kjl4i0trboPs
bYDGFnz667fzq8vtu5f4+XKbYeOVoSWKS+G+JcGL1P4fl/PiBGVVjAPH+jq7+e52TGpYIpJ4tUvC
E5ABbjb9Px5ebMiEDR2B28Y2floQF1pBfW/r5WV23pRz3S8bn+6/PLt+dSVzEbPsRs6Hlm9ZUn/3
LrwoB9/pzvmF3Hs5rZeNi3U7NEyiN2xT/vob+cVrEYJoGIbugD5g/vTja5Eex5AtsQrCm6hJ/LgE
fuODKiypse6+vtQ/i+HlMv7zobt5Q1H6ewrc9Vv+/r//c5P1+Vv77wPP5ae+G3guVHGGiYtM9Eca
KKIIJp6IO3F1fNU3fBt4EqCE4JRnnmRI+Ufs0rfVMJwWj02zZxmLJW4Zh/6NmSfT1R8eDchLGZ0a
hs1fgWwDucVPx4SMwgIlw6RfLOb56R5HrrGq3To9J0SayLm9daP5OWCTYNRdtlOh96zFUbvKF5Rm
Ge68IAOLno6PTVdFvlk2t/ZQ4iAVmPyp/PPxYI6Ionr8/9pLGZIKFG4jN7zoiReey7iFxGZN3sbR
qRTSljkRFJXPmfQo8BYOlAzcF0QYiJZMrdtK1b3MZb5XBkAv0xpuYtWZfo0lln8Xx3lgr4Cx+Cw5
zZGHZU+F1mOHasR7XLVf1Gx8djUapLInLaYxxvvcHdWaLvtFTdpzM+NSJVdkk0BLRu7nXRf2NB01
0u9sfSL4pkDoPQYJ8zqb/zFov1hBL/kfcXIPOvxwTMuJESPCCgCW5FEDf6Q0P4n0gzXdRK09r0C2
xzAa94SMRpvAIfhTIVSTaysVtKJFZJoUcWg5aLPNznvTY4kbLR4bqvBiiFjLFOmeRX7t41YHgCbH
yhe4U1ZUKktZ6WZbMRF4YxpDgxMaUhOrbtXdMk/Enz5nze1Awgdr8KGG2ZjxUS30z7aBkRjVCfLB
gi1oXtsfyrkxVqoHbi8b6a7KskWz30eAQTzMKIEXWIwQ1HTLtSlhMCZik6hhHZV2eQWPmF0za8dz
YIlko7y+vYpCSGJjE04I9DNwbDWCG5aFZrDT0/6L4ZXuro5AJdboLPe6rX0cOr4+gzw5n2Ueu3VQ
5KuYMfSeuLF3TytBPtdK+QzNUDF68pAJeGmE72U3rhmmvt4W6GC0KfY9vEA7mZlAa4bW2qF3eM9H
3duxNkaW02jZDVTX8IpPDslNoIo3Fxr0yphisQ8E4ditYFNWEGG3MknxbDa6A+AuR/rzsZqKcFVi
CwElCeqerJbmqJxSHUPVNzsvYkRfLSCSio2/z5cHDbe1vrA4lSs5RV9YKpq7RUERrcScM6T2qmjV
EGb7UeQIEaIA2ZDKWXCGOT0LisgBzA0JPvyVCEyTgg0991x41SSGQAIK3cWPEpj5IPPdcYvCokm+
ZEgR9rgVjdtSh5rANrQl2W8WDDyreN2I8SFDNMrMGZVmYXop8/n6CeNQuBZzQNwXmS9+GwFBGNoX
Layfs7LAPO6SRRPl80hARwm2RkBbc6bkSS/Km6Ru49fJY4hjRGHE6Mllu13RoM0gkArmd5aN9Kks
nPpAUtZ7lA2vvQi2KnSxOnnaF5V0y7I+fsESccVc/8Nowztjr4jaOm+Wh4h35qM49AQGltynWs91
0eXuA8Sqm1qPrirdclZFg9xdyE+G7T0PmQYyphnBmDXuwW2afTm39+3sPdaRjRK+A2xS9yRdLfLu
OIinnWnQE+Hth1SXF0cVtjBJo7tQoNZwQvxHPdS0oyXmtzFBQKAKYx+X0VXq4OM01VkbzXozoePi
TmE3i2GVKUKcFUh6vfhj4hbFq512yT40B+YmEj3tCOXyyrYZ50u7XFLn8o8I4HlmCYLKbLO+KZV2
b7ftstpN46uQodtqLMPKTyfl8iehTZ+0zt5WI8+koFThbU4/sGq5XW6RxJurWQCCo01O9l1lRT5C
c28nkMXcZWFTbVyDwSVPmH7XJna40qzR21VSnxDsRy63NgM1ETgTOtkp8QPgwgx0colhOWFX31hf
2imcoV/OByaUF8HMGjfviUT23DeVMHYm6lzfFFWwJXGB3E/HEuieA30jRQkOyh6tTVIxqIqgQAXM
j3eGuTjaEv7aKOeuNZRCOVCYeGsiQgymiqeUwMS2UwXv1GoGayEkhMjidXunJYSPJjkUhjrE8EbE
BrFgSOh+r6r+KXUMGpD/XOpcv1UU7D9H4C4/82ehY/yGE5522XGWKO+lfP5zs0uaLZsGOjhii3Cb
fuejcX+j7AA3w0KYjavt8FPfCh33N93C8g+X3yKcUfw98rkpln7qXz0Qhc6yPqbhgiuDrA7D/o/l
cAMFVlqDMV+qinRWnWkKhweXTGVNj3pS74LI/SSVXm+Cqv8o+gBzH5eWGOWxtYIMUY726A31hrjH
szWT22h1+YL179DTxBc7zrZT4N6ILITBiNbTr5XYpaN3VqZ1KvNy54bevk8MHDX4U12blXETLs8v
W93bFokgWN3eNbs4QiTGJTLI8OwsaHStIlPPrS1/MtBV4GXc5YDDhaWcdWW4T4DYbphxXiwPomzf
FESYm0P2lNrTLhhR00+Wd4sd4D5kEkbKL6ImC19umJUCXat8V2WYnOe5r96KjteZrGE3a024JsR7
rdlMOrVUbMEzs90iWYG9D6RdZOfVVS84aI2KjODecLxNGtWQJ62tV2cfwz7eLGkPLPPaXV83cbou
ZbIbEelvHUGsjkr3eIwBcnXeGivEppGZfjCm8mgKwJq6ZkEbnRDoN4T6BinL07REk6Ls+1qPbcAj
TbdmSc678Bp5cTP7UCiUK+UMQ9RqrexAqXttQ10xi6Jbt13w2obuQwI1/RBr5l5OwTsDGWIe5bgm
ejnftGyvAURjwtWk3JdR0K4IFRYPrH0BHI/WgXH1uJFhdYetbz9K11lHVgpmZW7rNSVscGBRKzBL
4tuvEg9YNbpJ7FATIDaeQRDMPzU6s+ih1od1p83GnVfrLkrgFCCLG+80uDsbrdPFdlAL0jBb6Iak
IBYHeyEeoutVa0UG6KEChzguXMRhISQyhkt2Hcziet+0YRncu2Dtr3Q7+hxqJZA0kOJXc4XQXs+a
Q1OHD2ymEX91xl5qVbem1eV47y1/IJ3SHYryWLjNmSCdL+WI7F7O6ijG4UPVsglDa/fUG7iSYqSn
6yGoPgytK4hwnk99MWIXEgu7O7mdO3dYl3QFnbLOaM24JbQnIjPFGnr7HnAFf3UoL04b7npX31ox
qsNWEh/ppe0ucYxTZkNFE173OlfBZRDpI5afmtSk4BAaNQK8iQ14otex3yRlu42j4s0T6TkKwetn
YeTTiJ2LzNt3zCLWysHuEMSPpTbV61ALORwM8dmMq6chdTcaXl4qLkN/GxoLGLH2AkeOoqtzz+aI
Tkmf7PTWTuUrANNjqzufnbk9smW4nnVEX/iAsFhZl7EsjXPR5NAgWeVVjn00R+D0DcsCzYjuhlAs
Nq0JZNxDqvlyco9VDIdvSNpVEOGCKirtIR4wiXdpduvGjoYur3mptO4usfsAMR2xRVZQrm06A1MF
mxxguKbZ+7nlYITuUa9F03prVGmrLPLOoPQOMAUvqM7XveRbJ/DuOJCBsEvz+dWzwQZ3oLDJh2dr
mKwyLQnX3VCfejUfvCr+iBtIrAJdx7KsvFUVJ/ddZn30mqje9CNlblE7T5QcxVrPA25ieLmkU3Z+
XvMsBA6Zjbu2MKb895TAf07chWr2n0/c+5jt2VT2/37qLj/356nLDIH5rm5ayzkKNu27U9dEX45z
4itrlXE8//SHnkpyVIOSgFyzdMJM1RhD/XHqMnngeFwiQmDjL35Y5++MF3Av/3zqSho1VF2L1svm
T+F8/37gBQ4CZXJjlzdjI5xtMUAbl7QzYA7VPnLw4Q/TxHJMKHGhDhBHkeUg4m32hqhR4J4DOWzP
9gJGb02zvk8IaNhbY99eqzSoPlddkO+chcMeZQ4PKtxL8brytP9j70x6G8fSLv1XGr1ngPMlge5e
SNRoS/I8bQhPwXme+ev7uRHlTEdUZFQn8H1AL3JRQGVW2bJlirzvec95DjaiTFPGi6bO2lMVx+aj
otrtWvPx3C85gLKFzf38mASliyQAD39MrVOgaRRdBOGwmR07uwU5bz2C3aqvB93qDm0Til3S5ZBW
RKcka82aijujU3EpGY3+DuktfcAln28DqwEoV/rNc8+ZZwWxIFqJ2h02Ih7Y7oZ9eTnIUoAOyw6B
udLrB83sT6HC+uYVn0JonmlI99O4bouk22jfwhyQOOPwyJKauEflN3l9EmEJOxNuYngdxq4CelqG
ReaWSNpwhK5PFgTvfQhgvUhZAOaLtC8HxbNYfkVntpLjE4q6dHrBhlJlnLRdHt7++GgPqfEMpsiC
WTqCayS4Ze2nzp6u26GYn2VGmSwwix4mXQ5PUcA47Zd98MKVFC3VfJ6f/Sac39mgPwC4X+dBtFcE
ubhMs/vlYNFQQaV1oC0crZs2CTVmZ4HWTudJMZbEON1kXIxZQfVsNATRuqFQlYBvn3GaSKp7U0Tp
jg7TWyMhHlMq2LBDyZGwOBOgqjT2tROW2a5VWve2VEGkjS5lFplegCzg+ESbASvNd5aT7osiBmUP
VxAsxZhRPKopXt3SONsrSjOS2K+qlirhqPwqoPXuptLPUYEcjAJUHz8Fsya82YXSPfpJfC6I+h8a
CvoeNYITADtxaTQJpuC5G5UzLl4OVCIfAKjW/gPi73CbS4x8V4zRtcJS8yKUAPocVRtSBp0eQEwa
3ALQZ7m5NqPVeAEWFcBRcDC2eq+/cyfHrm7sxTgYl5gT2K2S/dHeSwntryK1ATbeSI6DY/0z/Xyv
ttTZA/31vfj43j+//Wr+4av+uBOr3FQh7aiUURq2Qez/z/kHxICjUojCuQxJF3jPx53YQM0F5kMu
jVCaRHV/mn9cvp9FZM11HJ3FxN/TeY0f91rfxh+2mMjGhHt4wZ+9rT7AdsNC4jhF+YUxCY7xPiar
kU/KOOtoiJNeLVw9P6eR8YpG7ZepTBXqSGYNqCE6whQ1YD9ad98k7gkcWoGtxn5xw+SQdu7dLIsp
hvxrRw1RpdCDE7niMS352DqNLXkFM7VM2XmB3snxsXep4MHUoFbhEvyuifczubMDe14bLEQXml/h
+vRpkdKthyTlyDHNLwpFJN9bcqruNonaC4S/Y4S9YKO6znWGAF0UY3D0+3ZfDH1JBUNzpjm4Y0bo
jdlY8DvPKLsG2na365xwzSLbX7AdWeehct+hiLnMV5buHtk2rmczZCMnBFXBeaOt5qHzSFesKwcQ
sEEqlyfqG3mWU5No9iKIqul6pgog6n1Yj2VD3cLILBIbhFxtk2hhrgB5U6zHbE4ICQy+IAqrpntR
RK5XDVpDCMvfkFOKPWeQllbX8tyJKXFwZ5RHYgtTWWBFse6IFIDBDAht4MfoGKAoqCoQDEckovlW
GwbUq96xKvC8VauGCMVtX2O6DWKO/mGQmh4Vm7ieeGBi61olDXVZsmhj6O1V11C9AuN5M6pmv/xG
TPct7dYUhBczYb6XcNRTtXEXfTs/zSY3f7vhwgn97rZF2IrS99q39pUJh8EyuWV23dlYC4gOcb4t
dFVZhQlajyb6gysZaAkeyjBU7yfT3mclptbMmp4rzapuzay5CjKTaatfDOWwIzi5QW7ziT/5xLEi
f5s3YbEMKuNs6hJt4Sql2E0Kx4g5c+6UvnYWdqWsB1ffqBFVZjJ+4vjDbnZ5dKlFCbI5oMyiRzuD
xrSJolAsVDEDLfbXRmetZS3noq67uxkDWGrpXwtDitoxBhcHx7Wf3BK8f0SZvRhDYgdj6xBPmh+a
Gh6HSo4E36ZYphgX87HdZ6TUMdbND32L/q1Vzy26tLD0M+I6nhaVjzY7DM83cGQmCGiLtE5vOLrf
huxT6cYwG3605CwZqWCeCc+14rECWLOAf3eA7341h+ZGNfx7jSKnDer/Muu6J8sJroDZroWWnwyT
KaVU6UaxZ53cGKG2ys7PQT1DfAjWSf6WEErqMJKsmsHfFNGgLtzUlO0600UE9tNRff4N2wBeu3mY
O7pofVt/znzaUCw1aZdqQ09GGgDO7qcbKHMFAmUKg74WN5DEqOhQH2cnPKTueGnQiM6YTENN5b75
mboFK8hlhCCMfY8L0L9JY6RlP9Zh85slHyjthsv4gex9yG2hOLaRfdm4xptLpnwVK7D1fJyGWaOZ
SyI/wgv93FqkNjAPBzQu2fExvZgS9ypJuK/ggKp2fh+qKxjqML1s92X02+ckrS58rSanJyzfawaV
xNxUuYyY1llJK9XFbDgbkLRhfkmSL74uc+3Vn4jtw3G8nYviHCTKi4Y5DXrftM18V1m1iU5NXUDP
VBk2a7rQ8jVkqPeiFPOqg52EIFvCT2orhqzW5R1wRcu9iEOAb9bnHC7OWl3bRx299GF7VWNwpNIE
nuQMKaVTzoqM3zIixF+2oYrpUDG9KaDhJsxoAxPmd/PFP+OX9dvx6xEuzr+PXvJr/njga19g0FJI
zRqfcUk6Ej4JnpwCEC152EvFk6f6R5TF+cLghUbEkx2eH2rpH6OXAV4bkqjt4NIg+Stnub+x2UVd
/Xn0Eqz/TcOgakOw3XF/Gr3amjGDtofxxJSkLEoHlI5f37Q64kCsY+2eWdqgPmjpSW+z7Lrp/HqL
FtVtu9nXyKuPKGwFm6DKNI6GMNVVm8LEnkQMcIOzfIuV4iys+he3G8qbYoIOTUfYeOEGQbnMslws
3c4vCD32h1rtqCnIXa+HVHnKAsz3ZOaDKw2T0qajmJbGYLYCjabdZjMaW4p9kp0Y6zOr2xmTcxOw
pVmPZqx7NrbZUwpMeGna7hNTHQ1e0tY86xFcvaEAZTjl63Ymd0sSkbI43oJTpDn+Gu+kS8oD1SYY
dA7HGcC8oUS8JORL6U0+t9Q1CaoYSb6aZZwu8i477yqGFFd5HCwNkabo4JbixbXCcq925ioRgboC
2LxPauWsL5w73s1DQQoZma1ghWZ3rHWT8MnqTbIglLgV2CYDIhO1lSMXhQHJtCC6bs2GostUodws
h7hiB8E2mftqq9jZuxHQ5TDm9t6ucYZS1kGvmhXH61axWKT73K1zayZnianStcvrQvGPJlOdM0db
8kMlv4nx5k/NhdKQnk0c/NQ13QSo087RmLFKzv58tAr+pG2J93IaLpLMeNGN+n4eklfFL7GmhCy4
0vHEuQViQanRtRUwYSiDvrPokoHVxoIfX8DJcmiz0jNzaxOuKcYMAowwcAlo4WMZzJemaZ7FFftV
hUgB+cOEw4svUy6YDZyTMamx8aKS8pp2Al/xSlDGAhqKWpZag8uYWnWzYIH0rlBqEHUOPX3KtP7G
v/Vlw4vap/tedr4I2f6iUwPDdhqJqyda7EuBNZBS64Tm6kjxFVCMflVbVs9xCR64iUZb6SXgSCnb
RhloowIlV5WSLm503mQp8yoTgm8gpd9BisAqV6qBKpxKebiPzB1NHw1zKtJxLkVkHzVZk7IyKL0B
pDdSs+7TxSXFZwMVeqIGM5KydGJZNzU6tS4Fa4FyDe76SBFHuhtMC1+8lLcFOrfiIHiLduIJK0Xw
UsrhI0fBXgrkfmudY6Uul64Uz+mJ2NdIDHsNXZ0zmbajmIO/EpJ7ajw0mn9ShmDNpDpiqog27TeZ
3s3qTSOVezpbPQcpP0TSdyiRb6XGX5YCUGNGFCJs9mTmy12ikJJOI007wdU3PL9DSeGYDH3ddEjT
O/6xr0jZxq690tkLs8nruc6hbIHIGi8njWDmBOhmX4HrZI+g+1u1anGpNoW5mQLfhRRfNbuyys+C
UBWrKeiMfWMH876KNWVjFpW6Kqry0lbcej0nE2S+4IESSONCj6Nxyd0v2SkRLaUcPPcKk0cwBv7K
jsvHigKcr00O3SnkY3wp4vh9jucW+L8L/v2fkfn7yGzxQPnrkfmmA733/osnKF/18QSF3g23XcVw
p1uSF4MM+fEEBZthCbqmmFcZWD+Ll4b9hTladiLz9KW/XA7aHytDmQd12fLTXG4amqy3+ltP0J+9
Ubww4qjKz8BARwCdh/9n8TLwK2qqsqI7zinIujHqntBhcO0nyEbccLypTu8tzY+WJLQPUU1YztIG
LAN5f5E1xU64PHcbFDeYF5XHWHEWdhRFinlgtI2uubu8gbdIljQj0H6oDBmBRZ24G42rADODZdaQ
LhnV+wHJSW/MB7fCQ+PAysTDyWLBVeY11n2Fm3mIa6VWpB+gXkSEDIDvPZVTcduHjDJF27BIs22m
x3aXw9loXeWeFRtpbvofjOjQJ+F5W0RPTeHQzuqKi9qwXlNQ1xyUYWeA97I3uk6STises0mdIGST
wyBmniyrdNhiCbmd9LKGAjKsTXMmNBbzaeO+QqRGcd5IGTFGpPZ506Y35GKSpRNYKytxrph/34Cy
XUSWNG5VssIjiNuVT/WNU/YPTAqvfls8+pV+gqnxihDuLlGTg1WXD2LbiOwCAXcr7Whk3Z5Sve1X
ZerA6LDBkw5l8Tpo7gEnUOtlEz6pUvI+JzNjRVdRN4X6fc6ThpHVP4e0680RHUxTMazVetgHrrsN
dOtqmntsO/G7yOobIwo2vjE/gD3IPFXKrPyRXOkNGQbSj7qKJYT0io0FrjmE7vg1xeLr+exsC4ao
ZVez9slU/d4MrCuzJVUJdOTGDPSvnW73uymSX25RNwui/CFTiNYVYbkg9rzuWnaqftfGG9tOH9mm
JlRqd0c9tEghJCJdEkGyFqqpsKlL1qooeWo56qZqQ7akSQnPtuSvBiVsWOpkfGmCRQdhPWdHTbPx
GxgglHzuac8mPxH708Ia5itBSdGQW+uOxkV8gL7sY+bxqrZ4Wpy5ib2044qzkFGXzsxFPDX8DTO9
DMiuzdcFeOZFlzsUQ/ZrX+2uZ8fYRwMbaaHjh2kqP/CCFI5Z3yWvbTE+OPSuL4RdvqgaeeK88Jf1
MMKSUaOtjVNrWSjhVkVH8RSR5EtVLTYUgDFMRh0kGoWVH/VIPFucd8Ae5xQsMzw35GRqt93ZAZEj
vSMzRvchJAn2yxKOx9WYAZBoX5qOjbtao+SYM6A8CtL1MzMHYwHYxQ12qU6e2kuS4Z60Vt2vaoWe
tTveBr/l4CxjWTZUkrXNPJvfCGp4C89sS9y8LiTncAljX1zQnR7ZF1MVhRdGNQaPEVTYJuUSWpih
6R9LkjrE/pjewBSoVsBmxA2uw0qlNde1xks1VfBNVpGxGkVvYH/DsOaNjt1Uu06oPg6xaGwJfapG
yjp7QoQaUkCG9lhtOFXpD8lAjuGQ5iXH8DgNNW+0xasadMR5cQrU+BoHytrnFcY9qyK0qIvgRm1F
2jzqhJ8okjRAhdMHmdn+U2JF8EBUvc5ANLgjhN9vT4l/xk35nPrrx+Wpfs6DXzwu5Vd9elyaEhgF
n4ShU67m/nxcYpYxydUiJjt4y+1PDhvji8sUClyNTghmTsob/3hcGl8Mx7b5D99W1kDpf+dxCR/h
p4ETpw47OrgO7BZ5/Do8zj8/LitsstHA9XioXQ0v8Jwm1Od1rn+mjJV6losGI6WiTt2TGYf7yJ8e
qcidl6WIX43e0siU4WoBzk0Ee1UZagxJuypXYxyxpYZLVdxxT7GnJSvPho5o1JyFQjcLTtXSqJ/N
1I/eW/yE1OjllqwnwwKQEzjMkePWIRirivm1AfyY1ma/rmpOpXuQRS7eA+gxfuciSkelTaOkNdaL
sa6/Kk4wIiGBbLEin3yvjmblUIVqS/eoYjAfpD2SKR441lA1OEUCseVcYBdS8dQMl5oxn4e9u/UN
5RzE5U4Lwt1I6Gpp2YB8iYFay6LpO49He3hemvZGLZWLGInpqvSdM+zUaKcBqndA4Os8b4p6qStD
sprsGORSya1QVN1pbJuTkozOYiCZTrUzYnVRYNEE0kURhd1SwRMZU/01MdrrKFWvsXBlFkG0Nr9Q
qmQ+GCYQnqpcB6UdPhQRwm/LhrTxs0NvAhw3CgoOmyBe6iVpSL3gnA4t052M7FqxrWFdOoiRopp1
r8YFAe2HSTrFHQ0XauHPwvZ0LQ9PfQBzn3NJR4UIEcpRKa7sgegpVHdMsPXCcDvwqTrOqUg5aLOx
7m0twgBemreNqxG9JWZaI6OtsVdBhi2z5UjifjGXonzEhM3ApylYk9hLYthsJmgbnz6KF99NYr+N
tfGBQ7GxsQOx38HG9uOFHavhoCYu7Y66GpZrIx3053DifRqAjYf/jAv/2rBx4/nr+99F+vz6Xv/7
uCCjSh/3P9gxKnE57PXf+DDS4fcxLsCOIQzBes0msPfNK/iH4EYRB621EsvnkrhRZU3Ux7ggAXx4
DFWZkZHhjL/Xa+tya/7ZYYgM5DAMQ38n4PPT/Y8mWTxEphhOLc1UFIon90U/XYmi71ecpk+ZVsWv
fMTyRTQZN2CX2NUYCr4tMXxVQnWN9mECTQJhGzjVCoA+SXeBAzeq/Zc6QHUYUwl27fIr000D9l6F
vxl6/+BkEK/CUrx0RnRt9/N9iLeL9DioJySN5ViE2TYR5d6QvsdMSIaUm6/nVL/mtbyhpVu9BrDE
EWnSFrHDoYDem0Ob0D9uA8PPk+AtbpyDSWBWNcdTSH1qIdhFoPdf6qGqromVQGkz+wuKxwuSGKhr
QseHm6WJlOUXbAeXRtVxQzfRsIZS22o43NcUziIZAnZYdVNprIwEVizcuEVhZNw0S/OGwxv2ENfr
DGPVASnDsm9FS9SZ3axRX9bmeJRJBt5Z7huFFB6JDulf24u+fejUGSNI3IzkcCNOohPrRLvviOiP
03uvFrteE2thKHTaquFdoHGTp30PVAX5bTLH7PSkX02chkgcpeMuKOo7enxeum46E0VCOH32bEPg
X9R2nZ9c6hOck8CyrxzeIT8SeKmLej2k6bE23Ss7Ul+SERlpxHKzsFSJwRXDbaabjzHpTO6tVNr1
ubkuO43d/SjOKCS4UVIgAPasoiqiRg55fDYb/i0o5iN4k7OgRkBr0vTdVMKnsVduSgP+RTheta69
Vm3loVNihjiY4pY10QZcUvPAGOus9Kb6KqbpWu3gn1ame+DPdD7EguQ1PEXzK2SJla/z6wzdvC6l
dUM3o+sCBJEdO7jzArGZY2Et6rx4MnKb6qcGwvM0PpvdwPVF1mCRyT7dvi3OqYF687ki3drIaGUo
oFnb+86etoXdvvWKKasPjBsLP2DArR8xsrrQ1AGFEYCMh5uNUIQyceYPO2cx0XyMNzC5i1vepJlZ
YGGxJVuYmX7V2uXKLbMtzMraXTVtXnJeHoKj3hV3Y/OYVjuDz9xjhkm2mCgjDZll8MqYTANTSHlx
7e78hHGgEM24MXuoFGo3mMuu0mJwiCHbFqX8iorXuuc4hFs2QaEPlr6lkn6+7b+tYK1+dFiOBpyh
r3PfYKFJmv6O0bFYmaxwERlIT7DUHXOT7a5c8zo0vYvc3YBaZAOsOY7XDnW6J48uVhl6OLgI47Ho
LSjGcvWXhlzS+dBSMIjHMCIhuVSizAscd7x28P9LofY0hvObfPaiwjlexMpaZXXdJRnHAgaWVW47
IdzmgKy5OI6muQD+tJxV5z5iER46lk+SBb5M2+4iVuU17IiU1XkadetSrktnlupFCR5JYc1uhnlw
TFm8J6Z9zburbcgyHJuYtSgrejdxt7Vhcnrxh5fGNu+KwnjIVEGDAev9ODXYQlfzLFk2dxYuJfy7
7CVYmRwH6Q/IpVMgCdNzFesA/1aHcci0WLUW7kj8BXqlrGoj+TphPChjcVdWzDe1+VI3c7FUM3Gy
sSrYXaEuzCqkGZgtO8QAfKKqr72oY3zlYHXgj4fnIUaOaRNxm/X9wCfEgPY/OOEKYIFny9Ua6hDp
ILZtRcuHaeKjJ9jDNaG+a+Rijo7eK/idbKm1vcrmjjH9PJGrPM7vcLkGO5TFAvQoR1m66IQTe2am
yVGrfVfCuV0XboWa37kEhkpK4OT6sJeLRJ2N4hz4z8qUnYdsGhW5ctTG6VWRS8ipHEcmZPhEjYmV
eYL2J4LqdSCPDSYH4zQ7wtvIYUFTlq/RjN0j0NXsBmfvVsn1W6F3iE2EwBap8Cn4Tah+8Dle2cNO
ZKXv+XZHMSVPh7IF3zdgds1SrjXIMhzbUhWZaV+rMhTHgSxfMY4068ZvG/dJzyidOfwzETLDWbh9
fnciuor6d3Alb78YCuUXfhyKKEc0iRLrdPJisCQN+seZCHXVxleE1YeJDKvhJ9eR+UXl8mPwIw3B
hvDHmRAbqeOwOmScBLf3t5aQrlRIP4cuBK5PRlLI3rZN8tKW9tBPeedQz3sIagbE3qKqSnGupMrE
Qot8aJOpnouSdXI73UgAMfmcQ0BqzGsN+qvg00q5jkM67dQVlUIablR2lpUbhw5Bzxv0Jj9j155d
8+AdTt1olucoSMVriwi517MhuTY17JYma5x82Y7i3dcjzP0mi0Atri02WVVbPHF6wRqh9Hx86oFl
mZtuEl0bvDnNrRdapCiUN6L5Sm9sdCY3zItFPmnpAtma4cOuvFGPwferMVy2UCQXWdb5Nzq2vavu
Ww2jGltJ0GzSbwWNePEpa6y/NzdqIg90XrBTISctemZ7Oh6JdFH4aAm1v6xrzWG3V9R0QnIaox7S
tst4lVlRFd8qsSyQrPqEMslRRx6DMiNLJi3ZNwnG09iZsoNy5tjrCdaadTntnbakOVlOxmpfu9ZZ
L4dm/9v8nMlRGgQ7U7VSyQl7inLD2LCfiXcTGrHrFbN5NWtNL3AfMqgXTOwtOtK+tJFDDxaovp1T
OVF/NWOkXE9sN6Huh1yYwyFz0ylXvs9j/2hEBp/Rv56RZGfqGp3oNWpef+FNkF/8cVfQaS6i08iB
XSJsDRv4n7cF3fhCCgs/gBR+iJgzxXx4E1jH6LD4+Vv/8VUfoxL3Ejj8dBEB7wRExBT1NzYrPwtF
LGhY4aBcS2s6YRt+8M93BStVVSf26/k0t/eV4y86LtJPb8wvJnb5Hf687zhyM8T3AFxo6q7OS8if
4NN9h/iIXY6loZ2aUeEcs6bemU3MW99vf/86P/4m//468v736XUKRStZnVqk5yXivz4fxNvvXwCb
5+9/E0S/z68QkH6mK5rfRB/FojdvBeFXKCGuwo2zX6EWLpv+scS0EV20LGu06J061yC40IvLNif3
hWesOrOtgEAQE4p52cXXAx0oI+6H3/+k0qr62/dcjsef3gsjUnwOsPK9MFYUvRJbvu96Ar+aeRpk
vxG1RNGEnxq+AP/VsaPvyvFfk1vkC/z8R2f+tmzu2uD2ZR3n5x8gR05se1VMpwknAA4WBPjzhPAh
GdnSrNiMk72Du+gAcB+bhdUNVxrnMyargkiVqszLGuckMzM35XUbqPvBbQlzpxn1jsZ+8NUG3rkS
a7ejkcUbI3Ghd/v0D+a0zNd2vSthDQCkW2Nn9/p22oTzqbejVRZwuOUJBrF7U0Moz/QLwEug7B8a
htKguSGedjDaFLa07fXoSTq99vjssWASeY1LL7FuIJVXzJswGrnZR5NGZXsH/ThbDTR1Vw9NDGhS
Yacz5Gdaa17G8SGmbruH+nKbWSDSjdlYFe5Na9qeySE2lqFZKwpMeD2V46kOmd4iSR9RCxdZhrLm
Wn7jJYH5vev6L/9CkoPx6S8kTcg/fPDNnz4uQ4SI1o7NfFI3xtbfzeftvbEBK3hqFtp5u62W9QpA
+HJaG8t9vc/WhTc+KjsqpTbqxj5E6/j70fIvfyD54fn5ivl8m/jpeGKmacdij0u2SHYFuYbBw2WC
z1f9D7ejX12Zn1/npxueE2VzGoa8jkIO42Z8q4IlBwowETQh/4dP4Y9v8fc70ucPwU8ilMvvXxtu
pJ9CYxnTukVyi6TpYqBMi5KwE4eK37/gr+6ALCWwfDuUv+Av//FDl4H4ECI19NPAdjOfX3rl4vcv
8Ksb4OcX+Om9U3PZAx3orIB7r8PBy8KRIsf/8Fv8pxf56S7rji41Rah6J7c/m6t9a9/o9tPvf49f
PZI+/x4/3R4nntVo5JZ+0vlsjymWe5vit6NLiO7bC/1Xn44O0WtdNMXX9n/J7/xalFMdBWH7f378
x+b7PwfvhaTf/PAPq7wF33rZvdfT1XvDYvPjRCD/n/+v/+O/IuU3UwlP5/kti3Ivato6em31fxeD
Df7d745HrzVYnrz91dlIfrfnpv3f/1OBHvUFHxkN8NQzs8H9SUZ2bBTmj/+Fr/o4G6EVGzIuJ6eY
fwXtPs5GzhcVUg/ZN8uB7fA3RybKX364KX1LalBNz0+HfZSdnPXThWLEfY6KMQ6nkQTc0iS4sQZN
GK/KWBrxxxaDesKjaLTM/nGIs7Oygdpgq45A64giWdjWeH7uaFdBYK/wlyHKTbgxaU5UzqhzfLZ8
fT7Sivo+2FWzEjA0F2XqXxudYh9waIWLqTeqdTn21REC3yoOwju266uBT+KaXsU9PoK9WWtfk3G6
G0L0VjM5VSmEVE3fuhHyshuDL4kyowQfSi0dVcCpR6iAumYXBRZ9/z0W5u1gK09Jr7wPPfFS4dNj
Mg54+Ok7fqsyrCCJqhxbxiOP6lbqAmhoW/Su/TKFQNZprtCWKUIvcji9bB1RvDArLnU7WNkFZHEx
mfBkOvwgQU3V9CGIdnZpXFWNDcfYf58lmDm/sDUQvkadHHMk03mM77PKWPi6/xrm1k1vYXdU469T
II3oqX7pyB5Hp8M82QcNqWLsYlPXlrSfhel6bCm+qVzwHzVRuYwOBK8Vg7klJh0vjTQEsp2zfJ8L
c15m1KAtG5/aHMgdDWYB7J4hRv9MMTYdqu0VOGyd0ZIgRTwhkWqR1XtWoRiHupK8VfItywQa5Z6o
/lXRjLAm4fBtsGGSTtMirzbaCARubG07352SuzxQRHDQmzm7p3SEjWfKwo+3r5+Xo2EPi36MgOlY
ztcGPOcYEkVsazi435Sc9puqU1tz9Eanh1Bo7yBfHZmav7aAH5+EitMOoAq0U+m7LaUDN5NeXMLo
d3UbjVvsyU+J9Ota0rk7SA+vUuLm1bH1uvmwMzKLLkyfQkTp/K2xACsdXmASobgd/Dnf9NIpnJlZ
tRAN+LcGG3El/cQGxuIRQvwNVwAwBJPkHZC48SKXTmRHepIDzMmNdCmLRO/JoYTvpQbQZjYnFai0
dlQcaW9WMTpniqUh2LXdtpYuaB069XVlV+mpL0R+k0i3NG7LkOA9TmeM1G1ro1bLsYVmxi05SVke
pECOgSWOTXiCnuxS8GzU4zJLCndlRbCnYcuRiI98e99O6vPol8sqHO7IWpWgCtSJauwy9gLT5RQ5
mspOUdzhKYmHgadq5XuR0+YbyoCS14Ql6jbtBtKelbNPhnDc9iTvV3XrzqZXM/tgGnLry8HQ/PMQ
BunB6adjwyBPsoPRgdgRn8ysx1GtOqPX6nlzUJyZJk8tATJujfPqv+WBtHkvJFat+fEB9P/184hj
xO+eR/n/8KL34FePI77w43Gk2V+oHyam/R1yIseqj60mCh4HKslstKCzfYsUfjyODLIHFk1ePCi+
GSR5iHw8jvQvFrodBRuqKRyqx/7WqP4rV4fJ8c4xsPiDXgSd9OMBL4rjsAmhZh8gdCLRW1S4BtTV
2VayzyJ67Yn39bPA7gUZX4eonk/zdcc6LmA/cG7Q8/WchPnSaLFOqzS0ilTTLsi8QVCJexI5i6bP
3VNWtPM+MLo02lXtpN9QtqZYO61R8Zi5rtKeMt/w98lkq+1KT5JYu44EMaWzOZjT5tXNA3s41EZZ
W5dllm56O0/fCeuAessJOcNCYKuJFQpxyv2mU7XV1O7MVG/4FM+o6ytf2lJmUxBzElWonunStlJX
FWfmnMKNVUiSeFlXdbvq1Ck6s9rJPPf9uexwN/vuc9dQ6cTj12dbIUxI8vgCuotQt56Bbj7BwH6N
bQJhwnSzZWlb72WbvdtugZe+zyrzjXoIzFsQv6tg2OWzaq3bROmeBjKRi15XeagPSadBKxkAxrAw
vdcUPsJuMvivY2T328bI9V2IyexcSXSWvVrN1rLqxt1cltXGlDSMmlvEIpOJCMuBNQbyiR0ky2P+
uKVn42VohgZDYpudOZ1bLC2/FofJsuZdYnIiiHSiAqYbbgTdyIs6oDOUWEaMfwXjhsgTr3Tcd8cM
lY3Tz9tUIyKKtLiZfHZ5SkObcuDXLBHM8UH63bxkmHvMftam0AhFdO24bMN6OCYG9cVqyC3aTa3R
q8FoEvIq9ROwmeQae5Bxldt2/h6rJsNhFeX3cW+yCouqt5yR/+yfu9b3tQPDze/vWvviueqi/BcH
cL70476FG4PbgaYi7MvD72c3GidscBQI1YKmHxMX9edjtMEPoWPthnzM6Zvx9OO+Reeho/3rm33b
ZHzMExffR3ZGkb8c7A0hR/c/R3tujkiVrimdIiaZKkTNH29bZKOycTSn+jQp6PhsDOnYw8yQOzFY
nTA/RSaCQijCo23VGyR267IiKbiYA/XK8M2rpO7eCwxoi3EMqeroz0KhrXtW7ImuL5UeuH+unTu5
5s06y7XeHAlMG+dqOpFw6LIj65q1H4jzJlTWxaRccvi4FVN+b3GFO37FZ8WhX8KB9ZMDlSi8kL5Q
IGfGznLCO0zmS8VUL6ckPXZUytDZccT42WKYGs+p4tlYNRGUKLi1aD9Q+I1WaT28uFF78MH4tbXx
ZATcBNt2n/v2ujXcs96sjn4YHt0COuBsUsdbHjsg6kZRHWiauBcmJDUqMVyOuEpCKbwWH9E2V33H
YauZvVDtH92ouQjD7hAM05Ks08aETU8pyLHWodG5XxtaTlYZwHpqRrr97DrP/kCdg23ex3G/U2Bi
9FZDmdcMqC32snJe2GV9PTUTQZkxOgWWwKRC20xs31pNtp2n5ipz2pdcHzmn5Ud2J+e9nW2tudtn
9bTtKthMAXiGuKTcj+YR390ZgXklQkHoXCm3rcjh7qXDIen+L3vntdtG1qXtW2nMeQmVw8EMMMwK
VJYt+6RAS3LlnOvq/2cruBVof9NDAcMf+NgHjW5bRWpzh7XXetfzWtJEGYpjso4bLdMvndyc+sgP
JyR/zhqpPvFU4Q/eHpYjhgGWdBk6/aEiu1/0ZLjxHG1upoEyKfBJcGGF0vAsF1MrKdaBHXfUrwtM
Ywa8oLPA3Fgt3jp50S9tOtfoN8m/qiq7bdL1P2A3ON6kLDkE59XgdJw5lV2GK+pT/mGdwQw608ex
x9oJCwtt2Zbcthyl49sXcb0I8LOiiSeSnV9GWZ0fpWbZTitxIVBiRVsD429n7YDPdtzT78yJqNJV
PIaXqqJS06JhCwuSVZjSbA5hzJ7zK43TVB1HOuSEKjjH+LEWl5VGXFvwOTIwNxmuAn0oZrSooubT
sOsbxYWHZCSiS+5ANCHJ88gk7RlyPwrsAYhx+LMTFydHUq8lblKZrc2IcM9G1Vjo3LSKKurY/tsp
es0HKEprYH9fJQpu4boU1zX+Lhe3nGNY4y4XiDtdhhujuOSBE6sxJuDiR9MzhiW5/sPDOWoii+th
XhXNrNKd00A42Vh9eO9IxPWtTp27FRfMSLUfaBb4ng7qjcENlM8PtjOTq+kgrqdazo0T5iAMkjSE
CReRsG4RKuG1PtPs4KzlngsU6YveDz+RXB+F3IPxDMQPUcLlhRtyMOLzkMTFKWdesUjENVoVF+qM
m3VKpx+9lFE1V/1WQ36vhZNOSW876nizqkjupUwIa/qOOzQ43kUY9YeuFC9DGScfZ2xh3kLBwqHh
LJCtHxAPf/R6SyNfjz89GkuuWDRYWH4MKoxwSS0w28khKhaaunQz9bbGS2XCNoVYCQSa11SkooPb
wQNP4Ej6XeAWycwEuEtK4IfUlLNKpQbYuzJWZu5XjUvUdKCvbVQbkhG4eZAnUBG3lc1kLPNrv0PZ
I4fDgGEi33vvureaaE5xcSFnfmkLuHmILJyOJRpEA3QwlmWJgzIfT/tJNwTIFdcTHAMS2xH+k11S
HGKbY/LZ2qPcrs76hLaDYWwgcmq42ct0VrdfUlk+Am9CT5mEcDdAJDRp5P4k8uUrmtyOjdS/VgYL
m8MQG6cybCe23mkzs5dO6B1UqOJGN6Wvo+tJcmsWWznekL4fpYuyA8BDQ46rT3BtlXHobP1Dnfs0
tFJ9ksq2tMTlC7BuirNsWiXZom9UmBgDcSeuzJbSxxdBRtXj37HIYyyic2z/IRbxSdltPoYh4qd+
hSEK+k50uUJyiQGvYKu8XJ+odNJNbTmk614axZ6vT4/W4ghFbVDOIqcn88DnMAQAlopW3hTgyWdF
xbu4409xiPGx5EGvGh9CIZwl7KGv+20cooo3z+MiBg1poVjTWX6K3n1pLRNMXiGd5b5c4l4arKNY
pVV0gM02wHe1qbez9dsPWROskSBdYyaOp4pCuQbAbD6p8Jxjc13ZcYNey52Dml11Hf8G2UiKHO9Y
TflWGTUcaDrWtN4HJFRsfIv+s7p5sEJ/3nGy1RKQgkHJ10Wv35H9XHoDQiStylCvBUmzCvNyVTrO
cRXigMgWPuKaQ1YDGIPRYjCT3Vhde9qpfoMtnB5Q8VI3MdVWVZZvCRmMheW6zTQnnbcsQURMueuS
/zOrI8IgvFFxa65VaeVo4TzywyvYLTkZKa2bt7SHpooAMNv5ojMFKIIPd0ybuzod7W6cSSmQMAmZ
l6PF9+Ck8+WgUhoIPBqMpMG9xpH4Z5w3/UxOO4l1Gq4jnV6AgIsLNOY8niKXpcDWZwOpQnuOouTI
N+p05nXxDWaCEreLdIaNy4UP+26S2s6R0hKgWUa9dlL1uvCbJSq7i6APpHkzgtIako6NwQbsjO4V
l4KL3ocGotvOtzBULocqlyh6ZhbJQi3BPVG7HpPgW4RVVhcnGqZXEfmsANc5TNDCQv4JzcVcgcLQ
Z2rQDHOfrlf4F9pFU/tf/ZDP74EnJFYVPqbY1zRmBiAr1fQ5lt0PWUjfaxXT7QvGMagQ0teKOcXj
aRLI1D0H10knWerfknK9pH24n2Y2KLGRlnv636NJkUIqqQcYNB1YXdqFa2emJJG+pBHyLMts0fHI
915BNlT6YiIn+TelCU7qMDgpAyyJJE+xaXHgxNZViNFOhQklqU0AF3VO+1x2ylUZey/DOoxpSqcA
GpzKYfatCItgUcQCRhKUsx7loNnxQbsW+2MlbleFIp+rajXNjU7ccLmde81hleY3jdQusypd+1m2
0M0e9EcSkGquWgdhWoclWuyjbpPb27EIYH8RvYf9sgtybLfTgi5/MzvDlvirMVjnWdHV08hpr+wo
XtTYuo2ndbt2pWAxyM6h16dnipGeq627ig18ixqToFaYgQpPsQZjkibzx5k60t1h4sPDBA3cqSlB
yi9gk2YpD00TI59SgkhoIceeLpHbn37UR7M+0SzBU2WpRtWPnlOry2yC2745zACLTUV/yhL5zqGv
YMM0YotXTtAcBxM7dfqlhIn73Og1dwq/vFs4kq0tSkzOvd4HhwSijIBEv2+MWl80fnSfae1tMTZ3
kOLCeVaRDPe07nxownzKrZ3jvjbrOdtRq02NJsWdCWZcfczeI9j4OUF9XxABpkl9aKR4oQHNIadx
A67Ttpc+lQHsyQgFva5IgVVbfTmSjgUiO7dTSSdL3pJtWnEVRHVEo+kYnOIUODRXjpwo9VXnlJJ2
3PRNdtwBSfBvwfKr7VlU56vMqxU03VhZZHqkL4IAe60CFDd4gMvK1SBSRP2RrqfNopRKQnDJPDas
PpgZNA4A7jbvgD9Uk6g2ESiH+m0kgfn3BR9Agel2pGVM5iilcZ2/TieNkX3PXX3jh6U6q20K7NqI
JbPjt1PNF7LStFMnMt27k7ImyztE/XrAUbkPnHAR5dJaT8sLyW2OEzv73gbdz1HSpl1PmFIpvTzx
cgPfUK0/8gdy9simHSvfBDiqmYGLGlWF1K0h65nUdXclq+GpW2FnFg7fYl/9OSoyT/GMn1GbEAfh
pz4eqUOPrtQoocSXlxFOBThEozbvsbs7jn1rLUcxars+23TeeOhrWgm9qzenRTDCWlSTU9MSenbD
8eayJF3QAqPOOmxJZ0HfrEd5OKYJ0Z0yCvnKSnGtqjK5Xmp6y95OccRyAgs6FTff1JWu62g2Gt5X
tSS3ZushzYNSBNcqcjrenKBRCIMhTxDFU94CaorZfUe/5lnS5x0m1t0JoBJ1YtuE8Z5inQVdum5i
i+IQRFgHV9wqqVZeU29MpxvmoPmvhlgq5mNCo4TrcIAYYXPjNtgMNF36FcbLUShhqW41421TOP6C
VaczB8h2k12VpmVWP1SOc8MGvZBz5CKJX09UT1tpYXYDJmspBVY/heN6WHTaecvlyzGyHwEHHSQr
+VSX62PAMO4U8b5LFkEpYSKV2LG2HAl1501Ug8Daj6JDxxjsSeul09BWi2VlBN000KuzKGjOiUQW
qVp/aRPuG4ANKfmpTMBG7+eRTC8cxceCZB+Ob2D4/amFme/MjNolPnXK0lR9+xDoozMlSXsm0/Q6
sa36qElh+Bamc4Sg/SbGOnI+ZByCbFkLKRi9pdQpGOo55hSuILdSVhoYRpWKGAxcqSLtUadycjiq
kN9aeJmI7wsX61aUhXpwThf7F0nOvAW5B8THgcsGZ3SrMVFZEoZ9rpJs5JbJxcDM+jvUNV/xoaJw
Y92NunbXm/ICOuFtFnm3lDzMWQ3Q2k3yWzmzV5oObtNWj7UQu3mVBnM59o/Vstt4pHUbC/RhRJ64
CS6AJHGtqOWrVBebuGRwE8cE+N9h91PYTZT8h7A7izfplqqFzk+9CrtByiq0TZkvebxfYbd6gKQP
I28dKyXBY3id/RMpP1aWRi8yuUMSgy/ZP4roGksGfaFOVUOjKv4Pwm7gDO/Tf1RG6NmzyDUCnbVE
kf+1Fky3k7BkHQ1ndu2V51ZIrBMoOXifWFePhi6Kvg1KbS1sBGPrDrznpB1bf0ZYO36xnK6+8uUs
XtJ3ASuVPqu5JdUlOZPCBx8jn8YCttyK8pohCm2krfn5FoH2jJKgPYcx168kgsZepcGgqv16hT9h
xE1bTpdhCsdZHmg6KCncf0983zvKCuEELdXhTBWFwMq2cwLq4YujYtoreKxuYtE2Q/mwzqTuOBUl
xTLr+in4RhctiXwWicJjE0QRFKACAxGqkjhcCRcPATSRH+Em9Js85JDPdISByYzmC09kz775gooy
uu00AJMSglHHdhJyijo6NCXplnruKR4ohgEemVYu9Dy9MDLIK5DgpWUtaCyj4LL4gtASa/GxIpgt
Qa1Db/GB00Vxqs9bwXYxldaecGYDXEhALLlZezGWAMDzGPoRoPMR+wny/RGpENVzTkONgL4dGB1J
cGUg22jgr2HNVDjdzAbBnykA0ZDF/I6wnBIuLa0TIFnhXIFP73vFWE8pAflztrpyFguQvQvRPgSS
MAjEfQ/rPnmE3gv8Pd5l4bqHiE/2k8SH7GVQx8Hld1y6Ivj59Hpd0IynTaK+X6oQ9tXHZiBdYPdL
+Puw3c8zePyyV8H+Y0PLoT70KlQGbDPnroD4mwLnTxbBo0mNINBKk+MK5r9hAP/H+Oiq9YENVZxo
AgSoo8OTzyw8A+CPLOn5Pwl7Z53jKeALc4FR2AyYLkgBN1yM+A8kI/gEE0cCB8920PJ4FBCC5XgW
0BEO2gIXA9Nt+BN8DRK1/KHRxjRzcDyAOrkE9XdTCCsEatJoFUWbYP3I8S4iI6um0E6bO90ey6mi
GTh2A206cToIx3MLs5oTBQF6Q4cdR23u4HZvYbhy4uGtevjvzfhpM/5zPSZD8bItB/K6FKMeaFgH
oa60jWd/jV+bMYViuvK5UrxkM14pmqg5cwXVLYUOknckOko3Ks8Srh0opP4RGIDQ/c1m/KhJdEQa
BkE2cDtLJdvyejPGKjvOIzmUz9THCWSIuYTMqrkrw2be6jCfZQGURz9MfKQ4X9waK1ZXYOcNw/pR
J/GVJYD0qqzOmroGUQ+rvpHkwwp2fSQg9qXA2QN1oXEJxn2kKd87Qb2HT1odJ0VxWLTkLcfgTKul
Q6yB1yTsJkoJOb8RDP12IBy0KnuVgtcfgWRb4PbrzsygjoznJLjdaRx0lwiJKYJYEiXwlNqMpLBU
pGtJcPxdQfRHfAXuxDyOw9sY5n/nkQYNjfCyEnYA2I9AzTeOExmjANztl4OwDpBz/cwnDT6RcRUY
jfy0TZtju3Lvc6c7DpAgqsKGQO/JwXqpu+6ERYGngqPDs6AS5gXlQAqjw89grMovAf4GHqmdCXtl
McXD8qbHA6ER5d8M1U4U2etB2CQo/A4uvgnBmG8qYaTQulEw74S5gi9sFlL8FlxhvFDayQ1n41nV
dN8TE7JnhEdDbxfL+tG0AcjfpKWmbtO/WbjGWaRi8AA7ZtV0WD4Mo/MlNJ0FLWNrNF5LWZhDVLhE
pMIuosU3wsY/oqswkuhwlAh8GhphkYdclqMvhbCdgLN0a+BDgU6tnNTCmQKHClXRPBriPISTuj9L
cbEgFVFPFXwtKtchlYbThYrjhSysLwiFnaPOhLYCQOI+9awrzx2WOJv18yRLjoZMVSaNJj3QPnQ8
Qjs3qUbw/1ZpRjpab20QdmoAdy6sz0kixSdOn1zDtlPACzm4Y5sEN8BRXJ/7RfWT1tdVaJVLk1Nn
inLcw5Y3WitNMc+zhhtZRLdgK1VXSlsuaQz6pg/K0vHYlHPbIMMGQajOMn2WpgkifX9YUCtZ6PUY
Tzmc54Ooa+nID6fRWK5zJ4YYk7iIIQZtqXrZcWToi9ihqB8RkOhRdxT6dTj1y+G0pGwv6+5xjQk9
5aPAGu4a2pm/+mmtzXzPScDlYsp1qeYYlnkTu0ykCzl3ikvAFgTdSh9QQpQXkeSbQNrcn5GHe7jh
yBi+kZCUC+vISvsvlVn+qCPo9HmWXXBuLSU/ulBy3FiwbJ+Sbp3lvYU+ymoR08nlwjbqU0WLdX65
fF5YlOi0Plxlda/PfReTACe2xmnYVuglaDyEELTQzGHTm+qs6PvvNCvOZWe44Yv2J3YoAU+STtLC
X/qRdJg6GdA+/FnCeOZI7ipMhkVk49fW00A86CON8PVXpShnvjF4MzXpF20CQV0LILkH4JWht4oe
7GVH0ibJE76QLzVIiaFvhLf7tE0ajGRwzotSazYk1cwPnNskDKNJVfonbQ6wgkyTs+gTkxJJlK5g
0J+SRLurOli9Ne1VvUXFlACJotMand4h3Vvo7lWc2dSu47s1Ji70p6Yq75qyPQt7e1aF+rUceOQJ
BviwkQWqyKDvMsI6RSalWmBqt0C8dWU07kNhEk85LRh8CF7UM9sVmM1+KhXGSteSc1ceKWZTvQgD
w57QtDX19WbdWelxj2E6EhFcHz37GwTOSY1RSEMoUkJaAjcNDrj9Kqv5oav3C1rSrHkUxux/fQpd
1Mwutcapp8FYnun4rIOcXok6UB60p645XpN7mRRqfeGqzVFZtBCaDSwVnWE2jurCNMu5JimH5Gfa
GaSvkV1YWzhGfYyhwMLGGGHqDGRQc/lH7FYqCZLmu0b5ddohMThULO9cETVAz7tQRvvEsel3H0ey
dubYHclmhOKt86dR7tFAJwWiTmw0ePT15zA3F1E8nKuO/RPnN7JzOVVPmPulLZFfKlJ8d+qzoc7P
a8u+gf/mTxODwm6fGA5gGjW+jbDOnHl5+zOsmmMs5L/ETXoY0vnuOzirNWVw2cBGUYPyp+EN86ZR
8lO/7xdFON5EijrSskc/O3rFKjUuSskF1yU73ySz/NoX/TF9OiT6m8Saark9rRVuwtTf/F4QTL1j
va7ZxvXh0C0cwmio6YNAb1bRF2zvumimkCRfSGPdTe3ensdycEiKHIeiLoEdlfn3OmqG2dBm/awq
lY0zjmdKmWhzwgXQXKoCWXIEnakBC6iJSZ06WqOzZLscemgTWfA1C9XzjN57ChNoSDM62/3qziBz
VMukHaThrDIRIKnsX6VFa2dqpDf9IH3J++w6DhAQdak2y6FHTuyhO2sjRFP6aF+NKXF+3ITNRUlG
eW5QNFnpqUz4TBc1akoFKfST0Oe3WhFV3AXfSEVokUOsopqCyYumTjQHvGpcqgpb0QdHc86Uq2Ry
ayza82I6TpKps7m+rNbYt8+zab0KTgCizfxVtvCPQHSFa3/57wD3KcBFwf6HbEO9gZ4ao5HbUujj
J39lHGRBq6Kjz1BNjcZFbvy/glxBfzGx7aZwJwSPb2T7sgVOHTEkxSH6Dfmjl4yDdUCuAQwSpyaA
bZXK4T/IOKCvfD+LbDp8+AhQtnSu+vI72b5kS1pU9nF21hCzjWvcrozwFLpkqM5rQthzzpYW263Y
ODXy4rwRbnN4zcxLNbmGwcx9U0lOCrX8Fg/ZUVyll0GCj5qkZhMthPFiGGtWDiZuVrf0tBZQXxWd
YH7ydQzTB6Q5sIVbtYKZYGYXhkcTdYJy3KeDrHHhjas66KW4Dtd1I2EWYCMT1tpU+UE726RvOy9e
dB6R3CG3gjI4UiOzxjIKk9IRzKVjBhyDGo6PkAw5qMw2P7QCK1kWFoiF2B71a82tLRr8ki6EDeXg
YHNShkH1LexcqmitlqiLtmnDkaAoPLZwZw2nsWNUpHtLA0X5owyGw7Qd58WjPCZ5lMrEiGYaFKeT
Lk6/WkJPQxcC+kKhsEFqk7toTC2hvgmFDof8x5r8Cqz9qtYnxH7zYnQxtqXImbntjYqcRyrHwxp5
T0s2OW27Q31IZ1AtTvrOoO3HRNyPMKiMVcp1wSaXsmP0QRKYy2bdCC2RhajIFlEYdLPLtpEOYUXN
U7c4tZEhQUyeJFK3UoKaeDNZgQ498Zz0NEG+1GTlDxk5k4NCQ0XeRIGJ0MNauYp3Zvq4vRRxfhUj
iLLSYBbn8rJDKFXWJMf77hDd6NeE8x4O+caxq6NYKKxQQqi0c/1MFeAiSLA0pFjUi5Z6jpwnq9Yu
Ui2A89+gYRCZ2rMcKVeK1A3v5DMbiRcsktO0ojsB6deIYr9FCqYn6SnfJQUWCkhIxUJw+xXSsVGD
AYmUjJvMMjfl76oRLmykZrlW//AytGfiq/csCtQl/K5EWdqI1BSh1WmQrTVwA4ciPC1NFX0dCaVR
ujGQuUHG9NBfZaQoksMKIZwd2BMHYZxDm0ibxl+5xtxksn9ZI6Bzc+NEQ1AHtIJSIQxhc1BOOiR3
NLHX8I6VWYQYD87MEXX4aemj6EKsh7POcYd4L6toHbCH8qG01MvW6S9LofNzvda4sJD+BWaHBtDV
Ubuq2LLHcOeIgZAKBmqmCcoR42X0xZlsGrBfmFKNcBxuK2lamB0plsq5H7z+VO4B3CQaEaR30Re1
Oesxmm7j2JppRfG9Dgemn2YCUcboo2iHhaS53ykUrjsc7hZ20lwj5iUGwtg+0muEQtmIsIuL80RL
dGsq+dSYQLCkKIiUNWDpS73k2inpCWXVnm8cr6DzMJeWlZ4glAqzVU4kPJUqK1wQHK7rsFnirjw1
CI1l7ktzZgfflkqGEIfm88L1Qfjo1TGA1BKX+Oo4ToIz3Y1OtALHBiryiVmc5qqgNxXJXa4nfBmj
NON63c0AhjJYtXlhxPYhjBRtVmahBjaKJl93RO8o4cKSyZD34JWGhJ35SRLEVI8JX7Bmuq1B+U6w
PGynUjKeNkLLFgX3psZNULJVQFCYHfSirSgN20szVb8AODqCfr6ypSZeIKAE3hl0axi+A3ovdoBE
iun1zVPIeoXbTCj1FouwGU6yQsFeXAvOoqi4ac0GFaDfX3smtpU+uLlU+IHY0RmWnsrULxAta2WI
5WeSTulqQt1tSN0Jjt7xsW8QU/777H88+w3aBX5/9n+hW68pt2S3xI+9HPyKfWBqqoqLgawgOBbA
gpeD/5ES7RjkHTGKRa3DmfzSIKEfYCgLio2mhcckFjmpl4NfO1AVXTWpMsiWQn7rH1GiRXD4Jngk
dID6RmBrKdx6dREWvAoee1ny2rJMYUQLHDKZUK9CVgZI+dW4nD898DWCEETDxzcyVGrPuOQCrKPB
/e0bKTFOjSauKKdyYzg3OK7ii51g4z6uCEkMEmp12uiHVeWOVyH3hImCWe/X0La8b3kW0vKOtOdY
ge4zyTl2+3N/0C61IWupJQ6ehU1kFFba9xZ8sX3euUXbLkKFbESrY1VtRlJMf2+MFVKQ55k6z7q4
aae25LnCmd1Nb5H20eVEXk+eVemdEesd2LQ8PgNwglpFybllLTK31+g6ayZSXGUA8YMu087kVjGi
kzYOz8o6AhmX06HgO+dYZzwYVX6fFt4C07ZrCzsEmFBLQzKzpYrmZCLl+Lvr7sJJUD4kh+6AUFWL
iJm4zcziofjpY9w95vqpouY/G629ohWRfnm9DL9ZEVAzx4uatWTlJZpUwzyKA9LrCDhhban0MUuS
9lMPq3SluygO0xoQKUiuYhLEkoFZnmjYd06rlO1vVO12Bi5OXdapdTMo0m2skrjMQp8UUl17qkWG
SSVtB1NzToY0mNu6eEStcmM3y5tSr7V+ZtqpfwlPCjkR+fO508u0SpBFZBRVnCSqCF2mLpVoVozx
sqBf48iX0Gv/eY6popXn3VwWWjkQCvDVyf+KPO6ruVwM2MR6eAucVvNkg3RGuRqvrAkXb64/KfHK
BBuFOYaLc2phE+NIX2hzNujpv2zGFqHy35/D1lnqVO/oawLlKENef1e8A8DaNehzs1NX9Y6grfbT
yCtcrq46ygArcuYFTluLUjXBOLu2vPas0j1S+I7MqEBeZQ2nDg09E1sdv9d95iwqFdxgXecL1x6/
4/IDAcGVyDCP/VdiL/zqy4K2uIqjq+9cKvs+cg+gZHOUdkuEutMQaGsBOojCirMaNcrhqrrUQVAA
JCuZFA75zCRdhei1MirYExoH5l3nnaguRZUIqfWM3kcqOmE1YxGfdj3WJoUnMkaad+N12Ypa+brp
bVxj7XwpR0w0yykQ68jh1Z+/4rebCCNLHt4Ei8J+ySVKe9+t74xqByfPLU/lFoYFGwE8tpLOIynw
52DsdHqYPLbrXzv6lp3rMbv/5tt8957vvk2pb+kOg4N0WngauFa0J+QfSVhbKz1p1llBTOWZZU6l
rJgaMYGjoafDyVjSK2xLmGcH9q0cVMWEmOsndL0FLIy1mpkXsjveGV7xPemCAq1ykf9/0wD03Oq/
tY/+l/pU/Ol5FqT1dfah2f5/9JdebrvbH7RbY/7jB3tEA/zxOfGGdrXmntZ/zI9gDjmE8fQzihcz
N85wB33648eufU5y/tEg+/Bib2IWvhqp343Fn3/Nj+SCj8/5/a/wOmNBqZ+z/9fK+DWq/2IU+DX/
HgTrQDXoWXJgWL/8km8GgXgH2ReRBkLQx9c+DAIpFcI4UBCH9//5H0+s3+dv5ykF9z8dCZ7zaigw
wyI5IxPxvJ8I8oFFLgdw1NMg7cVE2DIGCjP4H8+Gt2OgH8iGilZGZ2qJF+fk2+lgHwBaZ5yEcIbX
fg4Fh87/ZmG8HQrrgPgerxfOrMfXh+0B4BkJQEsk+P7v94Ut00HbfTqAZ6PlFdQj+nnxooz+ZjrQ
dgntjAuPQ9jEaz+ng/hsO68MroSORq8Xcczj68PKcNgkSPwiYdjT+aDsPAh0qmB0pMCIIaJ6OxH0
A253uCdxuX187ekYiBm84xaJ74Vj0sOI0u/xJXaNN2GDfIDVDQxAIV7cy41BFDJ2HAQ2BqH+gSi7
fTVAg8RciwqJOEH2chDkp217l4ABwzCFrxlLzd8MAk3pBFeKou7rvqjuPgjWAc3ujklb228GQRZN
9g4Bwx5F0VtOS0EZ2XFROAeqWPecEb/ZGVTcJGyUJyKTtp+L4umD7bIoHtFkjoMO+zfzQRVFUFSD
yt7uDE/79g6DQLMnURN3BlTij68PsaPOVNE1YsenBfh/fKncshzA7e64HAgW8IdC7fkcO34MHjko
hRiUU2Jfl8PuETQQP5Wsovp8Top7yftogYVC/f6RIbvHEfTTat1hUWi4aOKLY1C6eFoU74eCVAP0
KP5R9nZ73D1wImaAuqU4HyNo9kWsSUE67uuWIJLzu52Q4v5ASzpxo/mbfVHFOo7h4Qzd0y1B2XkQ
NPUAZ3QKHlSUHl/vL9WKcQCnnHVCMkq89nUo9N23BBjvOgofwwTRJF5M/be7o0LEJBJOONPvZ8Qk
4Hm7LQr2RVRc7Aqw2J5e7waBajQ7pomnxd4Owu63auMAoJa4Sj3NeTHp38wEDgeqhI7C9rGvM2H3
C4R5wK9HTvEl+7rlhESM6HCf3NtB2H1PMA9Ir3AKklx4fL2fCcKTz+QGQUFiX2fC7rcoZjvnA6TN
322MHJSKoYB52dckk/BC2HFjFHg+WnMRumyfCewJjglxlGbbl41zL2/Vz+mfXWJn50ARp4NFB/P2
RYHCiCI7GuF93RlEwLvjfKD2hPRJZ/t7GoT3gdOjBY2IH+19DaGFUmG3QSC1gLEo+CXlOYRmWN8c
lGyPFGxISSpP77V/qQX9M0Im0s8o2V8GgVPn7SCQaVNxFJOdvd0ed48WWA5Um34lXj/oF9geVQbB
YXfc04NSWA/tthwInmnQeNRV/mZPUA7owYALsb9l2t2TCo8HpWVRn3w6BzkD3i8HZgIniL6vd8nn
qH63I1IFu0E71XPc+OF04C4Jn1fo0PZ1OewePGvkFkgm2uZvSlLw3elYYlvc26yCsN/ecU+wD9j0
xDA8a5q2zQQk/uCgn5bLvm6P2u7bI7kmGg0N8k3vtgQmAh7lNu2Hz3vGnq4JQbfccTpwS6B7jxT8
c975w+4IVpy5AlxoX/PO2u7BAvoMSo983c8XyvdrgvmgEjqzbvZ1IjwdXbucENoBLRuwSZ5TTB9z
TNSyUXWQXdnbQXiK6XcZBLKNBjp7Miy/Nr+3sQIXDBmLGmVv5SsfLEv/ufTXotIkg4YhOn56vdsd
uUkieaPFRvTcsv3s4SXq6Z6/y0ywsXF+7EN+FjK93xIYBA4PUycJs6eDgFX0roeDAXtZNYkLmQ/i
tSXbaLJfoOHZ15mA286ugyCySwoFJ66Kj68tZRiDTKPNNWpPZ4K+e5iAqzmYURRrvy9Pg+jWRDfc
y56xnzvD7gcl5yASb3LPv9N0KQdsnQp3qX2NmD5Q3v/xGUGtGikvITJNoNsXBQg04aLF9rGvi2L3
sBG5gilrqHqfxHvbNDz8IctGINd47Wt+4Xmi7nBcCk2XJppuX/oBOA/eBk4qTcMU7ilO7et82P2k
EDlHLtYi4fbyfb8fBBqSmQx7Gz2KdumdL5SUoVUk4M8nxfu7NV0Rphim/c00GTsfl2yP6FNMuoV+
c1yKYgyHJfLnp+rdvu4MH3AB//ik0BBzsgXiR/0byatIxEMulnHE3dOd4VlztsP2SCKe1IL4rn/f
SAjUjKjB2Nft8fmD7TIItEXYpFFY+b/ZHgVRSlWwjtnbQdg950inlIWWiTrs+xOSI9SidZBOof/5
OvgfXL1/9R5johbfP7Ym46vxyib8X/6Fl47djw941Wj62G775m8KD/GnZz+1o4r//q+3luKPqYNX
f/qSSnh8p+eff/4VP775mzd7+b1e/ucqeCg35Z0/PP7B8PxBhZ/tf/7Hf8f8637zvk1WFAVe/p94
74/+579Oxj8/PQ/Sh5cHverB5VT5+1f93z482dxn5cuDXj2cObPzw3H2rLd9cC68Oz97uok3LV9J
9fKsV5+d1b7787O4qT58pYTdRPmf8PC0Ljd/YZ+6zf1KrOSd32L2EP91mpVbx5/AdOfnz+O/ZlnJ
5Hl51qvxJ1m28/MX5UO1zaNAHOo7P3wZP6Rb3E9F5X7nZ6+a5EcW39cvj/p7XERH6M6PP0zyhzLY
xC+PevX4z1iyh7inb3n0Z6zY44dyy5gL3czOg3IcpN6WjUD5jLV6som27GGiaWLnj32yqaqHbWPy
GQv0JKv++u/Ue4gfto3MZyzR9eaeDfhlHF5NxM9YoutNuc2gWKhQdx538ew827a7Cxnl7o9/SO+z
u2Db7iW0iZ/w/PLu4f7lQX+Pu+hu2/3hGZ/95Tmvnv0Zy3SN1cGWR3/GKuXR9UP5MGx5/Ges1NNN
vmWii1TkzgN++tBuPsaOWOh8xhI9KzdsAS+f8tXX+RlL9Dze3D1siR1F7WbnYTmPm2RbcCcUCjs/
/DIgdKyC+y0jo33GCr3a3JVcCdJ6y3TXPmOVXm3SvyYPabD1DT5jqT69QZluyvutG5nQSOz8NYg3
mQUP3rZR+oxVK56/YAXcBdXdtvf4jOUr3uMo2xTNttNKMGE+ZZROmqD66+xHUOXbfo/PWMzi91hv
6odtz/+M9czz681fk035Y7MtZhAVxc8YKd5jGm9/h89Z2OK3mJbN+PJx/95ThdB691/hT47IjxCu
HTIJV+Qwtg7+pyzmoIqCIWteBuHVwHzKWv6TZ93OA/MnD6adH/6v+Pc7v4FIs2w5h0XtZecJef3g
b7bZU4maxu4PJ8aHK/fypL+njGh+3v3pDTvBliNepN8/4eEkiJJteTmR2N758X8GJ+86Y77hi/ry
IV8N+mes02/Njy2RslDN/Isx2ZaW/SUF+5isfeE6bvuxt7lo8Tfu4odN+V//DwAA//8=</cx:binary>
              </cx:geoCache>
            </cx:geography>
          </cx:layoutPr>
          <cx:valueColors>
            <cx:minColor>
              <a:srgbClr val="92D050"/>
            </cx:minColor>
            <cx:maxColor>
              <a:srgbClr val="00B050"/>
            </cx:maxColor>
          </cx:valueColors>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2.xml"/><Relationship Id="rId7" Type="http://schemas.microsoft.com/office/2014/relationships/chartEx" Target="../charts/chartEx2.xml"/><Relationship Id="rId2" Type="http://schemas.openxmlformats.org/officeDocument/2006/relationships/image" Target="../media/image1.emf"/><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4.xml"/><Relationship Id="rId10" Type="http://schemas.openxmlformats.org/officeDocument/2006/relationships/image" Target="../media/image2.png"/><Relationship Id="rId4" Type="http://schemas.openxmlformats.org/officeDocument/2006/relationships/chart" Target="../charts/chart3.xml"/><Relationship Id="rId9"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hyperlink" Target="https://chandoo.org/wp/excel-school-program/" TargetMode="External"/><Relationship Id="rId2" Type="http://schemas.openxmlformats.org/officeDocument/2006/relationships/image" Target="../media/image4.png"/><Relationship Id="rId1" Type="http://schemas.openxmlformats.org/officeDocument/2006/relationships/hyperlink" Target="https://chandoo.org/wp/" TargetMode="External"/><Relationship Id="rId4" Type="http://schemas.openxmlformats.org/officeDocument/2006/relationships/image" Target="../media/image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566140</xdr:colOff>
      <xdr:row>44</xdr:row>
      <xdr:rowOff>111126</xdr:rowOff>
    </xdr:to>
    <xdr:sp macro="" textlink="">
      <xdr:nvSpPr>
        <xdr:cNvPr id="5" name="Rectangle 4">
          <a:extLst>
            <a:ext uri="{FF2B5EF4-FFF2-40B4-BE49-F238E27FC236}">
              <a16:creationId xmlns:a16="http://schemas.microsoft.com/office/drawing/2014/main" id="{BC4E45AB-7A28-7682-F16D-AF6BC2E5D11D}"/>
            </a:ext>
          </a:extLst>
        </xdr:cNvPr>
        <xdr:cNvSpPr/>
      </xdr:nvSpPr>
      <xdr:spPr>
        <a:xfrm>
          <a:off x="0" y="0"/>
          <a:ext cx="1872426" cy="9091840"/>
        </a:xfrm>
        <a:prstGeom prst="rect">
          <a:avLst/>
        </a:prstGeom>
        <a:solidFill>
          <a:srgbClr val="00B050"/>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571500</xdr:colOff>
      <xdr:row>0</xdr:row>
      <xdr:rowOff>0</xdr:rowOff>
    </xdr:from>
    <xdr:to>
      <xdr:col>28</xdr:col>
      <xdr:colOff>391103</xdr:colOff>
      <xdr:row>44</xdr:row>
      <xdr:rowOff>142875</xdr:rowOff>
    </xdr:to>
    <xdr:sp macro="" textlink="">
      <xdr:nvSpPr>
        <xdr:cNvPr id="10" name="Rectangle 9">
          <a:extLst>
            <a:ext uri="{FF2B5EF4-FFF2-40B4-BE49-F238E27FC236}">
              <a16:creationId xmlns:a16="http://schemas.microsoft.com/office/drawing/2014/main" id="{0F66E19F-E30E-4F4E-A436-FB12E821C304}"/>
            </a:ext>
          </a:extLst>
        </xdr:cNvPr>
        <xdr:cNvSpPr/>
      </xdr:nvSpPr>
      <xdr:spPr>
        <a:xfrm>
          <a:off x="1801091" y="0"/>
          <a:ext cx="14973012" cy="8524875"/>
        </a:xfrm>
        <a:prstGeom prst="rect">
          <a:avLst/>
        </a:prstGeom>
        <a:solidFill>
          <a:srgbClr val="92D050"/>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185367</xdr:colOff>
      <xdr:row>8</xdr:row>
      <xdr:rowOff>180483</xdr:rowOff>
    </xdr:from>
    <xdr:to>
      <xdr:col>3</xdr:col>
      <xdr:colOff>476252</xdr:colOff>
      <xdr:row>11</xdr:row>
      <xdr:rowOff>85232</xdr:rowOff>
    </xdr:to>
    <xdr:sp macro="" textlink="pivot!H4">
      <xdr:nvSpPr>
        <xdr:cNvPr id="11" name="TextBox 10">
          <a:extLst>
            <a:ext uri="{FF2B5EF4-FFF2-40B4-BE49-F238E27FC236}">
              <a16:creationId xmlns:a16="http://schemas.microsoft.com/office/drawing/2014/main" id="{DEBEF311-5D7D-4AFD-E207-C1FFF9826334}"/>
            </a:ext>
          </a:extLst>
        </xdr:cNvPr>
        <xdr:cNvSpPr txBox="1"/>
      </xdr:nvSpPr>
      <xdr:spPr>
        <a:xfrm>
          <a:off x="185367" y="1813340"/>
          <a:ext cx="1597171" cy="517071"/>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61A6400-CFBC-4EE4-B148-ABBC49623D25}" type="TxLink">
            <a:rPr lang="en-US" sz="2000" b="1" i="0" u="none" strike="noStrike">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latin typeface="Aptos Narrow"/>
            </a:rPr>
            <a:pPr/>
            <a:t>$649.0K</a:t>
          </a:fld>
          <a:endParaRPr lang="en-US" sz="2000" b="1">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endParaRPr>
        </a:p>
      </xdr:txBody>
    </xdr:sp>
    <xdr:clientData/>
  </xdr:twoCellAnchor>
  <xdr:twoCellAnchor>
    <xdr:from>
      <xdr:col>0</xdr:col>
      <xdr:colOff>184284</xdr:colOff>
      <xdr:row>4</xdr:row>
      <xdr:rowOff>122659</xdr:rowOff>
    </xdr:from>
    <xdr:to>
      <xdr:col>3</xdr:col>
      <xdr:colOff>435429</xdr:colOff>
      <xdr:row>6</xdr:row>
      <xdr:rowOff>119484</xdr:rowOff>
    </xdr:to>
    <xdr:sp macro="" textlink="pivot!G4">
      <xdr:nvSpPr>
        <xdr:cNvPr id="12" name="TextBox 11">
          <a:extLst>
            <a:ext uri="{FF2B5EF4-FFF2-40B4-BE49-F238E27FC236}">
              <a16:creationId xmlns:a16="http://schemas.microsoft.com/office/drawing/2014/main" id="{80CFFBC2-6D6F-437D-BA02-04C5BCA51BB7}"/>
            </a:ext>
          </a:extLst>
        </xdr:cNvPr>
        <xdr:cNvSpPr txBox="1"/>
      </xdr:nvSpPr>
      <xdr:spPr>
        <a:xfrm>
          <a:off x="184284" y="939088"/>
          <a:ext cx="1557431" cy="405039"/>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09AD8CA-0208-4F76-9FEA-50595D980E63}" type="TxLink">
            <a:rPr lang="en-US" sz="2000" b="1" i="0" u="none" strike="noStrike">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latin typeface="Aptos Narrow"/>
            </a:rPr>
            <a:pPr/>
            <a:t>2,400</a:t>
          </a:fld>
          <a:endParaRPr lang="en-US" sz="2000" b="1">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endParaRPr>
        </a:p>
      </xdr:txBody>
    </xdr:sp>
    <xdr:clientData/>
  </xdr:twoCellAnchor>
  <xdr:twoCellAnchor>
    <xdr:from>
      <xdr:col>0</xdr:col>
      <xdr:colOff>185598</xdr:colOff>
      <xdr:row>13</xdr:row>
      <xdr:rowOff>96338</xdr:rowOff>
    </xdr:from>
    <xdr:to>
      <xdr:col>3</xdr:col>
      <xdr:colOff>462643</xdr:colOff>
      <xdr:row>15</xdr:row>
      <xdr:rowOff>96339</xdr:rowOff>
    </xdr:to>
    <xdr:sp macro="" textlink="pivot!I4">
      <xdr:nvSpPr>
        <xdr:cNvPr id="13" name="TextBox 12">
          <a:extLst>
            <a:ext uri="{FF2B5EF4-FFF2-40B4-BE49-F238E27FC236}">
              <a16:creationId xmlns:a16="http://schemas.microsoft.com/office/drawing/2014/main" id="{74EFD043-A23F-4971-BAF2-72B3AE6FFE7A}"/>
            </a:ext>
          </a:extLst>
        </xdr:cNvPr>
        <xdr:cNvSpPr txBox="1"/>
      </xdr:nvSpPr>
      <xdr:spPr>
        <a:xfrm>
          <a:off x="185598" y="2749731"/>
          <a:ext cx="1583331" cy="408215"/>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F4F59F9-5D15-46FC-A8B4-1C3FDA514258}" type="TxLink">
            <a:rPr lang="en-US" sz="2000" b="1" i="0" u="none" strike="noStrike">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latin typeface="Aptos Narrow"/>
            </a:rPr>
            <a:pPr/>
            <a:t>11,997</a:t>
          </a:fld>
          <a:endParaRPr lang="en-US" sz="2000" b="1">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endParaRPr>
        </a:p>
      </xdr:txBody>
    </xdr:sp>
    <xdr:clientData/>
  </xdr:twoCellAnchor>
  <xdr:twoCellAnchor>
    <xdr:from>
      <xdr:col>0</xdr:col>
      <xdr:colOff>184315</xdr:colOff>
      <xdr:row>18</xdr:row>
      <xdr:rowOff>149679</xdr:rowOff>
    </xdr:from>
    <xdr:to>
      <xdr:col>3</xdr:col>
      <xdr:colOff>478724</xdr:colOff>
      <xdr:row>20</xdr:row>
      <xdr:rowOff>149679</xdr:rowOff>
    </xdr:to>
    <xdr:sp macro="" textlink="pivot!J4">
      <xdr:nvSpPr>
        <xdr:cNvPr id="14" name="TextBox 13">
          <a:extLst>
            <a:ext uri="{FF2B5EF4-FFF2-40B4-BE49-F238E27FC236}">
              <a16:creationId xmlns:a16="http://schemas.microsoft.com/office/drawing/2014/main" id="{AAA35975-45D0-4582-B136-8602DDFFE262}"/>
            </a:ext>
          </a:extLst>
        </xdr:cNvPr>
        <xdr:cNvSpPr txBox="1"/>
      </xdr:nvSpPr>
      <xdr:spPr>
        <a:xfrm>
          <a:off x="184315" y="3823608"/>
          <a:ext cx="1600695" cy="408214"/>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13540C2-6A23-4A9C-B28E-AF8D4386FE2F}" type="TxLink">
            <a:rPr lang="en-US" sz="2000" b="1" i="0" u="none" strike="noStrike">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latin typeface="Aptos Narrow"/>
            </a:rPr>
            <a:pPr/>
            <a:t>4.0</a:t>
          </a:fld>
          <a:endParaRPr lang="en-US" sz="2000" b="1">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endParaRPr>
        </a:p>
      </xdr:txBody>
    </xdr:sp>
    <xdr:clientData/>
  </xdr:twoCellAnchor>
  <xdr:twoCellAnchor>
    <xdr:from>
      <xdr:col>0</xdr:col>
      <xdr:colOff>204106</xdr:colOff>
      <xdr:row>23</xdr:row>
      <xdr:rowOff>40822</xdr:rowOff>
    </xdr:from>
    <xdr:to>
      <xdr:col>3</xdr:col>
      <xdr:colOff>489856</xdr:colOff>
      <xdr:row>24</xdr:row>
      <xdr:rowOff>136072</xdr:rowOff>
    </xdr:to>
    <xdr:sp macro="" textlink="pivot!K4">
      <xdr:nvSpPr>
        <xdr:cNvPr id="15" name="TextBox 14">
          <a:extLst>
            <a:ext uri="{FF2B5EF4-FFF2-40B4-BE49-F238E27FC236}">
              <a16:creationId xmlns:a16="http://schemas.microsoft.com/office/drawing/2014/main" id="{CE1F9624-BDA0-4396-A839-444DA205EF4A}"/>
            </a:ext>
          </a:extLst>
        </xdr:cNvPr>
        <xdr:cNvSpPr txBox="1"/>
      </xdr:nvSpPr>
      <xdr:spPr>
        <a:xfrm>
          <a:off x="204106" y="4735286"/>
          <a:ext cx="1592036" cy="299357"/>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6CA6BD6-91FC-4F1A-8838-47E6BFAEFE49}" type="TxLink">
            <a:rPr lang="en-US" sz="2000" b="1" i="0" u="none" strike="noStrike">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latin typeface="Aptos Narrow"/>
            </a:rPr>
            <a:pPr/>
            <a:t>2.3</a:t>
          </a:fld>
          <a:endParaRPr lang="en-US" sz="2000" b="1">
            <a:gradFill>
              <a:gsLst>
                <a:gs pos="0">
                  <a:schemeClr val="accent1">
                    <a:alpha val="0"/>
                    <a:lumMod val="75000"/>
                  </a:schemeClr>
                </a:gs>
                <a:gs pos="13000">
                  <a:schemeClr val="accent1">
                    <a:lumMod val="45000"/>
                    <a:lumOff val="55000"/>
                  </a:schemeClr>
                </a:gs>
                <a:gs pos="78000">
                  <a:schemeClr val="accent1">
                    <a:lumMod val="45000"/>
                    <a:lumOff val="55000"/>
                  </a:schemeClr>
                </a:gs>
                <a:gs pos="100000">
                  <a:schemeClr val="accent1">
                    <a:lumMod val="30000"/>
                    <a:lumOff val="70000"/>
                  </a:schemeClr>
                </a:gs>
              </a:gsLst>
              <a:lin ang="5400000" scaled="1"/>
            </a:gradFill>
            <a:effectLst>
              <a:outerShdw blurRad="50800" dist="38100" algn="l" rotWithShape="0">
                <a:prstClr val="black">
                  <a:alpha val="40000"/>
                </a:prstClr>
              </a:outerShdw>
            </a:effectLst>
          </a:endParaRPr>
        </a:p>
      </xdr:txBody>
    </xdr:sp>
    <xdr:clientData/>
  </xdr:twoCellAnchor>
  <xdr:oneCellAnchor>
    <xdr:from>
      <xdr:col>2</xdr:col>
      <xdr:colOff>57150</xdr:colOff>
      <xdr:row>2</xdr:row>
      <xdr:rowOff>47625</xdr:rowOff>
    </xdr:from>
    <xdr:ext cx="184731" cy="264560"/>
    <xdr:sp macro="" textlink="">
      <xdr:nvSpPr>
        <xdr:cNvPr id="16" name="TextBox 15">
          <a:extLst>
            <a:ext uri="{FF2B5EF4-FFF2-40B4-BE49-F238E27FC236}">
              <a16:creationId xmlns:a16="http://schemas.microsoft.com/office/drawing/2014/main" id="{018C0C37-4CBF-7620-F43D-A7F48129072C}"/>
            </a:ext>
          </a:extLst>
        </xdr:cNvPr>
        <xdr:cNvSpPr txBox="1"/>
      </xdr:nvSpPr>
      <xdr:spPr>
        <a:xfrm>
          <a:off x="771525" y="4286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0</xdr:col>
      <xdr:colOff>204108</xdr:colOff>
      <xdr:row>2</xdr:row>
      <xdr:rowOff>190501</xdr:rowOff>
    </xdr:from>
    <xdr:ext cx="1191614" cy="312964"/>
    <xdr:sp macro="" textlink="">
      <xdr:nvSpPr>
        <xdr:cNvPr id="17" name="TextBox 16">
          <a:extLst>
            <a:ext uri="{FF2B5EF4-FFF2-40B4-BE49-F238E27FC236}">
              <a16:creationId xmlns:a16="http://schemas.microsoft.com/office/drawing/2014/main" id="{D34B1971-898C-6A55-CB60-1AFF98643D0F}"/>
            </a:ext>
          </a:extLst>
        </xdr:cNvPr>
        <xdr:cNvSpPr txBox="1"/>
      </xdr:nvSpPr>
      <xdr:spPr>
        <a:xfrm>
          <a:off x="204108" y="598715"/>
          <a:ext cx="1191614" cy="3129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🛒Orders</a:t>
          </a:r>
        </a:p>
      </xdr:txBody>
    </xdr:sp>
    <xdr:clientData/>
  </xdr:oneCellAnchor>
  <xdr:twoCellAnchor>
    <xdr:from>
      <xdr:col>0</xdr:col>
      <xdr:colOff>217714</xdr:colOff>
      <xdr:row>6</xdr:row>
      <xdr:rowOff>176893</xdr:rowOff>
    </xdr:from>
    <xdr:to>
      <xdr:col>3</xdr:col>
      <xdr:colOff>462642</xdr:colOff>
      <xdr:row>8</xdr:row>
      <xdr:rowOff>108857</xdr:rowOff>
    </xdr:to>
    <xdr:sp macro="" textlink="">
      <xdr:nvSpPr>
        <xdr:cNvPr id="20" name="TextBox 19">
          <a:extLst>
            <a:ext uri="{FF2B5EF4-FFF2-40B4-BE49-F238E27FC236}">
              <a16:creationId xmlns:a16="http://schemas.microsoft.com/office/drawing/2014/main" id="{6ACD78B6-4865-F1B7-77A2-311C38532A73}"/>
            </a:ext>
          </a:extLst>
        </xdr:cNvPr>
        <xdr:cNvSpPr txBox="1"/>
      </xdr:nvSpPr>
      <xdr:spPr>
        <a:xfrm>
          <a:off x="217714" y="1401536"/>
          <a:ext cx="1551214" cy="340178"/>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💰Amount</a:t>
          </a:r>
        </a:p>
      </xdr:txBody>
    </xdr:sp>
    <xdr:clientData/>
  </xdr:twoCellAnchor>
  <xdr:twoCellAnchor>
    <xdr:from>
      <xdr:col>0</xdr:col>
      <xdr:colOff>190500</xdr:colOff>
      <xdr:row>11</xdr:row>
      <xdr:rowOff>122465</xdr:rowOff>
    </xdr:from>
    <xdr:to>
      <xdr:col>3</xdr:col>
      <xdr:colOff>449034</xdr:colOff>
      <xdr:row>13</xdr:row>
      <xdr:rowOff>27214</xdr:rowOff>
    </xdr:to>
    <xdr:sp macro="" textlink="">
      <xdr:nvSpPr>
        <xdr:cNvPr id="23" name="TextBox 22">
          <a:extLst>
            <a:ext uri="{FF2B5EF4-FFF2-40B4-BE49-F238E27FC236}">
              <a16:creationId xmlns:a16="http://schemas.microsoft.com/office/drawing/2014/main" id="{7D430772-3E54-7DBD-16EA-73EE9416B9EB}"/>
            </a:ext>
          </a:extLst>
        </xdr:cNvPr>
        <xdr:cNvSpPr txBox="1"/>
      </xdr:nvSpPr>
      <xdr:spPr>
        <a:xfrm>
          <a:off x="190500" y="2367644"/>
          <a:ext cx="1564820" cy="312963"/>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👘Quantity</a:t>
          </a:r>
        </a:p>
      </xdr:txBody>
    </xdr:sp>
    <xdr:clientData/>
  </xdr:twoCellAnchor>
  <xdr:twoCellAnchor>
    <xdr:from>
      <xdr:col>0</xdr:col>
      <xdr:colOff>190500</xdr:colOff>
      <xdr:row>15</xdr:row>
      <xdr:rowOff>190501</xdr:rowOff>
    </xdr:from>
    <xdr:to>
      <xdr:col>3</xdr:col>
      <xdr:colOff>489856</xdr:colOff>
      <xdr:row>18</xdr:row>
      <xdr:rowOff>27215</xdr:rowOff>
    </xdr:to>
    <xdr:sp macro="" textlink="">
      <xdr:nvSpPr>
        <xdr:cNvPr id="25" name="TextBox 24">
          <a:extLst>
            <a:ext uri="{FF2B5EF4-FFF2-40B4-BE49-F238E27FC236}">
              <a16:creationId xmlns:a16="http://schemas.microsoft.com/office/drawing/2014/main" id="{974F3A62-0327-FB2A-9256-3722F3FEA9A5}"/>
            </a:ext>
          </a:extLst>
        </xdr:cNvPr>
        <xdr:cNvSpPr txBox="1"/>
      </xdr:nvSpPr>
      <xdr:spPr>
        <a:xfrm>
          <a:off x="190500" y="3252108"/>
          <a:ext cx="1605642" cy="449036"/>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a:t>
          </a:r>
          <a:r>
            <a:rPr lang="en-US" sz="1100" baseline="0"/>
            <a:t> Rating</a:t>
          </a:r>
          <a:endParaRPr lang="en-US" sz="1100"/>
        </a:p>
      </xdr:txBody>
    </xdr:sp>
    <xdr:clientData/>
  </xdr:twoCellAnchor>
  <xdr:twoCellAnchor>
    <xdr:from>
      <xdr:col>0</xdr:col>
      <xdr:colOff>190500</xdr:colOff>
      <xdr:row>20</xdr:row>
      <xdr:rowOff>122465</xdr:rowOff>
    </xdr:from>
    <xdr:to>
      <xdr:col>3</xdr:col>
      <xdr:colOff>502228</xdr:colOff>
      <xdr:row>22</xdr:row>
      <xdr:rowOff>136073</xdr:rowOff>
    </xdr:to>
    <xdr:sp macro="" textlink="">
      <xdr:nvSpPr>
        <xdr:cNvPr id="26" name="TextBox 25">
          <a:extLst>
            <a:ext uri="{FF2B5EF4-FFF2-40B4-BE49-F238E27FC236}">
              <a16:creationId xmlns:a16="http://schemas.microsoft.com/office/drawing/2014/main" id="{0C0FBBA7-93DC-6B77-3660-EF32F1ABA737}"/>
            </a:ext>
          </a:extLst>
        </xdr:cNvPr>
        <xdr:cNvSpPr txBox="1"/>
      </xdr:nvSpPr>
      <xdr:spPr>
        <a:xfrm>
          <a:off x="190500" y="4204608"/>
          <a:ext cx="1618014" cy="421822"/>
        </a:xfrm>
        <a:prstGeom prst="rect">
          <a:avLst/>
        </a:prstGeom>
        <a:solidFill>
          <a:srgbClr val="00B05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 Days</a:t>
          </a:r>
        </a:p>
      </xdr:txBody>
    </xdr:sp>
    <xdr:clientData/>
  </xdr:twoCellAnchor>
  <xdr:twoCellAnchor>
    <xdr:from>
      <xdr:col>4</xdr:col>
      <xdr:colOff>221673</xdr:colOff>
      <xdr:row>1</xdr:row>
      <xdr:rowOff>174914</xdr:rowOff>
    </xdr:from>
    <xdr:to>
      <xdr:col>11</xdr:col>
      <xdr:colOff>412172</xdr:colOff>
      <xdr:row>15</xdr:row>
      <xdr:rowOff>34636</xdr:rowOff>
    </xdr:to>
    <xdr:graphicFrame macro="">
      <xdr:nvGraphicFramePr>
        <xdr:cNvPr id="27" name="Chart 26">
          <a:extLst>
            <a:ext uri="{FF2B5EF4-FFF2-40B4-BE49-F238E27FC236}">
              <a16:creationId xmlns:a16="http://schemas.microsoft.com/office/drawing/2014/main" id="{7D4EF848-CE94-439F-AED6-0C08B2D10F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259773</xdr:colOff>
      <xdr:row>1</xdr:row>
      <xdr:rowOff>155864</xdr:rowOff>
    </xdr:from>
    <xdr:to>
      <xdr:col>19</xdr:col>
      <xdr:colOff>554182</xdr:colOff>
      <xdr:row>15</xdr:row>
      <xdr:rowOff>36369</xdr:rowOff>
    </xdr:to>
    <xdr:sp macro="" textlink="">
      <xdr:nvSpPr>
        <xdr:cNvPr id="35" name="Rectangle 34">
          <a:extLst>
            <a:ext uri="{FF2B5EF4-FFF2-40B4-BE49-F238E27FC236}">
              <a16:creationId xmlns:a16="http://schemas.microsoft.com/office/drawing/2014/main" id="{9AA75248-3A61-8064-9F21-DE667EBA52BD}"/>
            </a:ext>
          </a:extLst>
        </xdr:cNvPr>
        <xdr:cNvSpPr/>
      </xdr:nvSpPr>
      <xdr:spPr>
        <a:xfrm>
          <a:off x="6944591" y="346364"/>
          <a:ext cx="4537364" cy="254750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a:solidFill>
                <a:sysClr val="windowText" lastClr="000000"/>
              </a:solidFill>
            </a:rPr>
            <a:t>How</a:t>
          </a:r>
          <a:r>
            <a:rPr lang="en-US" sz="1400" baseline="0">
              <a:solidFill>
                <a:sysClr val="windowText" lastClr="000000"/>
              </a:solidFill>
            </a:rPr>
            <a:t> they like to buy</a:t>
          </a:r>
          <a:r>
            <a:rPr lang="en-US" sz="1100" baseline="0"/>
            <a:t>?</a:t>
          </a:r>
          <a:endParaRPr lang="en-US" sz="1100"/>
        </a:p>
      </xdr:txBody>
    </xdr:sp>
    <xdr:clientData/>
  </xdr:twoCellAnchor>
  <mc:AlternateContent xmlns:mc="http://schemas.openxmlformats.org/markup-compatibility/2006">
    <mc:Choice xmlns:a14="http://schemas.microsoft.com/office/drawing/2010/main" Requires="a14">
      <xdr:twoCellAnchor editAs="oneCell">
        <xdr:from>
          <xdr:col>13</xdr:col>
          <xdr:colOff>174913</xdr:colOff>
          <xdr:row>5</xdr:row>
          <xdr:rowOff>39833</xdr:rowOff>
        </xdr:from>
        <xdr:to>
          <xdr:col>18</xdr:col>
          <xdr:colOff>393989</xdr:colOff>
          <xdr:row>13</xdr:row>
          <xdr:rowOff>20782</xdr:rowOff>
        </xdr:to>
        <xdr:pic>
          <xdr:nvPicPr>
            <xdr:cNvPr id="34" name="Picture 33">
              <a:extLst>
                <a:ext uri="{FF2B5EF4-FFF2-40B4-BE49-F238E27FC236}">
                  <a16:creationId xmlns:a16="http://schemas.microsoft.com/office/drawing/2014/main" id="{78035BA0-8F0B-0296-F11C-D6A4922A2FA3}"/>
                </a:ext>
              </a:extLst>
            </xdr:cNvPr>
            <xdr:cNvPicPr>
              <a:picLocks noChangeAspect="1" noChangeArrowheads="1"/>
              <a:extLst>
                <a:ext uri="{84589F7E-364E-4C9E-8A38-B11213B215E9}">
                  <a14:cameraTool cellRange="Sheet3!$H$4:$L$9" spid="_x0000_s3106"/>
                </a:ext>
              </a:extLst>
            </xdr:cNvPicPr>
          </xdr:nvPicPr>
          <xdr:blipFill>
            <a:blip xmlns:r="http://schemas.openxmlformats.org/officeDocument/2006/relationships" r:embed="rId2"/>
            <a:srcRect/>
            <a:stretch>
              <a:fillRect/>
            </a:stretch>
          </xdr:blipFill>
          <xdr:spPr bwMode="auto">
            <a:xfrm>
              <a:off x="7465868" y="992333"/>
              <a:ext cx="3249757" cy="150494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20</xdr:col>
      <xdr:colOff>432954</xdr:colOff>
      <xdr:row>1</xdr:row>
      <xdr:rowOff>121226</xdr:rowOff>
    </xdr:from>
    <xdr:to>
      <xdr:col>28</xdr:col>
      <xdr:colOff>190499</xdr:colOff>
      <xdr:row>15</xdr:row>
      <xdr:rowOff>19915</xdr:rowOff>
    </xdr:to>
    <xdr:graphicFrame macro="">
      <xdr:nvGraphicFramePr>
        <xdr:cNvPr id="37" name="Chart 36">
          <a:extLst>
            <a:ext uri="{FF2B5EF4-FFF2-40B4-BE49-F238E27FC236}">
              <a16:creationId xmlns:a16="http://schemas.microsoft.com/office/drawing/2014/main" id="{FFE8FA13-6939-49B8-8F4D-0F472F1AB0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94960</xdr:colOff>
      <xdr:row>17</xdr:row>
      <xdr:rowOff>72158</xdr:rowOff>
    </xdr:from>
    <xdr:to>
      <xdr:col>11</xdr:col>
      <xdr:colOff>399759</xdr:colOff>
      <xdr:row>43</xdr:row>
      <xdr:rowOff>155864</xdr:rowOff>
    </xdr:to>
    <xdr:graphicFrame macro="">
      <xdr:nvGraphicFramePr>
        <xdr:cNvPr id="38" name="Chart 37">
          <a:extLst>
            <a:ext uri="{FF2B5EF4-FFF2-40B4-BE49-F238E27FC236}">
              <a16:creationId xmlns:a16="http://schemas.microsoft.com/office/drawing/2014/main" id="{6FE91F84-A9B8-486F-AB77-EDA0E3D35F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461528</xdr:colOff>
      <xdr:row>32</xdr:row>
      <xdr:rowOff>67830</xdr:rowOff>
    </xdr:from>
    <xdr:to>
      <xdr:col>9</xdr:col>
      <xdr:colOff>207817</xdr:colOff>
      <xdr:row>40</xdr:row>
      <xdr:rowOff>67830</xdr:rowOff>
    </xdr:to>
    <xdr:graphicFrame macro="">
      <xdr:nvGraphicFramePr>
        <xdr:cNvPr id="39" name="Chart 38">
          <a:extLst>
            <a:ext uri="{FF2B5EF4-FFF2-40B4-BE49-F238E27FC236}">
              <a16:creationId xmlns:a16="http://schemas.microsoft.com/office/drawing/2014/main" id="{BEAD0E4A-4CA6-431B-B0AF-D6D21D5009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103042</xdr:colOff>
      <xdr:row>17</xdr:row>
      <xdr:rowOff>51954</xdr:rowOff>
    </xdr:from>
    <xdr:to>
      <xdr:col>19</xdr:col>
      <xdr:colOff>604693</xdr:colOff>
      <xdr:row>43</xdr:row>
      <xdr:rowOff>114011</xdr:rowOff>
    </xdr:to>
    <mc:AlternateContent xmlns:mc="http://schemas.openxmlformats.org/markup-compatibility/2006">
      <mc:Choice xmlns:cx4="http://schemas.microsoft.com/office/drawing/2016/5/10/chartex" Requires="cx4">
        <xdr:graphicFrame macro="">
          <xdr:nvGraphicFramePr>
            <xdr:cNvPr id="40" name="Chart 39">
              <a:extLst>
                <a:ext uri="{FF2B5EF4-FFF2-40B4-BE49-F238E27FC236}">
                  <a16:creationId xmlns:a16="http://schemas.microsoft.com/office/drawing/2014/main" id="{765C69AF-D29C-451F-9941-B5AB6CF27F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827692" y="3290454"/>
              <a:ext cx="4768851" cy="501505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225135</xdr:colOff>
      <xdr:row>21</xdr:row>
      <xdr:rowOff>51955</xdr:rowOff>
    </xdr:from>
    <xdr:to>
      <xdr:col>18</xdr:col>
      <xdr:colOff>588818</xdr:colOff>
      <xdr:row>31</xdr:row>
      <xdr:rowOff>28574</xdr:rowOff>
    </xdr:to>
    <mc:AlternateContent xmlns:mc="http://schemas.openxmlformats.org/markup-compatibility/2006">
      <mc:Choice xmlns:cx4="http://schemas.microsoft.com/office/drawing/2016/5/10/chartex" Requires="cx4">
        <xdr:graphicFrame macro="">
          <xdr:nvGraphicFramePr>
            <xdr:cNvPr id="41" name="Chart 40">
              <a:extLst>
                <a:ext uri="{FF2B5EF4-FFF2-40B4-BE49-F238E27FC236}">
                  <a16:creationId xmlns:a16="http://schemas.microsoft.com/office/drawing/2014/main" id="{28028670-F08B-4A53-B738-FA9948D31D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9388185" y="4052455"/>
              <a:ext cx="1582883" cy="188161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20</xdr:col>
      <xdr:colOff>463550</xdr:colOff>
      <xdr:row>15</xdr:row>
      <xdr:rowOff>137102</xdr:rowOff>
    </xdr:from>
    <xdr:to>
      <xdr:col>28</xdr:col>
      <xdr:colOff>206663</xdr:colOff>
      <xdr:row>28</xdr:row>
      <xdr:rowOff>105352</xdr:rowOff>
    </xdr:to>
    <xdr:graphicFrame macro="">
      <xdr:nvGraphicFramePr>
        <xdr:cNvPr id="42" name="Chart 41">
          <a:extLst>
            <a:ext uri="{FF2B5EF4-FFF2-40B4-BE49-F238E27FC236}">
              <a16:creationId xmlns:a16="http://schemas.microsoft.com/office/drawing/2014/main" id="{AF96F57A-373E-45EE-8712-636305A6A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459221</xdr:colOff>
      <xdr:row>29</xdr:row>
      <xdr:rowOff>76199</xdr:rowOff>
    </xdr:from>
    <xdr:to>
      <xdr:col>28</xdr:col>
      <xdr:colOff>116609</xdr:colOff>
      <xdr:row>43</xdr:row>
      <xdr:rowOff>152399</xdr:rowOff>
    </xdr:to>
    <xdr:graphicFrame macro="">
      <xdr:nvGraphicFramePr>
        <xdr:cNvPr id="44" name="Chart 43">
          <a:extLst>
            <a:ext uri="{FF2B5EF4-FFF2-40B4-BE49-F238E27FC236}">
              <a16:creationId xmlns:a16="http://schemas.microsoft.com/office/drawing/2014/main" id="{0990B20E-2D37-4C96-8E12-B9753C7805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214415</xdr:colOff>
      <xdr:row>25</xdr:row>
      <xdr:rowOff>60200</xdr:rowOff>
    </xdr:from>
    <xdr:to>
      <xdr:col>3</xdr:col>
      <xdr:colOff>583870</xdr:colOff>
      <xdr:row>35</xdr:row>
      <xdr:rowOff>19791</xdr:rowOff>
    </xdr:to>
    <mc:AlternateContent xmlns:mc="http://schemas.openxmlformats.org/markup-compatibility/2006" xmlns:a14="http://schemas.microsoft.com/office/drawing/2010/main">
      <mc:Choice Requires="a14">
        <xdr:graphicFrame macro="">
          <xdr:nvGraphicFramePr>
            <xdr:cNvPr id="47" name="Order Mode 1">
              <a:extLst>
                <a:ext uri="{FF2B5EF4-FFF2-40B4-BE49-F238E27FC236}">
                  <a16:creationId xmlns:a16="http://schemas.microsoft.com/office/drawing/2014/main" id="{5435D819-AFB1-4611-AF49-E7DC8E85EA94}"/>
                </a:ext>
              </a:extLst>
            </xdr:cNvPr>
            <xdr:cNvGraphicFramePr/>
          </xdr:nvGraphicFramePr>
          <xdr:xfrm>
            <a:off x="0" y="0"/>
            <a:ext cx="0" cy="0"/>
          </xdr:xfrm>
          <a:graphic>
            <a:graphicData uri="http://schemas.microsoft.com/office/drawing/2010/slicer">
              <sle:slicer xmlns:sle="http://schemas.microsoft.com/office/drawing/2010/slicer" name="Order Mode 1"/>
            </a:graphicData>
          </a:graphic>
        </xdr:graphicFrame>
      </mc:Choice>
      <mc:Fallback xmlns="">
        <xdr:sp macro="" textlink="">
          <xdr:nvSpPr>
            <xdr:cNvPr id="0" name=""/>
            <xdr:cNvSpPr>
              <a:spLocks noTextEdit="1"/>
            </xdr:cNvSpPr>
          </xdr:nvSpPr>
          <xdr:spPr>
            <a:xfrm>
              <a:off x="214415" y="4822700"/>
              <a:ext cx="1621312" cy="18645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197098</xdr:colOff>
      <xdr:row>35</xdr:row>
      <xdr:rowOff>56489</xdr:rowOff>
    </xdr:from>
    <xdr:to>
      <xdr:col>3</xdr:col>
      <xdr:colOff>566552</xdr:colOff>
      <xdr:row>43</xdr:row>
      <xdr:rowOff>16080</xdr:rowOff>
    </xdr:to>
    <mc:AlternateContent xmlns:mc="http://schemas.openxmlformats.org/markup-compatibility/2006" xmlns:a14="http://schemas.microsoft.com/office/drawing/2010/main">
      <mc:Choice Requires="a14">
        <xdr:graphicFrame macro="">
          <xdr:nvGraphicFramePr>
            <xdr:cNvPr id="48" name="Gender Value">
              <a:extLst>
                <a:ext uri="{FF2B5EF4-FFF2-40B4-BE49-F238E27FC236}">
                  <a16:creationId xmlns:a16="http://schemas.microsoft.com/office/drawing/2014/main" id="{86D82AF6-B9C8-492B-8B59-65CE86FA9942}"/>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mlns="">
        <xdr:sp macro="" textlink="">
          <xdr:nvSpPr>
            <xdr:cNvPr id="0" name=""/>
            <xdr:cNvSpPr>
              <a:spLocks noTextEdit="1"/>
            </xdr:cNvSpPr>
          </xdr:nvSpPr>
          <xdr:spPr>
            <a:xfrm>
              <a:off x="197098" y="6723989"/>
              <a:ext cx="1621311" cy="14835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36284</xdr:colOff>
      <xdr:row>0</xdr:row>
      <xdr:rowOff>55254</xdr:rowOff>
    </xdr:from>
    <xdr:to>
      <xdr:col>3</xdr:col>
      <xdr:colOff>557892</xdr:colOff>
      <xdr:row>2</xdr:row>
      <xdr:rowOff>131576</xdr:rowOff>
    </xdr:to>
    <xdr:pic>
      <xdr:nvPicPr>
        <xdr:cNvPr id="49" name="Picture 48">
          <a:extLst>
            <a:ext uri="{FF2B5EF4-FFF2-40B4-BE49-F238E27FC236}">
              <a16:creationId xmlns:a16="http://schemas.microsoft.com/office/drawing/2014/main" id="{F1C06DCE-C1CF-4780-8393-06152A6909E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xdr:blipFill>
      <xdr:spPr>
        <a:xfrm>
          <a:off x="36284" y="55254"/>
          <a:ext cx="1773465" cy="4573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438150</xdr:colOff>
      <xdr:row>15</xdr:row>
      <xdr:rowOff>142875</xdr:rowOff>
    </xdr:from>
    <xdr:to>
      <xdr:col>11</xdr:col>
      <xdr:colOff>542925</xdr:colOff>
      <xdr:row>29</xdr:row>
      <xdr:rowOff>142875</xdr:rowOff>
    </xdr:to>
    <mc:AlternateContent xmlns:mc="http://schemas.openxmlformats.org/markup-compatibility/2006" xmlns:a14="http://schemas.microsoft.com/office/drawing/2010/main">
      <mc:Choice Requires="a14">
        <xdr:graphicFrame macro="">
          <xdr:nvGraphicFramePr>
            <xdr:cNvPr id="5" name="Order Mode">
              <a:extLst>
                <a:ext uri="{FF2B5EF4-FFF2-40B4-BE49-F238E27FC236}">
                  <a16:creationId xmlns:a16="http://schemas.microsoft.com/office/drawing/2014/main" id="{777E65B7-736D-9459-660C-70E22774A510}"/>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mlns="">
        <xdr:sp macro="" textlink="">
          <xdr:nvSpPr>
            <xdr:cNvPr id="0" name=""/>
            <xdr:cNvSpPr>
              <a:spLocks noTextEdit="1"/>
            </xdr:cNvSpPr>
          </xdr:nvSpPr>
          <xdr:spPr>
            <a:xfrm>
              <a:off x="4867275" y="300037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27</xdr:row>
      <xdr:rowOff>0</xdr:rowOff>
    </xdr:from>
    <xdr:to>
      <xdr:col>3</xdr:col>
      <xdr:colOff>304800</xdr:colOff>
      <xdr:row>29</xdr:row>
      <xdr:rowOff>67829</xdr:rowOff>
    </xdr:to>
    <xdr:pic>
      <xdr:nvPicPr>
        <xdr:cNvPr id="3" name="Picture 2">
          <a:hlinkClick xmlns:r="http://schemas.openxmlformats.org/officeDocument/2006/relationships" r:id="rId1"/>
          <a:extLst>
            <a:ext uri="{FF2B5EF4-FFF2-40B4-BE49-F238E27FC236}">
              <a16:creationId xmlns:a16="http://schemas.microsoft.com/office/drawing/2014/main" id="{602BB025-83F9-4955-BC88-7D277D7994E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600" y="4937760"/>
          <a:ext cx="1524000" cy="433589"/>
        </a:xfrm>
        <a:prstGeom prst="rect">
          <a:avLst/>
        </a:prstGeom>
      </xdr:spPr>
    </xdr:pic>
    <xdr:clientData/>
  </xdr:twoCellAnchor>
  <xdr:twoCellAnchor editAs="oneCell">
    <xdr:from>
      <xdr:col>7</xdr:col>
      <xdr:colOff>1</xdr:colOff>
      <xdr:row>7</xdr:row>
      <xdr:rowOff>1</xdr:rowOff>
    </xdr:from>
    <xdr:to>
      <xdr:col>8</xdr:col>
      <xdr:colOff>1</xdr:colOff>
      <xdr:row>21</xdr:row>
      <xdr:rowOff>1</xdr:rowOff>
    </xdr:to>
    <xdr:pic>
      <xdr:nvPicPr>
        <xdr:cNvPr id="5" name="Picture 4">
          <a:hlinkClick xmlns:r="http://schemas.openxmlformats.org/officeDocument/2006/relationships" r:id="rId3"/>
          <a:extLst>
            <a:ext uri="{FF2B5EF4-FFF2-40B4-BE49-F238E27FC236}">
              <a16:creationId xmlns:a16="http://schemas.microsoft.com/office/drawing/2014/main" id="{87527581-9CC7-32E2-D643-E625DB568FAF}"/>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3886201" y="1280161"/>
          <a:ext cx="2560320" cy="256032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5.040885995368" createdVersion="8" refreshedVersion="8" minRefreshableVersion="3" recordCount="2400" xr:uid="{4CB67211-48F8-4C2D-A696-ED57DD79A580}">
  <cacheSource type="worksheet">
    <worksheetSource name="orders"/>
  </cacheSource>
  <cacheFields count="18">
    <cacheField name="TX ID" numFmtId="0">
      <sharedItems count="2400">
        <s v="TX500001"/>
        <s v="TX500002"/>
        <s v="TX500003"/>
        <s v="TX500004"/>
        <s v="TX500005"/>
        <s v="TX500006"/>
        <s v="TX500007"/>
        <s v="TX500008"/>
        <s v="TX500009"/>
        <s v="TX500010"/>
        <s v="TX500011"/>
        <s v="TX500012"/>
        <s v="TX500013"/>
        <s v="TX500014"/>
        <s v="TX500015"/>
        <s v="TX500016"/>
        <s v="TX500017"/>
        <s v="TX500018"/>
        <s v="TX500019"/>
        <s v="TX500020"/>
        <s v="TX500021"/>
        <s v="TX500022"/>
        <s v="TX500023"/>
        <s v="TX500024"/>
        <s v="TX500025"/>
        <s v="TX500026"/>
        <s v="TX500027"/>
        <s v="TX500028"/>
        <s v="TX500029"/>
        <s v="TX500030"/>
        <s v="TX500031"/>
        <s v="TX500032"/>
        <s v="TX500033"/>
        <s v="TX500034"/>
        <s v="TX500035"/>
        <s v="TX500036"/>
        <s v="TX500037"/>
        <s v="TX500038"/>
        <s v="TX500039"/>
        <s v="TX500040"/>
        <s v="TX500041"/>
        <s v="TX500042"/>
        <s v="TX500043"/>
        <s v="TX500044"/>
        <s v="TX500045"/>
        <s v="TX500046"/>
        <s v="TX500047"/>
        <s v="TX500048"/>
        <s v="TX500049"/>
        <s v="TX500050"/>
        <s v="TX500051"/>
        <s v="TX500052"/>
        <s v="TX500053"/>
        <s v="TX500054"/>
        <s v="TX500055"/>
        <s v="TX500056"/>
        <s v="TX500057"/>
        <s v="TX500058"/>
        <s v="TX500059"/>
        <s v="TX500060"/>
        <s v="TX500061"/>
        <s v="TX500062"/>
        <s v="TX500063"/>
        <s v="TX500064"/>
        <s v="TX500065"/>
        <s v="TX500066"/>
        <s v="TX500067"/>
        <s v="TX500068"/>
        <s v="TX500069"/>
        <s v="TX500070"/>
        <s v="TX500071"/>
        <s v="TX500072"/>
        <s v="TX500073"/>
        <s v="TX500074"/>
        <s v="TX500075"/>
        <s v="TX500076"/>
        <s v="TX500077"/>
        <s v="TX500078"/>
        <s v="TX500079"/>
        <s v="TX500080"/>
        <s v="TX500081"/>
        <s v="TX500082"/>
        <s v="TX500083"/>
        <s v="TX500084"/>
        <s v="TX500085"/>
        <s v="TX500086"/>
        <s v="TX500087"/>
        <s v="TX500088"/>
        <s v="TX500089"/>
        <s v="TX500090"/>
        <s v="TX500091"/>
        <s v="TX500092"/>
        <s v="TX500093"/>
        <s v="TX500094"/>
        <s v="TX500095"/>
        <s v="TX500096"/>
        <s v="TX500097"/>
        <s v="TX500098"/>
        <s v="TX500099"/>
        <s v="TX500100"/>
        <s v="TX500101"/>
        <s v="TX500102"/>
        <s v="TX500103"/>
        <s v="TX500104"/>
        <s v="TX500105"/>
        <s v="TX500106"/>
        <s v="TX500107"/>
        <s v="TX500108"/>
        <s v="TX500109"/>
        <s v="TX500110"/>
        <s v="TX500111"/>
        <s v="TX500112"/>
        <s v="TX500113"/>
        <s v="TX500114"/>
        <s v="TX500115"/>
        <s v="TX500116"/>
        <s v="TX500117"/>
        <s v="TX500118"/>
        <s v="TX500119"/>
        <s v="TX500120"/>
        <s v="TX500121"/>
        <s v="TX500122"/>
        <s v="TX500123"/>
        <s v="TX500124"/>
        <s v="TX500125"/>
        <s v="TX500126"/>
        <s v="TX500127"/>
        <s v="TX500128"/>
        <s v="TX500129"/>
        <s v="TX500130"/>
        <s v="TX500131"/>
        <s v="TX500132"/>
        <s v="TX500133"/>
        <s v="TX500134"/>
        <s v="TX500135"/>
        <s v="TX500136"/>
        <s v="TX500137"/>
        <s v="TX500138"/>
        <s v="TX500139"/>
        <s v="TX500140"/>
        <s v="TX500141"/>
        <s v="TX500142"/>
        <s v="TX500143"/>
        <s v="TX500144"/>
        <s v="TX500145"/>
        <s v="TX500146"/>
        <s v="TX500147"/>
        <s v="TX500148"/>
        <s v="TX500149"/>
        <s v="TX500150"/>
        <s v="TX500151"/>
        <s v="TX500152"/>
        <s v="TX500153"/>
        <s v="TX500154"/>
        <s v="TX500155"/>
        <s v="TX500156"/>
        <s v="TX500157"/>
        <s v="TX500158"/>
        <s v="TX500159"/>
        <s v="TX500160"/>
        <s v="TX500161"/>
        <s v="TX500162"/>
        <s v="TX500163"/>
        <s v="TX500164"/>
        <s v="TX500165"/>
        <s v="TX500166"/>
        <s v="TX500167"/>
        <s v="TX500168"/>
        <s v="TX500169"/>
        <s v="TX500170"/>
        <s v="TX500171"/>
        <s v="TX500172"/>
        <s v="TX500173"/>
        <s v="TX500174"/>
        <s v="TX500175"/>
        <s v="TX500176"/>
        <s v="TX500177"/>
        <s v="TX500178"/>
        <s v="TX500179"/>
        <s v="TX500180"/>
        <s v="TX500181"/>
        <s v="TX500182"/>
        <s v="TX500183"/>
        <s v="TX500184"/>
        <s v="TX500185"/>
        <s v="TX500186"/>
        <s v="TX500187"/>
        <s v="TX500188"/>
        <s v="TX500189"/>
        <s v="TX500190"/>
        <s v="TX500191"/>
        <s v="TX500192"/>
        <s v="TX500193"/>
        <s v="TX500194"/>
        <s v="TX500195"/>
        <s v="TX500196"/>
        <s v="TX500197"/>
        <s v="TX500198"/>
        <s v="TX500199"/>
        <s v="TX500200"/>
        <s v="TX500201"/>
        <s v="TX500202"/>
        <s v="TX500203"/>
        <s v="TX500204"/>
        <s v="TX500205"/>
        <s v="TX500206"/>
        <s v="TX500207"/>
        <s v="TX500208"/>
        <s v="TX500209"/>
        <s v="TX500210"/>
        <s v="TX500211"/>
        <s v="TX500212"/>
        <s v="TX500213"/>
        <s v="TX500214"/>
        <s v="TX500215"/>
        <s v="TX500216"/>
        <s v="TX500217"/>
        <s v="TX500218"/>
        <s v="TX500219"/>
        <s v="TX500220"/>
        <s v="TX500221"/>
        <s v="TX500222"/>
        <s v="TX500223"/>
        <s v="TX500224"/>
        <s v="TX500225"/>
        <s v="TX500226"/>
        <s v="TX500227"/>
        <s v="TX500228"/>
        <s v="TX500229"/>
        <s v="TX500230"/>
        <s v="TX500231"/>
        <s v="TX500232"/>
        <s v="TX500233"/>
        <s v="TX500234"/>
        <s v="TX500235"/>
        <s v="TX500236"/>
        <s v="TX500237"/>
        <s v="TX500238"/>
        <s v="TX500239"/>
        <s v="TX500240"/>
        <s v="TX500241"/>
        <s v="TX500242"/>
        <s v="TX500243"/>
        <s v="TX500244"/>
        <s v="TX500245"/>
        <s v="TX500246"/>
        <s v="TX500247"/>
        <s v="TX500248"/>
        <s v="TX500249"/>
        <s v="TX500250"/>
        <s v="TX500251"/>
        <s v="TX500252"/>
        <s v="TX500253"/>
        <s v="TX500254"/>
        <s v="TX500255"/>
        <s v="TX500256"/>
        <s v="TX500257"/>
        <s v="TX500258"/>
        <s v="TX500259"/>
        <s v="TX500260"/>
        <s v="TX500261"/>
        <s v="TX500262"/>
        <s v="TX500263"/>
        <s v="TX500264"/>
        <s v="TX500265"/>
        <s v="TX500266"/>
        <s v="TX500267"/>
        <s v="TX500268"/>
        <s v="TX500269"/>
        <s v="TX500270"/>
        <s v="TX500271"/>
        <s v="TX500272"/>
        <s v="TX500273"/>
        <s v="TX500274"/>
        <s v="TX500275"/>
        <s v="TX500276"/>
        <s v="TX500277"/>
        <s v="TX500278"/>
        <s v="TX500279"/>
        <s v="TX500280"/>
        <s v="TX500281"/>
        <s v="TX500282"/>
        <s v="TX500283"/>
        <s v="TX500284"/>
        <s v="TX500285"/>
        <s v="TX500286"/>
        <s v="TX500287"/>
        <s v="TX500288"/>
        <s v="TX500289"/>
        <s v="TX500290"/>
        <s v="TX500291"/>
        <s v="TX500292"/>
        <s v="TX500293"/>
        <s v="TX500294"/>
        <s v="TX500295"/>
        <s v="TX500296"/>
        <s v="TX500297"/>
        <s v="TX500298"/>
        <s v="TX500299"/>
        <s v="TX500300"/>
        <s v="TX500301"/>
        <s v="TX500302"/>
        <s v="TX500303"/>
        <s v="TX500304"/>
        <s v="TX500305"/>
        <s v="TX500306"/>
        <s v="TX500307"/>
        <s v="TX500308"/>
        <s v="TX500309"/>
        <s v="TX500310"/>
        <s v="TX500311"/>
        <s v="TX500312"/>
        <s v="TX500313"/>
        <s v="TX500314"/>
        <s v="TX500315"/>
        <s v="TX500316"/>
        <s v="TX500317"/>
        <s v="TX500318"/>
        <s v="TX500319"/>
        <s v="TX500320"/>
        <s v="TX500321"/>
        <s v="TX500322"/>
        <s v="TX500323"/>
        <s v="TX500324"/>
        <s v="TX500325"/>
        <s v="TX500326"/>
        <s v="TX500327"/>
        <s v="TX500328"/>
        <s v="TX500329"/>
        <s v="TX500330"/>
        <s v="TX500331"/>
        <s v="TX500332"/>
        <s v="TX500333"/>
        <s v="TX500334"/>
        <s v="TX500335"/>
        <s v="TX500336"/>
        <s v="TX500337"/>
        <s v="TX500338"/>
        <s v="TX500339"/>
        <s v="TX500340"/>
        <s v="TX500341"/>
        <s v="TX500342"/>
        <s v="TX500343"/>
        <s v="TX500344"/>
        <s v="TX500345"/>
        <s v="TX500346"/>
        <s v="TX500347"/>
        <s v="TX500348"/>
        <s v="TX500349"/>
        <s v="TX500350"/>
        <s v="TX500351"/>
        <s v="TX500352"/>
        <s v="TX500353"/>
        <s v="TX500354"/>
        <s v="TX500355"/>
        <s v="TX500356"/>
        <s v="TX500357"/>
        <s v="TX500358"/>
        <s v="TX500359"/>
        <s v="TX500360"/>
        <s v="TX500361"/>
        <s v="TX500362"/>
        <s v="TX500363"/>
        <s v="TX500364"/>
        <s v="TX500365"/>
        <s v="TX500366"/>
        <s v="TX500367"/>
        <s v="TX500368"/>
        <s v="TX500369"/>
        <s v="TX500370"/>
        <s v="TX500371"/>
        <s v="TX500372"/>
        <s v="TX500373"/>
        <s v="TX500374"/>
        <s v="TX500375"/>
        <s v="TX500376"/>
        <s v="TX500377"/>
        <s v="TX500378"/>
        <s v="TX500379"/>
        <s v="TX500380"/>
        <s v="TX500381"/>
        <s v="TX500382"/>
        <s v="TX500383"/>
        <s v="TX500384"/>
        <s v="TX500385"/>
        <s v="TX500386"/>
        <s v="TX500387"/>
        <s v="TX500388"/>
        <s v="TX500389"/>
        <s v="TX500390"/>
        <s v="TX500391"/>
        <s v="TX500392"/>
        <s v="TX500393"/>
        <s v="TX500394"/>
        <s v="TX500395"/>
        <s v="TX500396"/>
        <s v="TX500397"/>
        <s v="TX500398"/>
        <s v="TX500399"/>
        <s v="TX500400"/>
        <s v="TX500401"/>
        <s v="TX500402"/>
        <s v="TX500403"/>
        <s v="TX500404"/>
        <s v="TX500405"/>
        <s v="TX500406"/>
        <s v="TX500407"/>
        <s v="TX500408"/>
        <s v="TX500409"/>
        <s v="TX500410"/>
        <s v="TX500411"/>
        <s v="TX500412"/>
        <s v="TX500413"/>
        <s v="TX500414"/>
        <s v="TX500415"/>
        <s v="TX500416"/>
        <s v="TX500417"/>
        <s v="TX500418"/>
        <s v="TX500419"/>
        <s v="TX500420"/>
        <s v="TX500421"/>
        <s v="TX500422"/>
        <s v="TX500423"/>
        <s v="TX500424"/>
        <s v="TX500425"/>
        <s v="TX500426"/>
        <s v="TX500427"/>
        <s v="TX500428"/>
        <s v="TX500429"/>
        <s v="TX500430"/>
        <s v="TX500431"/>
        <s v="TX500432"/>
        <s v="TX500433"/>
        <s v="TX500434"/>
        <s v="TX500435"/>
        <s v="TX500436"/>
        <s v="TX500437"/>
        <s v="TX500438"/>
        <s v="TX500439"/>
        <s v="TX500440"/>
        <s v="TX500441"/>
        <s v="TX500442"/>
        <s v="TX500443"/>
        <s v="TX500444"/>
        <s v="TX500445"/>
        <s v="TX500446"/>
        <s v="TX500447"/>
        <s v="TX500448"/>
        <s v="TX500449"/>
        <s v="TX500450"/>
        <s v="TX500451"/>
        <s v="TX500452"/>
        <s v="TX500453"/>
        <s v="TX500454"/>
        <s v="TX500455"/>
        <s v="TX500456"/>
        <s v="TX500457"/>
        <s v="TX500458"/>
        <s v="TX500459"/>
        <s v="TX500460"/>
        <s v="TX500461"/>
        <s v="TX500462"/>
        <s v="TX500463"/>
        <s v="TX500464"/>
        <s v="TX500465"/>
        <s v="TX500466"/>
        <s v="TX500467"/>
        <s v="TX500468"/>
        <s v="TX500469"/>
        <s v="TX500470"/>
        <s v="TX500471"/>
        <s v="TX500472"/>
        <s v="TX500473"/>
        <s v="TX500474"/>
        <s v="TX500475"/>
        <s v="TX500476"/>
        <s v="TX500477"/>
        <s v="TX500478"/>
        <s v="TX500479"/>
        <s v="TX500480"/>
        <s v="TX500481"/>
        <s v="TX500482"/>
        <s v="TX500483"/>
        <s v="TX500484"/>
        <s v="TX500485"/>
        <s v="TX500486"/>
        <s v="TX500487"/>
        <s v="TX500488"/>
        <s v="TX500489"/>
        <s v="TX500490"/>
        <s v="TX500491"/>
        <s v="TX500492"/>
        <s v="TX500493"/>
        <s v="TX500494"/>
        <s v="TX500495"/>
        <s v="TX500496"/>
        <s v="TX500497"/>
        <s v="TX500498"/>
        <s v="TX500499"/>
        <s v="TX500500"/>
        <s v="TX500501"/>
        <s v="TX500502"/>
        <s v="TX500503"/>
        <s v="TX500504"/>
        <s v="TX500505"/>
        <s v="TX500506"/>
        <s v="TX500507"/>
        <s v="TX500508"/>
        <s v="TX500509"/>
        <s v="TX500510"/>
        <s v="TX500511"/>
        <s v="TX500512"/>
        <s v="TX500513"/>
        <s v="TX500514"/>
        <s v="TX500515"/>
        <s v="TX500516"/>
        <s v="TX500517"/>
        <s v="TX500518"/>
        <s v="TX500519"/>
        <s v="TX500520"/>
        <s v="TX500521"/>
        <s v="TX500522"/>
        <s v="TX500523"/>
        <s v="TX500524"/>
        <s v="TX500525"/>
        <s v="TX500526"/>
        <s v="TX500527"/>
        <s v="TX500528"/>
        <s v="TX500529"/>
        <s v="TX500530"/>
        <s v="TX500531"/>
        <s v="TX500532"/>
        <s v="TX500533"/>
        <s v="TX500534"/>
        <s v="TX500535"/>
        <s v="TX500536"/>
        <s v="TX500537"/>
        <s v="TX500538"/>
        <s v="TX500539"/>
        <s v="TX500540"/>
        <s v="TX500541"/>
        <s v="TX500542"/>
        <s v="TX500543"/>
        <s v="TX500544"/>
        <s v="TX500545"/>
        <s v="TX500546"/>
        <s v="TX500547"/>
        <s v="TX500548"/>
        <s v="TX500549"/>
        <s v="TX500550"/>
        <s v="TX500551"/>
        <s v="TX500552"/>
        <s v="TX500553"/>
        <s v="TX500554"/>
        <s v="TX500555"/>
        <s v="TX500556"/>
        <s v="TX500557"/>
        <s v="TX500558"/>
        <s v="TX500559"/>
        <s v="TX500560"/>
        <s v="TX500561"/>
        <s v="TX500562"/>
        <s v="TX500563"/>
        <s v="TX500564"/>
        <s v="TX500565"/>
        <s v="TX500566"/>
        <s v="TX500567"/>
        <s v="TX500568"/>
        <s v="TX500569"/>
        <s v="TX500570"/>
        <s v="TX500571"/>
        <s v="TX500572"/>
        <s v="TX500573"/>
        <s v="TX500574"/>
        <s v="TX500575"/>
        <s v="TX500576"/>
        <s v="TX500577"/>
        <s v="TX500578"/>
        <s v="TX500579"/>
        <s v="TX500580"/>
        <s v="TX500581"/>
        <s v="TX500582"/>
        <s v="TX500583"/>
        <s v="TX500584"/>
        <s v="TX500585"/>
        <s v="TX500586"/>
        <s v="TX500587"/>
        <s v="TX500588"/>
        <s v="TX500589"/>
        <s v="TX500590"/>
        <s v="TX500591"/>
        <s v="TX500592"/>
        <s v="TX500593"/>
        <s v="TX500594"/>
        <s v="TX500595"/>
        <s v="TX500596"/>
        <s v="TX500597"/>
        <s v="TX500598"/>
        <s v="TX500599"/>
        <s v="TX500600"/>
        <s v="TX500601"/>
        <s v="TX500602"/>
        <s v="TX500603"/>
        <s v="TX500604"/>
        <s v="TX500605"/>
        <s v="TX500606"/>
        <s v="TX500607"/>
        <s v="TX500608"/>
        <s v="TX500609"/>
        <s v="TX500610"/>
        <s v="TX500611"/>
        <s v="TX500612"/>
        <s v="TX500613"/>
        <s v="TX500614"/>
        <s v="TX500615"/>
        <s v="TX500616"/>
        <s v="TX500617"/>
        <s v="TX500618"/>
        <s v="TX500619"/>
        <s v="TX500620"/>
        <s v="TX500621"/>
        <s v="TX500622"/>
        <s v="TX500623"/>
        <s v="TX500624"/>
        <s v="TX500625"/>
        <s v="TX500626"/>
        <s v="TX500627"/>
        <s v="TX500628"/>
        <s v="TX500629"/>
        <s v="TX500630"/>
        <s v="TX500631"/>
        <s v="TX500632"/>
        <s v="TX500633"/>
        <s v="TX500634"/>
        <s v="TX500635"/>
        <s v="TX500636"/>
        <s v="TX500637"/>
        <s v="TX500638"/>
        <s v="TX500639"/>
        <s v="TX500640"/>
        <s v="TX500641"/>
        <s v="TX500642"/>
        <s v="TX500643"/>
        <s v="TX500644"/>
        <s v="TX500645"/>
        <s v="TX500646"/>
        <s v="TX500647"/>
        <s v="TX500648"/>
        <s v="TX500649"/>
        <s v="TX500650"/>
        <s v="TX500651"/>
        <s v="TX500652"/>
        <s v="TX500653"/>
        <s v="TX500654"/>
        <s v="TX500655"/>
        <s v="TX500656"/>
        <s v="TX500657"/>
        <s v="TX500658"/>
        <s v="TX500659"/>
        <s v="TX500660"/>
        <s v="TX500661"/>
        <s v="TX500662"/>
        <s v="TX500663"/>
        <s v="TX500664"/>
        <s v="TX500665"/>
        <s v="TX500666"/>
        <s v="TX500667"/>
        <s v="TX500668"/>
        <s v="TX500669"/>
        <s v="TX500670"/>
        <s v="TX500671"/>
        <s v="TX500672"/>
        <s v="TX500673"/>
        <s v="TX500674"/>
        <s v="TX500675"/>
        <s v="TX500676"/>
        <s v="TX500677"/>
        <s v="TX500678"/>
        <s v="TX500679"/>
        <s v="TX500680"/>
        <s v="TX500681"/>
        <s v="TX500682"/>
        <s v="TX500683"/>
        <s v="TX500684"/>
        <s v="TX500685"/>
        <s v="TX500686"/>
        <s v="TX500687"/>
        <s v="TX500688"/>
        <s v="TX500689"/>
        <s v="TX500690"/>
        <s v="TX500691"/>
        <s v="TX500692"/>
        <s v="TX500693"/>
        <s v="TX500694"/>
        <s v="TX500695"/>
        <s v="TX500696"/>
        <s v="TX500697"/>
        <s v="TX500698"/>
        <s v="TX500699"/>
        <s v="TX500700"/>
        <s v="TX500701"/>
        <s v="TX500702"/>
        <s v="TX500703"/>
        <s v="TX500704"/>
        <s v="TX500705"/>
        <s v="TX500706"/>
        <s v="TX500707"/>
        <s v="TX500708"/>
        <s v="TX500709"/>
        <s v="TX500710"/>
        <s v="TX500711"/>
        <s v="TX500712"/>
        <s v="TX500713"/>
        <s v="TX500714"/>
        <s v="TX500715"/>
        <s v="TX500716"/>
        <s v="TX500717"/>
        <s v="TX500718"/>
        <s v="TX500719"/>
        <s v="TX500720"/>
        <s v="TX500721"/>
        <s v="TX500722"/>
        <s v="TX500723"/>
        <s v="TX500724"/>
        <s v="TX500725"/>
        <s v="TX500726"/>
        <s v="TX500727"/>
        <s v="TX500728"/>
        <s v="TX500729"/>
        <s v="TX500730"/>
        <s v="TX500731"/>
        <s v="TX500732"/>
        <s v="TX500733"/>
        <s v="TX500734"/>
        <s v="TX500735"/>
        <s v="TX500736"/>
        <s v="TX500737"/>
        <s v="TX500738"/>
        <s v="TX500739"/>
        <s v="TX500740"/>
        <s v="TX500741"/>
        <s v="TX500742"/>
        <s v="TX500743"/>
        <s v="TX500744"/>
        <s v="TX500745"/>
        <s v="TX500746"/>
        <s v="TX500747"/>
        <s v="TX500748"/>
        <s v="TX500749"/>
        <s v="TX500750"/>
        <s v="TX500751"/>
        <s v="TX500752"/>
        <s v="TX500753"/>
        <s v="TX500754"/>
        <s v="TX500755"/>
        <s v="TX500756"/>
        <s v="TX500757"/>
        <s v="TX500758"/>
        <s v="TX500759"/>
        <s v="TX500760"/>
        <s v="TX500761"/>
        <s v="TX500762"/>
        <s v="TX500763"/>
        <s v="TX500764"/>
        <s v="TX500765"/>
        <s v="TX500766"/>
        <s v="TX500767"/>
        <s v="TX500768"/>
        <s v="TX500769"/>
        <s v="TX500770"/>
        <s v="TX500771"/>
        <s v="TX500772"/>
        <s v="TX500773"/>
        <s v="TX500774"/>
        <s v="TX500775"/>
        <s v="TX500776"/>
        <s v="TX500777"/>
        <s v="TX500778"/>
        <s v="TX500779"/>
        <s v="TX500780"/>
        <s v="TX500781"/>
        <s v="TX500782"/>
        <s v="TX500783"/>
        <s v="TX500784"/>
        <s v="TX500785"/>
        <s v="TX500786"/>
        <s v="TX500787"/>
        <s v="TX500788"/>
        <s v="TX500789"/>
        <s v="TX500790"/>
        <s v="TX500791"/>
        <s v="TX500792"/>
        <s v="TX500793"/>
        <s v="TX500794"/>
        <s v="TX500795"/>
        <s v="TX500796"/>
        <s v="TX500797"/>
        <s v="TX500798"/>
        <s v="TX500799"/>
        <s v="TX500800"/>
        <s v="TX500801"/>
        <s v="TX500802"/>
        <s v="TX500803"/>
        <s v="TX500804"/>
        <s v="TX500805"/>
        <s v="TX500806"/>
        <s v="TX500807"/>
        <s v="TX500808"/>
        <s v="TX500809"/>
        <s v="TX500810"/>
        <s v="TX500811"/>
        <s v="TX500812"/>
        <s v="TX500813"/>
        <s v="TX500814"/>
        <s v="TX500815"/>
        <s v="TX500816"/>
        <s v="TX500817"/>
        <s v="TX500818"/>
        <s v="TX500819"/>
        <s v="TX500820"/>
        <s v="TX500821"/>
        <s v="TX500822"/>
        <s v="TX500823"/>
        <s v="TX500824"/>
        <s v="TX500825"/>
        <s v="TX500826"/>
        <s v="TX500827"/>
        <s v="TX500828"/>
        <s v="TX500829"/>
        <s v="TX500830"/>
        <s v="TX500831"/>
        <s v="TX500832"/>
        <s v="TX500833"/>
        <s v="TX500834"/>
        <s v="TX500835"/>
        <s v="TX500836"/>
        <s v="TX500837"/>
        <s v="TX500838"/>
        <s v="TX500839"/>
        <s v="TX500840"/>
        <s v="TX500841"/>
        <s v="TX500842"/>
        <s v="TX500843"/>
        <s v="TX500844"/>
        <s v="TX500845"/>
        <s v="TX500846"/>
        <s v="TX500847"/>
        <s v="TX500848"/>
        <s v="TX500849"/>
        <s v="TX500850"/>
        <s v="TX500851"/>
        <s v="TX500852"/>
        <s v="TX500853"/>
        <s v="TX500854"/>
        <s v="TX500855"/>
        <s v="TX500856"/>
        <s v="TX500857"/>
        <s v="TX500858"/>
        <s v="TX500859"/>
        <s v="TX500860"/>
        <s v="TX500861"/>
        <s v="TX500862"/>
        <s v="TX500863"/>
        <s v="TX500864"/>
        <s v="TX500865"/>
        <s v="TX500866"/>
        <s v="TX500867"/>
        <s v="TX500868"/>
        <s v="TX500869"/>
        <s v="TX500870"/>
        <s v="TX500871"/>
        <s v="TX500872"/>
        <s v="TX500873"/>
        <s v="TX500874"/>
        <s v="TX500875"/>
        <s v="TX500876"/>
        <s v="TX500877"/>
        <s v="TX500878"/>
        <s v="TX500879"/>
        <s v="TX500880"/>
        <s v="TX500881"/>
        <s v="TX500882"/>
        <s v="TX500883"/>
        <s v="TX500884"/>
        <s v="TX500885"/>
        <s v="TX500886"/>
        <s v="TX500887"/>
        <s v="TX500888"/>
        <s v="TX500889"/>
        <s v="TX500890"/>
        <s v="TX500891"/>
        <s v="TX500892"/>
        <s v="TX500893"/>
        <s v="TX500894"/>
        <s v="TX500895"/>
        <s v="TX500896"/>
        <s v="TX500897"/>
        <s v="TX500898"/>
        <s v="TX500899"/>
        <s v="TX500900"/>
        <s v="TX500901"/>
        <s v="TX500902"/>
        <s v="TX500903"/>
        <s v="TX500904"/>
        <s v="TX500905"/>
        <s v="TX500906"/>
        <s v="TX500907"/>
        <s v="TX500908"/>
        <s v="TX500909"/>
        <s v="TX500910"/>
        <s v="TX500911"/>
        <s v="TX500912"/>
        <s v="TX500913"/>
        <s v="TX500914"/>
        <s v="TX500915"/>
        <s v="TX500916"/>
        <s v="TX500917"/>
        <s v="TX500918"/>
        <s v="TX500919"/>
        <s v="TX500920"/>
        <s v="TX500921"/>
        <s v="TX500922"/>
        <s v="TX500923"/>
        <s v="TX500924"/>
        <s v="TX500925"/>
        <s v="TX500926"/>
        <s v="TX500927"/>
        <s v="TX500928"/>
        <s v="TX500929"/>
        <s v="TX500930"/>
        <s v="TX500931"/>
        <s v="TX500932"/>
        <s v="TX500933"/>
        <s v="TX500934"/>
        <s v="TX500935"/>
        <s v="TX500936"/>
        <s v="TX500937"/>
        <s v="TX500938"/>
        <s v="TX500939"/>
        <s v="TX500940"/>
        <s v="TX500941"/>
        <s v="TX500942"/>
        <s v="TX500943"/>
        <s v="TX500944"/>
        <s v="TX500945"/>
        <s v="TX500946"/>
        <s v="TX500947"/>
        <s v="TX500948"/>
        <s v="TX500949"/>
        <s v="TX500950"/>
        <s v="TX500951"/>
        <s v="TX500952"/>
        <s v="TX500953"/>
        <s v="TX500954"/>
        <s v="TX500955"/>
        <s v="TX500956"/>
        <s v="TX500957"/>
        <s v="TX500958"/>
        <s v="TX500959"/>
        <s v="TX500960"/>
        <s v="TX500961"/>
        <s v="TX500962"/>
        <s v="TX500963"/>
        <s v="TX500964"/>
        <s v="TX500965"/>
        <s v="TX500966"/>
        <s v="TX500967"/>
        <s v="TX500968"/>
        <s v="TX500969"/>
        <s v="TX500970"/>
        <s v="TX500971"/>
        <s v="TX500972"/>
        <s v="TX500973"/>
        <s v="TX500974"/>
        <s v="TX500975"/>
        <s v="TX500976"/>
        <s v="TX500977"/>
        <s v="TX500978"/>
        <s v="TX500979"/>
        <s v="TX500980"/>
        <s v="TX500981"/>
        <s v="TX500982"/>
        <s v="TX500983"/>
        <s v="TX500984"/>
        <s v="TX500985"/>
        <s v="TX500986"/>
        <s v="TX500987"/>
        <s v="TX500988"/>
        <s v="TX500989"/>
        <s v="TX500990"/>
        <s v="TX500991"/>
        <s v="TX500992"/>
        <s v="TX500993"/>
        <s v="TX500994"/>
        <s v="TX500995"/>
        <s v="TX500996"/>
        <s v="TX500997"/>
        <s v="TX500998"/>
        <s v="TX500999"/>
        <s v="TX501000"/>
        <s v="TX501001"/>
        <s v="TX501002"/>
        <s v="TX501003"/>
        <s v="TX501004"/>
        <s v="TX501005"/>
        <s v="TX501006"/>
        <s v="TX501007"/>
        <s v="TX501008"/>
        <s v="TX501009"/>
        <s v="TX501010"/>
        <s v="TX501011"/>
        <s v="TX501012"/>
        <s v="TX501013"/>
        <s v="TX501014"/>
        <s v="TX501015"/>
        <s v="TX501016"/>
        <s v="TX501017"/>
        <s v="TX501018"/>
        <s v="TX501019"/>
        <s v="TX501020"/>
        <s v="TX501021"/>
        <s v="TX501022"/>
        <s v="TX501023"/>
        <s v="TX501024"/>
        <s v="TX501025"/>
        <s v="TX501026"/>
        <s v="TX501027"/>
        <s v="TX501028"/>
        <s v="TX501029"/>
        <s v="TX501030"/>
        <s v="TX501031"/>
        <s v="TX501032"/>
        <s v="TX501033"/>
        <s v="TX501034"/>
        <s v="TX501035"/>
        <s v="TX501036"/>
        <s v="TX501037"/>
        <s v="TX501038"/>
        <s v="TX501039"/>
        <s v="TX501040"/>
        <s v="TX501041"/>
        <s v="TX501042"/>
        <s v="TX501043"/>
        <s v="TX501044"/>
        <s v="TX501045"/>
        <s v="TX501046"/>
        <s v="TX501047"/>
        <s v="TX501048"/>
        <s v="TX501049"/>
        <s v="TX501050"/>
        <s v="TX501051"/>
        <s v="TX501052"/>
        <s v="TX501053"/>
        <s v="TX501054"/>
        <s v="TX501055"/>
        <s v="TX501056"/>
        <s v="TX501057"/>
        <s v="TX501058"/>
        <s v="TX501059"/>
        <s v="TX501060"/>
        <s v="TX501061"/>
        <s v="TX501062"/>
        <s v="TX501063"/>
        <s v="TX501064"/>
        <s v="TX501065"/>
        <s v="TX501066"/>
        <s v="TX501067"/>
        <s v="TX501068"/>
        <s v="TX501069"/>
        <s v="TX501070"/>
        <s v="TX501071"/>
        <s v="TX501072"/>
        <s v="TX501073"/>
        <s v="TX501074"/>
        <s v="TX501075"/>
        <s v="TX501076"/>
        <s v="TX501077"/>
        <s v="TX501078"/>
        <s v="TX501079"/>
        <s v="TX501080"/>
        <s v="TX501081"/>
        <s v="TX501082"/>
        <s v="TX501083"/>
        <s v="TX501084"/>
        <s v="TX501085"/>
        <s v="TX501086"/>
        <s v="TX501087"/>
        <s v="TX501088"/>
        <s v="TX501089"/>
        <s v="TX501090"/>
        <s v="TX501091"/>
        <s v="TX501092"/>
        <s v="TX501093"/>
        <s v="TX501094"/>
        <s v="TX501095"/>
        <s v="TX501096"/>
        <s v="TX501097"/>
        <s v="TX501098"/>
        <s v="TX501099"/>
        <s v="TX501100"/>
        <s v="TX501101"/>
        <s v="TX501102"/>
        <s v="TX501103"/>
        <s v="TX501104"/>
        <s v="TX501105"/>
        <s v="TX501106"/>
        <s v="TX501107"/>
        <s v="TX501108"/>
        <s v="TX501109"/>
        <s v="TX501110"/>
        <s v="TX501111"/>
        <s v="TX501112"/>
        <s v="TX501113"/>
        <s v="TX501114"/>
        <s v="TX501115"/>
        <s v="TX501116"/>
        <s v="TX501117"/>
        <s v="TX501118"/>
        <s v="TX501119"/>
        <s v="TX501120"/>
        <s v="TX501121"/>
        <s v="TX501122"/>
        <s v="TX501123"/>
        <s v="TX501124"/>
        <s v="TX501125"/>
        <s v="TX501126"/>
        <s v="TX501127"/>
        <s v="TX501128"/>
        <s v="TX501129"/>
        <s v="TX501130"/>
        <s v="TX501131"/>
        <s v="TX501132"/>
        <s v="TX501133"/>
        <s v="TX501134"/>
        <s v="TX501135"/>
        <s v="TX501136"/>
        <s v="TX501137"/>
        <s v="TX501138"/>
        <s v="TX501139"/>
        <s v="TX501140"/>
        <s v="TX501141"/>
        <s v="TX501142"/>
        <s v="TX501143"/>
        <s v="TX501144"/>
        <s v="TX501145"/>
        <s v="TX501146"/>
        <s v="TX501147"/>
        <s v="TX501148"/>
        <s v="TX501149"/>
        <s v="TX501150"/>
        <s v="TX501151"/>
        <s v="TX501152"/>
        <s v="TX501153"/>
        <s v="TX501154"/>
        <s v="TX501155"/>
        <s v="TX501156"/>
        <s v="TX501157"/>
        <s v="TX501158"/>
        <s v="TX501159"/>
        <s v="TX501160"/>
        <s v="TX501161"/>
        <s v="TX501162"/>
        <s v="TX501163"/>
        <s v="TX501164"/>
        <s v="TX501165"/>
        <s v="TX501166"/>
        <s v="TX501167"/>
        <s v="TX501168"/>
        <s v="TX501169"/>
        <s v="TX501170"/>
        <s v="TX501171"/>
        <s v="TX501172"/>
        <s v="TX501173"/>
        <s v="TX501174"/>
        <s v="TX501175"/>
        <s v="TX501176"/>
        <s v="TX501177"/>
        <s v="TX501178"/>
        <s v="TX501179"/>
        <s v="TX501180"/>
        <s v="TX501181"/>
        <s v="TX501182"/>
        <s v="TX501183"/>
        <s v="TX501184"/>
        <s v="TX501185"/>
        <s v="TX501186"/>
        <s v="TX501187"/>
        <s v="TX501188"/>
        <s v="TX501189"/>
        <s v="TX501190"/>
        <s v="TX501191"/>
        <s v="TX501192"/>
        <s v="TX501193"/>
        <s v="TX501194"/>
        <s v="TX501195"/>
        <s v="TX501196"/>
        <s v="TX501197"/>
        <s v="TX501198"/>
        <s v="TX501199"/>
        <s v="TX501200"/>
        <s v="TX501201"/>
        <s v="TX501202"/>
        <s v="TX501203"/>
        <s v="TX501204"/>
        <s v="TX501205"/>
        <s v="TX501206"/>
        <s v="TX501207"/>
        <s v="TX501208"/>
        <s v="TX501209"/>
        <s v="TX501210"/>
        <s v="TX501211"/>
        <s v="TX501212"/>
        <s v="TX501213"/>
        <s v="TX501214"/>
        <s v="TX501215"/>
        <s v="TX501216"/>
        <s v="TX501217"/>
        <s v="TX501218"/>
        <s v="TX501219"/>
        <s v="TX501220"/>
        <s v="TX501221"/>
        <s v="TX501222"/>
        <s v="TX501223"/>
        <s v="TX501224"/>
        <s v="TX501225"/>
        <s v="TX501226"/>
        <s v="TX501227"/>
        <s v="TX501228"/>
        <s v="TX501229"/>
        <s v="TX501230"/>
        <s v="TX501231"/>
        <s v="TX501232"/>
        <s v="TX501233"/>
        <s v="TX501234"/>
        <s v="TX501235"/>
        <s v="TX501236"/>
        <s v="TX501237"/>
        <s v="TX501238"/>
        <s v="TX501239"/>
        <s v="TX501240"/>
        <s v="TX501241"/>
        <s v="TX501242"/>
        <s v="TX501243"/>
        <s v="TX501244"/>
        <s v="TX501245"/>
        <s v="TX501246"/>
        <s v="TX501247"/>
        <s v="TX501248"/>
        <s v="TX501249"/>
        <s v="TX501250"/>
        <s v="TX501251"/>
        <s v="TX501252"/>
        <s v="TX501253"/>
        <s v="TX501254"/>
        <s v="TX501255"/>
        <s v="TX501256"/>
        <s v="TX501257"/>
        <s v="TX501258"/>
        <s v="TX501259"/>
        <s v="TX501260"/>
        <s v="TX501261"/>
        <s v="TX501262"/>
        <s v="TX501263"/>
        <s v="TX501264"/>
        <s v="TX501265"/>
        <s v="TX501266"/>
        <s v="TX501267"/>
        <s v="TX501268"/>
        <s v="TX501269"/>
        <s v="TX501270"/>
        <s v="TX501271"/>
        <s v="TX501272"/>
        <s v="TX501273"/>
        <s v="TX501274"/>
        <s v="TX501275"/>
        <s v="TX501276"/>
        <s v="TX501277"/>
        <s v="TX501278"/>
        <s v="TX501279"/>
        <s v="TX501280"/>
        <s v="TX501281"/>
        <s v="TX501282"/>
        <s v="TX501283"/>
        <s v="TX501284"/>
        <s v="TX501285"/>
        <s v="TX501286"/>
        <s v="TX501287"/>
        <s v="TX501288"/>
        <s v="TX501289"/>
        <s v="TX501290"/>
        <s v="TX501291"/>
        <s v="TX501292"/>
        <s v="TX501293"/>
        <s v="TX501294"/>
        <s v="TX501295"/>
        <s v="TX501296"/>
        <s v="TX501297"/>
        <s v="TX501298"/>
        <s v="TX501299"/>
        <s v="TX501300"/>
        <s v="TX501301"/>
        <s v="TX501302"/>
        <s v="TX501303"/>
        <s v="TX501304"/>
        <s v="TX501305"/>
        <s v="TX501306"/>
        <s v="TX501307"/>
        <s v="TX501308"/>
        <s v="TX501309"/>
        <s v="TX501310"/>
        <s v="TX501311"/>
        <s v="TX501312"/>
        <s v="TX501313"/>
        <s v="TX501314"/>
        <s v="TX501315"/>
        <s v="TX501316"/>
        <s v="TX501317"/>
        <s v="TX501318"/>
        <s v="TX501319"/>
        <s v="TX501320"/>
        <s v="TX501321"/>
        <s v="TX501322"/>
        <s v="TX501323"/>
        <s v="TX501324"/>
        <s v="TX501325"/>
        <s v="TX501326"/>
        <s v="TX501327"/>
        <s v="TX501328"/>
        <s v="TX501329"/>
        <s v="TX501330"/>
        <s v="TX501331"/>
        <s v="TX501332"/>
        <s v="TX501333"/>
        <s v="TX501334"/>
        <s v="TX501335"/>
        <s v="TX501336"/>
        <s v="TX501337"/>
        <s v="TX501338"/>
        <s v="TX501339"/>
        <s v="TX501340"/>
        <s v="TX501341"/>
        <s v="TX501342"/>
        <s v="TX501343"/>
        <s v="TX501344"/>
        <s v="TX501345"/>
        <s v="TX501346"/>
        <s v="TX501347"/>
        <s v="TX501348"/>
        <s v="TX501349"/>
        <s v="TX501350"/>
        <s v="TX501351"/>
        <s v="TX501352"/>
        <s v="TX501353"/>
        <s v="TX501354"/>
        <s v="TX501355"/>
        <s v="TX501356"/>
        <s v="TX501357"/>
        <s v="TX501358"/>
        <s v="TX501359"/>
        <s v="TX501360"/>
        <s v="TX501361"/>
        <s v="TX501362"/>
        <s v="TX501363"/>
        <s v="TX501364"/>
        <s v="TX501365"/>
        <s v="TX501366"/>
        <s v="TX501367"/>
        <s v="TX501368"/>
        <s v="TX501369"/>
        <s v="TX501370"/>
        <s v="TX501371"/>
        <s v="TX501372"/>
        <s v="TX501373"/>
        <s v="TX501374"/>
        <s v="TX501375"/>
        <s v="TX501376"/>
        <s v="TX501377"/>
        <s v="TX501378"/>
        <s v="TX501379"/>
        <s v="TX501380"/>
        <s v="TX501381"/>
        <s v="TX501382"/>
        <s v="TX501383"/>
        <s v="TX501384"/>
        <s v="TX501385"/>
        <s v="TX501386"/>
        <s v="TX501387"/>
        <s v="TX501388"/>
        <s v="TX501389"/>
        <s v="TX501390"/>
        <s v="TX501391"/>
        <s v="TX501392"/>
        <s v="TX501393"/>
        <s v="TX501394"/>
        <s v="TX501395"/>
        <s v="TX501396"/>
        <s v="TX501397"/>
        <s v="TX501398"/>
        <s v="TX501399"/>
        <s v="TX501400"/>
        <s v="TX501401"/>
        <s v="TX501402"/>
        <s v="TX501403"/>
        <s v="TX501404"/>
        <s v="TX501405"/>
        <s v="TX501406"/>
        <s v="TX501407"/>
        <s v="TX501408"/>
        <s v="TX501409"/>
        <s v="TX501410"/>
        <s v="TX501411"/>
        <s v="TX501412"/>
        <s v="TX501413"/>
        <s v="TX501414"/>
        <s v="TX501415"/>
        <s v="TX501416"/>
        <s v="TX501417"/>
        <s v="TX501418"/>
        <s v="TX501419"/>
        <s v="TX501420"/>
        <s v="TX501421"/>
        <s v="TX501422"/>
        <s v="TX501423"/>
        <s v="TX501424"/>
        <s v="TX501425"/>
        <s v="TX501426"/>
        <s v="TX501427"/>
        <s v="TX501428"/>
        <s v="TX501429"/>
        <s v="TX501430"/>
        <s v="TX501431"/>
        <s v="TX501432"/>
        <s v="TX501433"/>
        <s v="TX501434"/>
        <s v="TX501435"/>
        <s v="TX501436"/>
        <s v="TX501437"/>
        <s v="TX501438"/>
        <s v="TX501439"/>
        <s v="TX501440"/>
        <s v="TX501441"/>
        <s v="TX501442"/>
        <s v="TX501443"/>
        <s v="TX501444"/>
        <s v="TX501445"/>
        <s v="TX501446"/>
        <s v="TX501447"/>
        <s v="TX501448"/>
        <s v="TX501449"/>
        <s v="TX501450"/>
        <s v="TX501451"/>
        <s v="TX501452"/>
        <s v="TX501453"/>
        <s v="TX501454"/>
        <s v="TX501455"/>
        <s v="TX501456"/>
        <s v="TX501457"/>
        <s v="TX501458"/>
        <s v="TX501459"/>
        <s v="TX501460"/>
        <s v="TX501461"/>
        <s v="TX501462"/>
        <s v="TX501463"/>
        <s v="TX501464"/>
        <s v="TX501465"/>
        <s v="TX501466"/>
        <s v="TX501467"/>
        <s v="TX501468"/>
        <s v="TX501469"/>
        <s v="TX501470"/>
        <s v="TX501471"/>
        <s v="TX501472"/>
        <s v="TX501473"/>
        <s v="TX501474"/>
        <s v="TX501475"/>
        <s v="TX501476"/>
        <s v="TX501477"/>
        <s v="TX501478"/>
        <s v="TX501479"/>
        <s v="TX501480"/>
        <s v="TX501481"/>
        <s v="TX501482"/>
        <s v="TX501483"/>
        <s v="TX501484"/>
        <s v="TX501485"/>
        <s v="TX501486"/>
        <s v="TX501487"/>
        <s v="TX501488"/>
        <s v="TX501489"/>
        <s v="TX501490"/>
        <s v="TX501491"/>
        <s v="TX501492"/>
        <s v="TX501493"/>
        <s v="TX501494"/>
        <s v="TX501495"/>
        <s v="TX501496"/>
        <s v="TX501497"/>
        <s v="TX501498"/>
        <s v="TX501499"/>
        <s v="TX501500"/>
        <s v="TX501501"/>
        <s v="TX501502"/>
        <s v="TX501503"/>
        <s v="TX501504"/>
        <s v="TX501505"/>
        <s v="TX501506"/>
        <s v="TX501507"/>
        <s v="TX501508"/>
        <s v="TX501509"/>
        <s v="TX501510"/>
        <s v="TX501511"/>
        <s v="TX501512"/>
        <s v="TX501513"/>
        <s v="TX501514"/>
        <s v="TX501515"/>
        <s v="TX501516"/>
        <s v="TX501517"/>
        <s v="TX501518"/>
        <s v="TX501519"/>
        <s v="TX501520"/>
        <s v="TX501521"/>
        <s v="TX501522"/>
        <s v="TX501523"/>
        <s v="TX501524"/>
        <s v="TX501525"/>
        <s v="TX501526"/>
        <s v="TX501527"/>
        <s v="TX501528"/>
        <s v="TX501529"/>
        <s v="TX501530"/>
        <s v="TX501531"/>
        <s v="TX501532"/>
        <s v="TX501533"/>
        <s v="TX501534"/>
        <s v="TX501535"/>
        <s v="TX501536"/>
        <s v="TX501537"/>
        <s v="TX501538"/>
        <s v="TX501539"/>
        <s v="TX501540"/>
        <s v="TX501541"/>
        <s v="TX501542"/>
        <s v="TX501543"/>
        <s v="TX501544"/>
        <s v="TX501545"/>
        <s v="TX501546"/>
        <s v="TX501547"/>
        <s v="TX501548"/>
        <s v="TX501549"/>
        <s v="TX501550"/>
        <s v="TX501551"/>
        <s v="TX501552"/>
        <s v="TX501553"/>
        <s v="TX501554"/>
        <s v="TX501555"/>
        <s v="TX501556"/>
        <s v="TX501557"/>
        <s v="TX501558"/>
        <s v="TX501559"/>
        <s v="TX501560"/>
        <s v="TX501561"/>
        <s v="TX501562"/>
        <s v="TX501563"/>
        <s v="TX501564"/>
        <s v="TX501565"/>
        <s v="TX501566"/>
        <s v="TX501567"/>
        <s v="TX501568"/>
        <s v="TX501569"/>
        <s v="TX501570"/>
        <s v="TX501571"/>
        <s v="TX501572"/>
        <s v="TX501573"/>
        <s v="TX501574"/>
        <s v="TX501575"/>
        <s v="TX501576"/>
        <s v="TX501577"/>
        <s v="TX501578"/>
        <s v="TX501579"/>
        <s v="TX501580"/>
        <s v="TX501581"/>
        <s v="TX501582"/>
        <s v="TX501583"/>
        <s v="TX501584"/>
        <s v="TX501585"/>
        <s v="TX501586"/>
        <s v="TX501587"/>
        <s v="TX501588"/>
        <s v="TX501589"/>
        <s v="TX501590"/>
        <s v="TX501591"/>
        <s v="TX501592"/>
        <s v="TX501593"/>
        <s v="TX501594"/>
        <s v="TX501595"/>
        <s v="TX501596"/>
        <s v="TX501597"/>
        <s v="TX501598"/>
        <s v="TX501599"/>
        <s v="TX501600"/>
        <s v="TX501601"/>
        <s v="TX501602"/>
        <s v="TX501603"/>
        <s v="TX501604"/>
        <s v="TX501605"/>
        <s v="TX501606"/>
        <s v="TX501607"/>
        <s v="TX501608"/>
        <s v="TX501609"/>
        <s v="TX501610"/>
        <s v="TX501611"/>
        <s v="TX501612"/>
        <s v="TX501613"/>
        <s v="TX501614"/>
        <s v="TX501615"/>
        <s v="TX501616"/>
        <s v="TX501617"/>
        <s v="TX501618"/>
        <s v="TX501619"/>
        <s v="TX501620"/>
        <s v="TX501621"/>
        <s v="TX501622"/>
        <s v="TX501623"/>
        <s v="TX501624"/>
        <s v="TX501625"/>
        <s v="TX501626"/>
        <s v="TX501627"/>
        <s v="TX501628"/>
        <s v="TX501629"/>
        <s v="TX501630"/>
        <s v="TX501631"/>
        <s v="TX501632"/>
        <s v="TX501633"/>
        <s v="TX501634"/>
        <s v="TX501635"/>
        <s v="TX501636"/>
        <s v="TX501637"/>
        <s v="TX501638"/>
        <s v="TX501639"/>
        <s v="TX501640"/>
        <s v="TX501641"/>
        <s v="TX501642"/>
        <s v="TX501643"/>
        <s v="TX501644"/>
        <s v="TX501645"/>
        <s v="TX501646"/>
        <s v="TX501647"/>
        <s v="TX501648"/>
        <s v="TX501649"/>
        <s v="TX501650"/>
        <s v="TX501651"/>
        <s v="TX501652"/>
        <s v="TX501653"/>
        <s v="TX501654"/>
        <s v="TX501655"/>
        <s v="TX501656"/>
        <s v="TX501657"/>
        <s v="TX501658"/>
        <s v="TX501659"/>
        <s v="TX501660"/>
        <s v="TX501661"/>
        <s v="TX501662"/>
        <s v="TX501663"/>
        <s v="TX501664"/>
        <s v="TX501665"/>
        <s v="TX501666"/>
        <s v="TX501667"/>
        <s v="TX501668"/>
        <s v="TX501669"/>
        <s v="TX501670"/>
        <s v="TX501671"/>
        <s v="TX501672"/>
        <s v="TX501673"/>
        <s v="TX501674"/>
        <s v="TX501675"/>
        <s v="TX501676"/>
        <s v="TX501677"/>
        <s v="TX501678"/>
        <s v="TX501679"/>
        <s v="TX501680"/>
        <s v="TX501681"/>
        <s v="TX501682"/>
        <s v="TX501683"/>
        <s v="TX501684"/>
        <s v="TX501685"/>
        <s v="TX501686"/>
        <s v="TX501687"/>
        <s v="TX501688"/>
        <s v="TX501689"/>
        <s v="TX501690"/>
        <s v="TX501691"/>
        <s v="TX501692"/>
        <s v="TX501693"/>
        <s v="TX501694"/>
        <s v="TX501695"/>
        <s v="TX501696"/>
        <s v="TX501697"/>
        <s v="TX501698"/>
        <s v="TX501699"/>
        <s v="TX501700"/>
        <s v="TX501701"/>
        <s v="TX501702"/>
        <s v="TX501703"/>
        <s v="TX501704"/>
        <s v="TX501705"/>
        <s v="TX501706"/>
        <s v="TX501707"/>
        <s v="TX501708"/>
        <s v="TX501709"/>
        <s v="TX501710"/>
        <s v="TX501711"/>
        <s v="TX501712"/>
        <s v="TX501713"/>
        <s v="TX501714"/>
        <s v="TX501715"/>
        <s v="TX501716"/>
        <s v="TX501717"/>
        <s v="TX501718"/>
        <s v="TX501719"/>
        <s v="TX501720"/>
        <s v="TX501721"/>
        <s v="TX501722"/>
        <s v="TX501723"/>
        <s v="TX501724"/>
        <s v="TX501725"/>
        <s v="TX501726"/>
        <s v="TX501727"/>
        <s v="TX501728"/>
        <s v="TX501729"/>
        <s v="TX501730"/>
        <s v="TX501731"/>
        <s v="TX501732"/>
        <s v="TX501733"/>
        <s v="TX501734"/>
        <s v="TX501735"/>
        <s v="TX501736"/>
        <s v="TX501737"/>
        <s v="TX501738"/>
        <s v="TX501739"/>
        <s v="TX501740"/>
        <s v="TX501741"/>
        <s v="TX501742"/>
        <s v="TX501743"/>
        <s v="TX501744"/>
        <s v="TX501745"/>
        <s v="TX501746"/>
        <s v="TX501747"/>
        <s v="TX501748"/>
        <s v="TX501749"/>
        <s v="TX501750"/>
        <s v="TX501751"/>
        <s v="TX501752"/>
        <s v="TX501753"/>
        <s v="TX501754"/>
        <s v="TX501755"/>
        <s v="TX501756"/>
        <s v="TX501757"/>
        <s v="TX501758"/>
        <s v="TX501759"/>
        <s v="TX501760"/>
        <s v="TX501761"/>
        <s v="TX501762"/>
        <s v="TX501763"/>
        <s v="TX501764"/>
        <s v="TX501765"/>
        <s v="TX501766"/>
        <s v="TX501767"/>
        <s v="TX501768"/>
        <s v="TX501769"/>
        <s v="TX501770"/>
        <s v="TX501771"/>
        <s v="TX501772"/>
        <s v="TX501773"/>
        <s v="TX501774"/>
        <s v="TX501775"/>
        <s v="TX501776"/>
        <s v="TX501777"/>
        <s v="TX501778"/>
        <s v="TX501779"/>
        <s v="TX501780"/>
        <s v="TX501781"/>
        <s v="TX501782"/>
        <s v="TX501783"/>
        <s v="TX501784"/>
        <s v="TX501785"/>
        <s v="TX501786"/>
        <s v="TX501787"/>
        <s v="TX501788"/>
        <s v="TX501789"/>
        <s v="TX501790"/>
        <s v="TX501791"/>
        <s v="TX501792"/>
        <s v="TX501793"/>
        <s v="TX501794"/>
        <s v="TX501795"/>
        <s v="TX501796"/>
        <s v="TX501797"/>
        <s v="TX501798"/>
        <s v="TX501799"/>
        <s v="TX501800"/>
        <s v="TX501801"/>
        <s v="TX501802"/>
        <s v="TX501803"/>
        <s v="TX501804"/>
        <s v="TX501805"/>
        <s v="TX501806"/>
        <s v="TX501807"/>
        <s v="TX501808"/>
        <s v="TX501809"/>
        <s v="TX501810"/>
        <s v="TX501811"/>
        <s v="TX501812"/>
        <s v="TX501813"/>
        <s v="TX501814"/>
        <s v="TX501815"/>
        <s v="TX501816"/>
        <s v="TX501817"/>
        <s v="TX501818"/>
        <s v="TX501819"/>
        <s v="TX501820"/>
        <s v="TX501821"/>
        <s v="TX501822"/>
        <s v="TX501823"/>
        <s v="TX501824"/>
        <s v="TX501825"/>
        <s v="TX501826"/>
        <s v="TX501827"/>
        <s v="TX501828"/>
        <s v="TX501829"/>
        <s v="TX501830"/>
        <s v="TX501831"/>
        <s v="TX501832"/>
        <s v="TX501833"/>
        <s v="TX501834"/>
        <s v="TX501835"/>
        <s v="TX501836"/>
        <s v="TX501837"/>
        <s v="TX501838"/>
        <s v="TX501839"/>
        <s v="TX501840"/>
        <s v="TX501841"/>
        <s v="TX501842"/>
        <s v="TX501843"/>
        <s v="TX501844"/>
        <s v="TX501845"/>
        <s v="TX501846"/>
        <s v="TX501847"/>
        <s v="TX501848"/>
        <s v="TX501849"/>
        <s v="TX501850"/>
        <s v="TX501851"/>
        <s v="TX501852"/>
        <s v="TX501853"/>
        <s v="TX501854"/>
        <s v="TX501855"/>
        <s v="TX501856"/>
        <s v="TX501857"/>
        <s v="TX501858"/>
        <s v="TX501859"/>
        <s v="TX501860"/>
        <s v="TX501861"/>
        <s v="TX501862"/>
        <s v="TX501863"/>
        <s v="TX501864"/>
        <s v="TX501865"/>
        <s v="TX501866"/>
        <s v="TX501867"/>
        <s v="TX501868"/>
        <s v="TX501869"/>
        <s v="TX501870"/>
        <s v="TX501871"/>
        <s v="TX501872"/>
        <s v="TX501873"/>
        <s v="TX501874"/>
        <s v="TX501875"/>
        <s v="TX501876"/>
        <s v="TX501877"/>
        <s v="TX501878"/>
        <s v="TX501879"/>
        <s v="TX501880"/>
        <s v="TX501881"/>
        <s v="TX501882"/>
        <s v="TX501883"/>
        <s v="TX501884"/>
        <s v="TX501885"/>
        <s v="TX501886"/>
        <s v="TX501887"/>
        <s v="TX501888"/>
        <s v="TX501889"/>
        <s v="TX501890"/>
        <s v="TX501891"/>
        <s v="TX501892"/>
        <s v="TX501893"/>
        <s v="TX501894"/>
        <s v="TX501895"/>
        <s v="TX501896"/>
        <s v="TX501897"/>
        <s v="TX501898"/>
        <s v="TX501899"/>
        <s v="TX501900"/>
        <s v="TX501901"/>
        <s v="TX501902"/>
        <s v="TX501903"/>
        <s v="TX501904"/>
        <s v="TX501905"/>
        <s v="TX501906"/>
        <s v="TX501907"/>
        <s v="TX501908"/>
        <s v="TX501909"/>
        <s v="TX501910"/>
        <s v="TX501911"/>
        <s v="TX501912"/>
        <s v="TX501913"/>
        <s v="TX501914"/>
        <s v="TX501915"/>
        <s v="TX501916"/>
        <s v="TX501917"/>
        <s v="TX501918"/>
        <s v="TX501919"/>
        <s v="TX501920"/>
        <s v="TX501921"/>
        <s v="TX501922"/>
        <s v="TX501923"/>
        <s v="TX501924"/>
        <s v="TX501925"/>
        <s v="TX501926"/>
        <s v="TX501927"/>
        <s v="TX501928"/>
        <s v="TX501929"/>
        <s v="TX501930"/>
        <s v="TX501931"/>
        <s v="TX501932"/>
        <s v="TX501933"/>
        <s v="TX501934"/>
        <s v="TX501935"/>
        <s v="TX501936"/>
        <s v="TX501937"/>
        <s v="TX501938"/>
        <s v="TX501939"/>
        <s v="TX501940"/>
        <s v="TX501941"/>
        <s v="TX501942"/>
        <s v="TX501943"/>
        <s v="TX501944"/>
        <s v="TX501945"/>
        <s v="TX501946"/>
        <s v="TX501947"/>
        <s v="TX501948"/>
        <s v="TX501949"/>
        <s v="TX501950"/>
        <s v="TX501951"/>
        <s v="TX501952"/>
        <s v="TX501953"/>
        <s v="TX501954"/>
        <s v="TX501955"/>
        <s v="TX501956"/>
        <s v="TX501957"/>
        <s v="TX501958"/>
        <s v="TX501959"/>
        <s v="TX501960"/>
        <s v="TX501961"/>
        <s v="TX501962"/>
        <s v="TX501963"/>
        <s v="TX501964"/>
        <s v="TX501965"/>
        <s v="TX501966"/>
        <s v="TX501967"/>
        <s v="TX501968"/>
        <s v="TX501969"/>
        <s v="TX501970"/>
        <s v="TX501971"/>
        <s v="TX501972"/>
        <s v="TX501973"/>
        <s v="TX501974"/>
        <s v="TX501975"/>
        <s v="TX501976"/>
        <s v="TX501977"/>
        <s v="TX501978"/>
        <s v="TX501979"/>
        <s v="TX501980"/>
        <s v="TX501981"/>
        <s v="TX501982"/>
        <s v="TX501983"/>
        <s v="TX501984"/>
        <s v="TX501985"/>
        <s v="TX501986"/>
        <s v="TX501987"/>
        <s v="TX501988"/>
        <s v="TX501989"/>
        <s v="TX501990"/>
        <s v="TX501991"/>
        <s v="TX501992"/>
        <s v="TX501993"/>
        <s v="TX501994"/>
        <s v="TX501995"/>
        <s v="TX501996"/>
        <s v="TX501997"/>
        <s v="TX501998"/>
        <s v="TX501999"/>
        <s v="TX502000"/>
        <s v="TX502001"/>
        <s v="TX502002"/>
        <s v="TX502003"/>
        <s v="TX502004"/>
        <s v="TX502005"/>
        <s v="TX502006"/>
        <s v="TX502007"/>
        <s v="TX502008"/>
        <s v="TX502009"/>
        <s v="TX502010"/>
        <s v="TX502011"/>
        <s v="TX502012"/>
        <s v="TX502013"/>
        <s v="TX502014"/>
        <s v="TX502015"/>
        <s v="TX502016"/>
        <s v="TX502017"/>
        <s v="TX502018"/>
        <s v="TX502019"/>
        <s v="TX502020"/>
        <s v="TX502021"/>
        <s v="TX502022"/>
        <s v="TX502023"/>
        <s v="TX502024"/>
        <s v="TX502025"/>
        <s v="TX502026"/>
        <s v="TX502027"/>
        <s v="TX502028"/>
        <s v="TX502029"/>
        <s v="TX502030"/>
        <s v="TX502031"/>
        <s v="TX502032"/>
        <s v="TX502033"/>
        <s v="TX502034"/>
        <s v="TX502035"/>
        <s v="TX502036"/>
        <s v="TX502037"/>
        <s v="TX502038"/>
        <s v="TX502039"/>
        <s v="TX502040"/>
        <s v="TX502041"/>
        <s v="TX502042"/>
        <s v="TX502043"/>
        <s v="TX502044"/>
        <s v="TX502045"/>
        <s v="TX502046"/>
        <s v="TX502047"/>
        <s v="TX502048"/>
        <s v="TX502049"/>
        <s v="TX502050"/>
        <s v="TX502051"/>
        <s v="TX502052"/>
        <s v="TX502053"/>
        <s v="TX502054"/>
        <s v="TX502055"/>
        <s v="TX502056"/>
        <s v="TX502057"/>
        <s v="TX502058"/>
        <s v="TX502059"/>
        <s v="TX502060"/>
        <s v="TX502061"/>
        <s v="TX502062"/>
        <s v="TX502063"/>
        <s v="TX502064"/>
        <s v="TX502065"/>
        <s v="TX502066"/>
        <s v="TX502067"/>
        <s v="TX502068"/>
        <s v="TX502069"/>
        <s v="TX502070"/>
        <s v="TX502071"/>
        <s v="TX502072"/>
        <s v="TX502073"/>
        <s v="TX502074"/>
        <s v="TX502075"/>
        <s v="TX502076"/>
        <s v="TX502077"/>
        <s v="TX502078"/>
        <s v="TX502079"/>
        <s v="TX502080"/>
        <s v="TX502081"/>
        <s v="TX502082"/>
        <s v="TX502083"/>
        <s v="TX502084"/>
        <s v="TX502085"/>
        <s v="TX502086"/>
        <s v="TX502087"/>
        <s v="TX502088"/>
        <s v="TX502089"/>
        <s v="TX502090"/>
        <s v="TX502091"/>
        <s v="TX502092"/>
        <s v="TX502093"/>
        <s v="TX502094"/>
        <s v="TX502095"/>
        <s v="TX502096"/>
        <s v="TX502097"/>
        <s v="TX502098"/>
        <s v="TX502099"/>
        <s v="TX502100"/>
        <s v="TX502101"/>
        <s v="TX502102"/>
        <s v="TX502103"/>
        <s v="TX502104"/>
        <s v="TX502105"/>
        <s v="TX502106"/>
        <s v="TX502107"/>
        <s v="TX502108"/>
        <s v="TX502109"/>
        <s v="TX502110"/>
        <s v="TX502111"/>
        <s v="TX502112"/>
        <s v="TX502113"/>
        <s v="TX502114"/>
        <s v="TX502115"/>
        <s v="TX502116"/>
        <s v="TX502117"/>
        <s v="TX502118"/>
        <s v="TX502119"/>
        <s v="TX502120"/>
        <s v="TX502121"/>
        <s v="TX502122"/>
        <s v="TX502123"/>
        <s v="TX502124"/>
        <s v="TX502125"/>
        <s v="TX502126"/>
        <s v="TX502127"/>
        <s v="TX502128"/>
        <s v="TX502129"/>
        <s v="TX502130"/>
        <s v="TX502131"/>
        <s v="TX502132"/>
        <s v="TX502133"/>
        <s v="TX502134"/>
        <s v="TX502135"/>
        <s v="TX502136"/>
        <s v="TX502137"/>
        <s v="TX502138"/>
        <s v="TX502139"/>
        <s v="TX502140"/>
        <s v="TX502141"/>
        <s v="TX502142"/>
        <s v="TX502143"/>
        <s v="TX502144"/>
        <s v="TX502145"/>
        <s v="TX502146"/>
        <s v="TX502147"/>
        <s v="TX502148"/>
        <s v="TX502149"/>
        <s v="TX502150"/>
        <s v="TX502151"/>
        <s v="TX502152"/>
        <s v="TX502153"/>
        <s v="TX502154"/>
        <s v="TX502155"/>
        <s v="TX502156"/>
        <s v="TX502157"/>
        <s v="TX502158"/>
        <s v="TX502159"/>
        <s v="TX502160"/>
        <s v="TX502161"/>
        <s v="TX502162"/>
        <s v="TX502163"/>
        <s v="TX502164"/>
        <s v="TX502165"/>
        <s v="TX502166"/>
        <s v="TX502167"/>
        <s v="TX502168"/>
        <s v="TX502169"/>
        <s v="TX502170"/>
        <s v="TX502171"/>
        <s v="TX502172"/>
        <s v="TX502173"/>
        <s v="TX502174"/>
        <s v="TX502175"/>
        <s v="TX502176"/>
        <s v="TX502177"/>
        <s v="TX502178"/>
        <s v="TX502179"/>
        <s v="TX502180"/>
        <s v="TX502181"/>
        <s v="TX502182"/>
        <s v="TX502183"/>
        <s v="TX502184"/>
        <s v="TX502185"/>
        <s v="TX502186"/>
        <s v="TX502187"/>
        <s v="TX502188"/>
        <s v="TX502189"/>
        <s v="TX502190"/>
        <s v="TX502191"/>
        <s v="TX502192"/>
        <s v="TX502193"/>
        <s v="TX502194"/>
        <s v="TX502195"/>
        <s v="TX502196"/>
        <s v="TX502197"/>
        <s v="TX502198"/>
        <s v="TX502199"/>
        <s v="TX502200"/>
        <s v="TX502201"/>
        <s v="TX502202"/>
        <s v="TX502203"/>
        <s v="TX502204"/>
        <s v="TX502205"/>
        <s v="TX502206"/>
        <s v="TX502207"/>
        <s v="TX502208"/>
        <s v="TX502209"/>
        <s v="TX502210"/>
        <s v="TX502211"/>
        <s v="TX502212"/>
        <s v="TX502213"/>
        <s v="TX502214"/>
        <s v="TX502215"/>
        <s v="TX502216"/>
        <s v="TX502217"/>
        <s v="TX502218"/>
        <s v="TX502219"/>
        <s v="TX502220"/>
        <s v="TX502221"/>
        <s v="TX502222"/>
        <s v="TX502223"/>
        <s v="TX502224"/>
        <s v="TX502225"/>
        <s v="TX502226"/>
        <s v="TX502227"/>
        <s v="TX502228"/>
        <s v="TX502229"/>
        <s v="TX502230"/>
        <s v="TX502231"/>
        <s v="TX502232"/>
        <s v="TX502233"/>
        <s v="TX502234"/>
        <s v="TX502235"/>
        <s v="TX502236"/>
        <s v="TX502237"/>
        <s v="TX502238"/>
        <s v="TX502239"/>
        <s v="TX502240"/>
        <s v="TX502241"/>
        <s v="TX502242"/>
        <s v="TX502243"/>
        <s v="TX502244"/>
        <s v="TX502245"/>
        <s v="TX502246"/>
        <s v="TX502247"/>
        <s v="TX502248"/>
        <s v="TX502249"/>
        <s v="TX502250"/>
        <s v="TX502251"/>
        <s v="TX502252"/>
        <s v="TX502253"/>
        <s v="TX502254"/>
        <s v="TX502255"/>
        <s v="TX502256"/>
        <s v="TX502257"/>
        <s v="TX502258"/>
        <s v="TX502259"/>
        <s v="TX502260"/>
        <s v="TX502261"/>
        <s v="TX502262"/>
        <s v="TX502263"/>
        <s v="TX502264"/>
        <s v="TX502265"/>
        <s v="TX502266"/>
        <s v="TX502267"/>
        <s v="TX502268"/>
        <s v="TX502269"/>
        <s v="TX502270"/>
        <s v="TX502271"/>
        <s v="TX502272"/>
        <s v="TX502273"/>
        <s v="TX502274"/>
        <s v="TX502275"/>
        <s v="TX502276"/>
        <s v="TX502277"/>
        <s v="TX502278"/>
        <s v="TX502279"/>
        <s v="TX502280"/>
        <s v="TX502281"/>
        <s v="TX502282"/>
        <s v="TX502283"/>
        <s v="TX502284"/>
        <s v="TX502285"/>
        <s v="TX502286"/>
        <s v="TX502287"/>
        <s v="TX502288"/>
        <s v="TX502289"/>
        <s v="TX502290"/>
        <s v="TX502291"/>
        <s v="TX502292"/>
        <s v="TX502293"/>
        <s v="TX502294"/>
        <s v="TX502295"/>
        <s v="TX502296"/>
        <s v="TX502297"/>
        <s v="TX502298"/>
        <s v="TX502299"/>
        <s v="TX502300"/>
        <s v="TX502301"/>
        <s v="TX502302"/>
        <s v="TX502303"/>
        <s v="TX502304"/>
        <s v="TX502305"/>
        <s v="TX502306"/>
        <s v="TX502307"/>
        <s v="TX502308"/>
        <s v="TX502309"/>
        <s v="TX502310"/>
        <s v="TX502311"/>
        <s v="TX502312"/>
        <s v="TX502313"/>
        <s v="TX502314"/>
        <s v="TX502315"/>
        <s v="TX502316"/>
        <s v="TX502317"/>
        <s v="TX502318"/>
        <s v="TX502319"/>
        <s v="TX502320"/>
        <s v="TX502321"/>
        <s v="TX502322"/>
        <s v="TX502323"/>
        <s v="TX502324"/>
        <s v="TX502325"/>
        <s v="TX502326"/>
        <s v="TX502327"/>
        <s v="TX502328"/>
        <s v="TX502329"/>
        <s v="TX502330"/>
        <s v="TX502331"/>
        <s v="TX502332"/>
        <s v="TX502333"/>
        <s v="TX502334"/>
        <s v="TX502335"/>
        <s v="TX502336"/>
        <s v="TX502337"/>
        <s v="TX502338"/>
        <s v="TX502339"/>
        <s v="TX502340"/>
        <s v="TX502341"/>
        <s v="TX502342"/>
        <s v="TX502343"/>
        <s v="TX502344"/>
        <s v="TX502345"/>
        <s v="TX502346"/>
        <s v="TX502347"/>
        <s v="TX502348"/>
        <s v="TX502349"/>
        <s v="TX502350"/>
        <s v="TX502351"/>
        <s v="TX502352"/>
        <s v="TX502353"/>
        <s v="TX502354"/>
        <s v="TX502355"/>
        <s v="TX502356"/>
        <s v="TX502357"/>
        <s v="TX502358"/>
        <s v="TX502359"/>
        <s v="TX502360"/>
        <s v="TX502361"/>
        <s v="TX502362"/>
        <s v="TX502363"/>
        <s v="TX502364"/>
        <s v="TX502365"/>
        <s v="TX502366"/>
        <s v="TX502367"/>
        <s v="TX502368"/>
        <s v="TX502369"/>
        <s v="TX502370"/>
        <s v="TX502371"/>
        <s v="TX502372"/>
        <s v="TX502373"/>
        <s v="TX502374"/>
        <s v="TX502375"/>
        <s v="TX502376"/>
        <s v="TX502377"/>
        <s v="TX502378"/>
        <s v="TX502379"/>
        <s v="TX502380"/>
        <s v="TX502381"/>
        <s v="TX502382"/>
        <s v="TX502383"/>
        <s v="TX502384"/>
        <s v="TX502385"/>
        <s v="TX502386"/>
        <s v="TX502387"/>
        <s v="TX502388"/>
        <s v="TX502389"/>
        <s v="TX502390"/>
        <s v="TX502391"/>
        <s v="TX502392"/>
        <s v="TX502393"/>
        <s v="TX502394"/>
        <s v="TX502395"/>
        <s v="TX502396"/>
        <s v="TX502397"/>
        <s v="TX502398"/>
        <s v="TX502399"/>
        <s v="TX50240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ount="88">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sharedItems>
      <fieldGroup par="17"/>
    </cacheField>
    <cacheField name="Ship Date" numFmtId="15">
      <sharedItems containsSemiMixedTypes="0" containsNonDate="0" containsDate="1" containsString="0" minDate="2025-01-02T00:00:00" maxDate="2025-04-11T00:00:00"/>
    </cacheField>
    <cacheField name="Customer Gender" numFmtId="0">
      <sharedItems count="4">
        <s v=""/>
        <s v="M"/>
        <s v="F"/>
        <s v="O"/>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ount="5">
        <n v="4"/>
        <n v="3"/>
        <n v="5"/>
        <n v="1"/>
        <n v="2"/>
      </sharedItems>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 name="Days (Order Date)" numFmtId="0" databaseField="0">
      <fieldGroup base="5">
        <rangePr groupBy="days" startDate="2025-01-01T00:00:00" endDate="2025-03-30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30/2025"/>
        </groupItems>
      </fieldGroup>
    </cacheField>
    <cacheField name="Months (Order Date)" numFmtId="0" databaseField="0">
      <fieldGroup base="5">
        <rangePr groupBy="months" startDate="2025-01-01T00:00:00" endDate="2025-03-30T00:00:00"/>
        <groupItems count="14">
          <s v="&lt;1/1/2025"/>
          <s v="Jan"/>
          <s v="Feb"/>
          <s v="Mar"/>
          <s v="Apr"/>
          <s v="May"/>
          <s v="Jun"/>
          <s v="Jul"/>
          <s v="Aug"/>
          <s v="Sep"/>
          <s v="Oct"/>
          <s v="Nov"/>
          <s v="Dec"/>
          <s v="&gt;3/30/2025"/>
        </groupItems>
      </fieldGroup>
    </cacheField>
  </cacheFields>
  <extLst>
    <ext xmlns:x14="http://schemas.microsoft.com/office/spreadsheetml/2009/9/main" uri="{725AE2AE-9491-48be-B2B4-4EB974FC3084}">
      <x14:pivotCacheDefinition pivotCacheId="18465768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x v="0"/>
    <x v="0"/>
    <x v="0"/>
    <n v="10.9"/>
    <n v="10.9"/>
    <x v="0"/>
    <d v="2025-01-06T00:00:00"/>
    <x v="0"/>
    <x v="0"/>
    <x v="0"/>
    <x v="0"/>
    <x v="0"/>
    <x v="0"/>
    <x v="0"/>
    <x v="0"/>
  </r>
  <r>
    <x v="1"/>
    <x v="1"/>
    <x v="1"/>
    <n v="30.6"/>
    <n v="61.2"/>
    <x v="0"/>
    <d v="2025-01-03T00:00:00"/>
    <x v="1"/>
    <x v="0"/>
    <x v="0"/>
    <x v="0"/>
    <x v="1"/>
    <x v="1"/>
    <x v="0"/>
    <x v="1"/>
  </r>
  <r>
    <x v="2"/>
    <x v="2"/>
    <x v="2"/>
    <n v="109.4"/>
    <n v="328.20000000000005"/>
    <x v="0"/>
    <d v="2025-01-04T00:00:00"/>
    <x v="2"/>
    <x v="0"/>
    <x v="1"/>
    <x v="0"/>
    <x v="2"/>
    <x v="2"/>
    <x v="0"/>
    <x v="2"/>
  </r>
  <r>
    <x v="3"/>
    <x v="3"/>
    <x v="3"/>
    <n v="37.700000000000003"/>
    <n v="263.90000000000003"/>
    <x v="0"/>
    <d v="2025-01-02T00:00:00"/>
    <x v="2"/>
    <x v="0"/>
    <x v="0"/>
    <x v="0"/>
    <x v="2"/>
    <x v="3"/>
    <x v="0"/>
    <x v="2"/>
  </r>
  <r>
    <x v="4"/>
    <x v="4"/>
    <x v="2"/>
    <n v="56.7"/>
    <n v="170.10000000000002"/>
    <x v="0"/>
    <d v="2025-01-04T00:00:00"/>
    <x v="2"/>
    <x v="0"/>
    <x v="2"/>
    <x v="0"/>
    <x v="3"/>
    <x v="2"/>
    <x v="0"/>
    <x v="2"/>
  </r>
  <r>
    <x v="5"/>
    <x v="1"/>
    <x v="4"/>
    <n v="83.5"/>
    <n v="1002"/>
    <x v="0"/>
    <d v="2025-01-04T00:00:00"/>
    <x v="1"/>
    <x v="1"/>
    <x v="0"/>
    <x v="0"/>
    <x v="3"/>
    <x v="2"/>
    <x v="0"/>
    <x v="1"/>
  </r>
  <r>
    <x v="6"/>
    <x v="5"/>
    <x v="0"/>
    <n v="55.3"/>
    <n v="55.3"/>
    <x v="0"/>
    <d v="2025-01-02T00:00:00"/>
    <x v="2"/>
    <x v="0"/>
    <x v="0"/>
    <x v="0"/>
    <x v="3"/>
    <x v="3"/>
    <x v="0"/>
    <x v="2"/>
  </r>
  <r>
    <x v="7"/>
    <x v="6"/>
    <x v="1"/>
    <n v="40.299999999999997"/>
    <n v="80.599999999999994"/>
    <x v="0"/>
    <d v="2025-01-02T00:00:00"/>
    <x v="1"/>
    <x v="2"/>
    <x v="2"/>
    <x v="0"/>
    <x v="3"/>
    <x v="3"/>
    <x v="0"/>
    <x v="1"/>
  </r>
  <r>
    <x v="8"/>
    <x v="7"/>
    <x v="5"/>
    <n v="35.700000000000003"/>
    <n v="392.70000000000005"/>
    <x v="0"/>
    <d v="2025-01-02T00:00:00"/>
    <x v="2"/>
    <x v="0"/>
    <x v="0"/>
    <x v="0"/>
    <x v="3"/>
    <x v="3"/>
    <x v="0"/>
    <x v="2"/>
  </r>
  <r>
    <x v="9"/>
    <x v="8"/>
    <x v="3"/>
    <n v="22.4"/>
    <n v="156.79999999999998"/>
    <x v="0"/>
    <d v="2025-01-04T00:00:00"/>
    <x v="1"/>
    <x v="0"/>
    <x v="1"/>
    <x v="0"/>
    <x v="3"/>
    <x v="2"/>
    <x v="0"/>
    <x v="1"/>
  </r>
  <r>
    <x v="10"/>
    <x v="9"/>
    <x v="1"/>
    <n v="54.4"/>
    <n v="108.8"/>
    <x v="0"/>
    <d v="2025-01-07T00:00:00"/>
    <x v="2"/>
    <x v="0"/>
    <x v="0"/>
    <x v="0"/>
    <x v="3"/>
    <x v="4"/>
    <x v="0"/>
    <x v="2"/>
  </r>
  <r>
    <x v="11"/>
    <x v="9"/>
    <x v="1"/>
    <n v="49"/>
    <n v="98"/>
    <x v="0"/>
    <d v="2025-01-03T00:00:00"/>
    <x v="2"/>
    <x v="2"/>
    <x v="1"/>
    <x v="0"/>
    <x v="3"/>
    <x v="1"/>
    <x v="0"/>
    <x v="2"/>
  </r>
  <r>
    <x v="12"/>
    <x v="5"/>
    <x v="3"/>
    <n v="118.6"/>
    <n v="830.19999999999993"/>
    <x v="0"/>
    <d v="2025-01-05T00:00:00"/>
    <x v="2"/>
    <x v="1"/>
    <x v="0"/>
    <x v="0"/>
    <x v="4"/>
    <x v="5"/>
    <x v="0"/>
    <x v="2"/>
  </r>
  <r>
    <x v="13"/>
    <x v="6"/>
    <x v="6"/>
    <n v="88.4"/>
    <n v="2386.8000000000002"/>
    <x v="0"/>
    <d v="2025-01-08T00:00:00"/>
    <x v="1"/>
    <x v="3"/>
    <x v="0"/>
    <x v="0"/>
    <x v="5"/>
    <x v="6"/>
    <x v="0"/>
    <x v="1"/>
  </r>
  <r>
    <x v="14"/>
    <x v="10"/>
    <x v="0"/>
    <n v="66.7"/>
    <n v="66.7"/>
    <x v="0"/>
    <d v="2025-01-04T00:00:00"/>
    <x v="1"/>
    <x v="0"/>
    <x v="0"/>
    <x v="0"/>
    <x v="6"/>
    <x v="2"/>
    <x v="0"/>
    <x v="1"/>
  </r>
  <r>
    <x v="15"/>
    <x v="9"/>
    <x v="7"/>
    <n v="30.9"/>
    <n v="309"/>
    <x v="0"/>
    <d v="2025-01-02T00:00:00"/>
    <x v="1"/>
    <x v="1"/>
    <x v="2"/>
    <x v="0"/>
    <x v="6"/>
    <x v="3"/>
    <x v="0"/>
    <x v="1"/>
  </r>
  <r>
    <x v="16"/>
    <x v="4"/>
    <x v="2"/>
    <n v="31.1"/>
    <n v="93.300000000000011"/>
    <x v="0"/>
    <d v="2025-01-02T00:00:00"/>
    <x v="2"/>
    <x v="0"/>
    <x v="1"/>
    <x v="0"/>
    <x v="6"/>
    <x v="3"/>
    <x v="0"/>
    <x v="2"/>
  </r>
  <r>
    <x v="17"/>
    <x v="7"/>
    <x v="2"/>
    <n v="36.6"/>
    <n v="109.80000000000001"/>
    <x v="0"/>
    <d v="2025-01-04T00:00:00"/>
    <x v="2"/>
    <x v="0"/>
    <x v="0"/>
    <x v="0"/>
    <x v="7"/>
    <x v="2"/>
    <x v="0"/>
    <x v="2"/>
  </r>
  <r>
    <x v="18"/>
    <x v="6"/>
    <x v="8"/>
    <n v="51.1"/>
    <n v="408.8"/>
    <x v="0"/>
    <d v="2025-01-04T00:00:00"/>
    <x v="2"/>
    <x v="2"/>
    <x v="3"/>
    <x v="0"/>
    <x v="7"/>
    <x v="2"/>
    <x v="0"/>
    <x v="2"/>
  </r>
  <r>
    <x v="19"/>
    <x v="9"/>
    <x v="0"/>
    <n v="25.2"/>
    <n v="25.2"/>
    <x v="0"/>
    <d v="2025-01-02T00:00:00"/>
    <x v="2"/>
    <x v="1"/>
    <x v="2"/>
    <x v="0"/>
    <x v="8"/>
    <x v="3"/>
    <x v="0"/>
    <x v="2"/>
  </r>
  <r>
    <x v="20"/>
    <x v="9"/>
    <x v="9"/>
    <n v="43.8"/>
    <n v="219"/>
    <x v="0"/>
    <d v="2025-01-04T00:00:00"/>
    <x v="2"/>
    <x v="2"/>
    <x v="0"/>
    <x v="0"/>
    <x v="8"/>
    <x v="2"/>
    <x v="0"/>
    <x v="2"/>
  </r>
  <r>
    <x v="21"/>
    <x v="8"/>
    <x v="4"/>
    <n v="46.7"/>
    <n v="560.40000000000009"/>
    <x v="0"/>
    <d v="2025-01-02T00:00:00"/>
    <x v="2"/>
    <x v="1"/>
    <x v="1"/>
    <x v="0"/>
    <x v="8"/>
    <x v="3"/>
    <x v="0"/>
    <x v="2"/>
  </r>
  <r>
    <x v="22"/>
    <x v="3"/>
    <x v="10"/>
    <n v="79.900000000000006"/>
    <n v="1518.1000000000001"/>
    <x v="0"/>
    <d v="2025-01-02T00:00:00"/>
    <x v="1"/>
    <x v="0"/>
    <x v="2"/>
    <x v="0"/>
    <x v="8"/>
    <x v="3"/>
    <x v="0"/>
    <x v="1"/>
  </r>
  <r>
    <x v="23"/>
    <x v="11"/>
    <x v="8"/>
    <n v="26.4"/>
    <n v="211.2"/>
    <x v="0"/>
    <d v="2025-01-02T00:00:00"/>
    <x v="2"/>
    <x v="3"/>
    <x v="0"/>
    <x v="0"/>
    <x v="8"/>
    <x v="3"/>
    <x v="0"/>
    <x v="2"/>
  </r>
  <r>
    <x v="24"/>
    <x v="12"/>
    <x v="8"/>
    <n v="88.8"/>
    <n v="710.4"/>
    <x v="0"/>
    <d v="2025-01-02T00:00:00"/>
    <x v="2"/>
    <x v="4"/>
    <x v="0"/>
    <x v="0"/>
    <x v="8"/>
    <x v="3"/>
    <x v="0"/>
    <x v="2"/>
  </r>
  <r>
    <x v="25"/>
    <x v="0"/>
    <x v="7"/>
    <n v="17.5"/>
    <n v="175"/>
    <x v="0"/>
    <d v="2025-01-02T00:00:00"/>
    <x v="2"/>
    <x v="2"/>
    <x v="0"/>
    <x v="0"/>
    <x v="9"/>
    <x v="3"/>
    <x v="0"/>
    <x v="2"/>
  </r>
  <r>
    <x v="26"/>
    <x v="1"/>
    <x v="11"/>
    <n v="38.700000000000003"/>
    <n v="348.3"/>
    <x v="0"/>
    <d v="2025-01-04T00:00:00"/>
    <x v="1"/>
    <x v="1"/>
    <x v="0"/>
    <x v="0"/>
    <x v="10"/>
    <x v="2"/>
    <x v="0"/>
    <x v="1"/>
  </r>
  <r>
    <x v="27"/>
    <x v="13"/>
    <x v="12"/>
    <n v="57.2"/>
    <n v="228.8"/>
    <x v="0"/>
    <d v="2025-01-03T00:00:00"/>
    <x v="0"/>
    <x v="1"/>
    <x v="2"/>
    <x v="0"/>
    <x v="11"/>
    <x v="1"/>
    <x v="0"/>
    <x v="0"/>
  </r>
  <r>
    <x v="28"/>
    <x v="6"/>
    <x v="9"/>
    <n v="50.9"/>
    <n v="254.5"/>
    <x v="0"/>
    <d v="2025-01-07T00:00:00"/>
    <x v="0"/>
    <x v="1"/>
    <x v="2"/>
    <x v="0"/>
    <x v="12"/>
    <x v="4"/>
    <x v="0"/>
    <x v="0"/>
  </r>
  <r>
    <x v="29"/>
    <x v="14"/>
    <x v="3"/>
    <n v="41"/>
    <n v="287"/>
    <x v="0"/>
    <d v="2025-01-05T00:00:00"/>
    <x v="2"/>
    <x v="1"/>
    <x v="0"/>
    <x v="0"/>
    <x v="13"/>
    <x v="5"/>
    <x v="0"/>
    <x v="2"/>
  </r>
  <r>
    <x v="30"/>
    <x v="8"/>
    <x v="3"/>
    <n v="19.100000000000001"/>
    <n v="133.70000000000002"/>
    <x v="0"/>
    <d v="2025-01-05T00:00:00"/>
    <x v="1"/>
    <x v="0"/>
    <x v="2"/>
    <x v="0"/>
    <x v="14"/>
    <x v="5"/>
    <x v="0"/>
    <x v="1"/>
  </r>
  <r>
    <x v="31"/>
    <x v="2"/>
    <x v="9"/>
    <n v="166.1"/>
    <n v="830.5"/>
    <x v="0"/>
    <d v="2025-01-04T00:00:00"/>
    <x v="1"/>
    <x v="0"/>
    <x v="0"/>
    <x v="0"/>
    <x v="15"/>
    <x v="2"/>
    <x v="0"/>
    <x v="1"/>
  </r>
  <r>
    <x v="32"/>
    <x v="4"/>
    <x v="2"/>
    <n v="29.9"/>
    <n v="89.699999999999989"/>
    <x v="0"/>
    <d v="2025-01-02T00:00:00"/>
    <x v="1"/>
    <x v="3"/>
    <x v="0"/>
    <x v="0"/>
    <x v="3"/>
    <x v="3"/>
    <x v="0"/>
    <x v="1"/>
  </r>
  <r>
    <x v="33"/>
    <x v="10"/>
    <x v="13"/>
    <n v="21.7"/>
    <n v="130.19999999999999"/>
    <x v="0"/>
    <d v="2025-01-03T00:00:00"/>
    <x v="3"/>
    <x v="2"/>
    <x v="2"/>
    <x v="0"/>
    <x v="3"/>
    <x v="1"/>
    <x v="0"/>
    <x v="3"/>
  </r>
  <r>
    <x v="34"/>
    <x v="11"/>
    <x v="1"/>
    <n v="32"/>
    <n v="64"/>
    <x v="0"/>
    <d v="2025-01-04T00:00:00"/>
    <x v="1"/>
    <x v="0"/>
    <x v="2"/>
    <x v="0"/>
    <x v="3"/>
    <x v="2"/>
    <x v="0"/>
    <x v="1"/>
  </r>
  <r>
    <x v="35"/>
    <x v="8"/>
    <x v="1"/>
    <n v="15.8"/>
    <n v="31.6"/>
    <x v="0"/>
    <d v="2025-01-02T00:00:00"/>
    <x v="1"/>
    <x v="4"/>
    <x v="2"/>
    <x v="0"/>
    <x v="3"/>
    <x v="3"/>
    <x v="0"/>
    <x v="1"/>
  </r>
  <r>
    <x v="36"/>
    <x v="2"/>
    <x v="14"/>
    <n v="203.1"/>
    <n v="3452.7"/>
    <x v="0"/>
    <d v="2025-01-05T00:00:00"/>
    <x v="1"/>
    <x v="3"/>
    <x v="1"/>
    <x v="0"/>
    <x v="3"/>
    <x v="5"/>
    <x v="0"/>
    <x v="1"/>
  </r>
  <r>
    <x v="37"/>
    <x v="7"/>
    <x v="15"/>
    <n v="39"/>
    <n v="507"/>
    <x v="0"/>
    <d v="2025-01-07T00:00:00"/>
    <x v="1"/>
    <x v="0"/>
    <x v="2"/>
    <x v="0"/>
    <x v="3"/>
    <x v="4"/>
    <x v="0"/>
    <x v="1"/>
  </r>
  <r>
    <x v="38"/>
    <x v="10"/>
    <x v="0"/>
    <n v="26.5"/>
    <n v="26.5"/>
    <x v="1"/>
    <d v="2025-01-03T00:00:00"/>
    <x v="1"/>
    <x v="2"/>
    <x v="0"/>
    <x v="0"/>
    <x v="3"/>
    <x v="3"/>
    <x v="0"/>
    <x v="1"/>
  </r>
  <r>
    <x v="39"/>
    <x v="5"/>
    <x v="0"/>
    <n v="43.1"/>
    <n v="43.1"/>
    <x v="1"/>
    <d v="2025-01-03T00:00:00"/>
    <x v="2"/>
    <x v="2"/>
    <x v="1"/>
    <x v="0"/>
    <x v="3"/>
    <x v="3"/>
    <x v="0"/>
    <x v="2"/>
  </r>
  <r>
    <x v="40"/>
    <x v="1"/>
    <x v="2"/>
    <n v="139"/>
    <n v="417"/>
    <x v="1"/>
    <d v="2025-01-03T00:00:00"/>
    <x v="2"/>
    <x v="4"/>
    <x v="2"/>
    <x v="0"/>
    <x v="3"/>
    <x v="3"/>
    <x v="0"/>
    <x v="2"/>
  </r>
  <r>
    <x v="41"/>
    <x v="12"/>
    <x v="0"/>
    <n v="80.7"/>
    <n v="80.7"/>
    <x v="1"/>
    <d v="2025-01-03T00:00:00"/>
    <x v="1"/>
    <x v="0"/>
    <x v="2"/>
    <x v="0"/>
    <x v="16"/>
    <x v="3"/>
    <x v="0"/>
    <x v="1"/>
  </r>
  <r>
    <x v="42"/>
    <x v="4"/>
    <x v="1"/>
    <n v="54.5"/>
    <n v="109"/>
    <x v="1"/>
    <d v="2025-01-04T00:00:00"/>
    <x v="1"/>
    <x v="1"/>
    <x v="1"/>
    <x v="0"/>
    <x v="6"/>
    <x v="1"/>
    <x v="0"/>
    <x v="1"/>
  </r>
  <r>
    <x v="43"/>
    <x v="6"/>
    <x v="2"/>
    <n v="68.599999999999994"/>
    <n v="205.79999999999998"/>
    <x v="1"/>
    <d v="2025-01-02T00:00:00"/>
    <x v="2"/>
    <x v="0"/>
    <x v="1"/>
    <x v="0"/>
    <x v="8"/>
    <x v="7"/>
    <x v="0"/>
    <x v="2"/>
  </r>
  <r>
    <x v="44"/>
    <x v="2"/>
    <x v="12"/>
    <n v="135.9"/>
    <n v="543.6"/>
    <x v="1"/>
    <d v="2025-01-03T00:00:00"/>
    <x v="2"/>
    <x v="2"/>
    <x v="2"/>
    <x v="0"/>
    <x v="8"/>
    <x v="3"/>
    <x v="0"/>
    <x v="2"/>
  </r>
  <r>
    <x v="45"/>
    <x v="2"/>
    <x v="12"/>
    <n v="70.900000000000006"/>
    <n v="283.60000000000002"/>
    <x v="1"/>
    <d v="2025-01-03T00:00:00"/>
    <x v="2"/>
    <x v="0"/>
    <x v="0"/>
    <x v="0"/>
    <x v="17"/>
    <x v="3"/>
    <x v="0"/>
    <x v="2"/>
  </r>
  <r>
    <x v="46"/>
    <x v="1"/>
    <x v="9"/>
    <n v="63.7"/>
    <n v="318.5"/>
    <x v="1"/>
    <d v="2025-01-03T00:00:00"/>
    <x v="1"/>
    <x v="1"/>
    <x v="1"/>
    <x v="0"/>
    <x v="9"/>
    <x v="3"/>
    <x v="0"/>
    <x v="1"/>
  </r>
  <r>
    <x v="47"/>
    <x v="13"/>
    <x v="0"/>
    <n v="29.7"/>
    <n v="29.7"/>
    <x v="1"/>
    <d v="2025-01-04T00:00:00"/>
    <x v="2"/>
    <x v="1"/>
    <x v="0"/>
    <x v="0"/>
    <x v="11"/>
    <x v="1"/>
    <x v="0"/>
    <x v="2"/>
  </r>
  <r>
    <x v="48"/>
    <x v="4"/>
    <x v="2"/>
    <n v="26.8"/>
    <n v="80.400000000000006"/>
    <x v="1"/>
    <d v="2025-01-11T00:00:00"/>
    <x v="2"/>
    <x v="1"/>
    <x v="2"/>
    <x v="0"/>
    <x v="11"/>
    <x v="8"/>
    <x v="0"/>
    <x v="2"/>
  </r>
  <r>
    <x v="49"/>
    <x v="14"/>
    <x v="0"/>
    <n v="27"/>
    <n v="27"/>
    <x v="1"/>
    <d v="2025-01-04T00:00:00"/>
    <x v="2"/>
    <x v="0"/>
    <x v="0"/>
    <x v="0"/>
    <x v="18"/>
    <x v="1"/>
    <x v="0"/>
    <x v="2"/>
  </r>
  <r>
    <x v="50"/>
    <x v="8"/>
    <x v="0"/>
    <n v="41.4"/>
    <n v="41.4"/>
    <x v="1"/>
    <d v="2025-01-03T00:00:00"/>
    <x v="1"/>
    <x v="1"/>
    <x v="2"/>
    <x v="0"/>
    <x v="19"/>
    <x v="3"/>
    <x v="0"/>
    <x v="1"/>
  </r>
  <r>
    <x v="51"/>
    <x v="8"/>
    <x v="1"/>
    <n v="24.3"/>
    <n v="48.6"/>
    <x v="1"/>
    <d v="2025-01-05T00:00:00"/>
    <x v="2"/>
    <x v="1"/>
    <x v="0"/>
    <x v="0"/>
    <x v="19"/>
    <x v="2"/>
    <x v="0"/>
    <x v="2"/>
  </r>
  <r>
    <x v="52"/>
    <x v="8"/>
    <x v="2"/>
    <n v="41.7"/>
    <n v="125.10000000000001"/>
    <x v="1"/>
    <d v="2025-01-04T00:00:00"/>
    <x v="1"/>
    <x v="0"/>
    <x v="2"/>
    <x v="0"/>
    <x v="20"/>
    <x v="1"/>
    <x v="0"/>
    <x v="1"/>
  </r>
  <r>
    <x v="53"/>
    <x v="0"/>
    <x v="1"/>
    <n v="18"/>
    <n v="36"/>
    <x v="1"/>
    <d v="2025-01-03T00:00:00"/>
    <x v="2"/>
    <x v="0"/>
    <x v="2"/>
    <x v="0"/>
    <x v="21"/>
    <x v="3"/>
    <x v="0"/>
    <x v="2"/>
  </r>
  <r>
    <x v="54"/>
    <x v="7"/>
    <x v="2"/>
    <n v="91.3"/>
    <n v="273.89999999999998"/>
    <x v="1"/>
    <d v="2025-01-05T00:00:00"/>
    <x v="1"/>
    <x v="2"/>
    <x v="2"/>
    <x v="0"/>
    <x v="3"/>
    <x v="2"/>
    <x v="0"/>
    <x v="1"/>
  </r>
  <r>
    <x v="55"/>
    <x v="8"/>
    <x v="8"/>
    <n v="19.3"/>
    <n v="154.4"/>
    <x v="1"/>
    <d v="2025-01-03T00:00:00"/>
    <x v="1"/>
    <x v="0"/>
    <x v="0"/>
    <x v="0"/>
    <x v="3"/>
    <x v="3"/>
    <x v="0"/>
    <x v="1"/>
  </r>
  <r>
    <x v="56"/>
    <x v="12"/>
    <x v="15"/>
    <n v="63.2"/>
    <n v="821.6"/>
    <x v="1"/>
    <d v="2025-01-03T00:00:00"/>
    <x v="2"/>
    <x v="0"/>
    <x v="0"/>
    <x v="0"/>
    <x v="3"/>
    <x v="3"/>
    <x v="0"/>
    <x v="2"/>
  </r>
  <r>
    <x v="57"/>
    <x v="10"/>
    <x v="11"/>
    <n v="33.299999999999997"/>
    <n v="299.7"/>
    <x v="2"/>
    <d v="2025-01-11T00:00:00"/>
    <x v="2"/>
    <x v="0"/>
    <x v="2"/>
    <x v="0"/>
    <x v="3"/>
    <x v="9"/>
    <x v="0"/>
    <x v="2"/>
  </r>
  <r>
    <x v="58"/>
    <x v="7"/>
    <x v="1"/>
    <n v="64.2"/>
    <n v="128.4"/>
    <x v="2"/>
    <d v="2025-01-04T00:00:00"/>
    <x v="1"/>
    <x v="0"/>
    <x v="2"/>
    <x v="0"/>
    <x v="3"/>
    <x v="3"/>
    <x v="0"/>
    <x v="1"/>
  </r>
  <r>
    <x v="59"/>
    <x v="9"/>
    <x v="2"/>
    <n v="23.1"/>
    <n v="69.300000000000011"/>
    <x v="2"/>
    <d v="2025-01-06T00:00:00"/>
    <x v="2"/>
    <x v="1"/>
    <x v="2"/>
    <x v="0"/>
    <x v="3"/>
    <x v="2"/>
    <x v="0"/>
    <x v="2"/>
  </r>
  <r>
    <x v="60"/>
    <x v="15"/>
    <x v="1"/>
    <n v="71.099999999999994"/>
    <n v="142.19999999999999"/>
    <x v="2"/>
    <d v="2025-01-05T00:00:00"/>
    <x v="2"/>
    <x v="3"/>
    <x v="1"/>
    <x v="0"/>
    <x v="3"/>
    <x v="1"/>
    <x v="0"/>
    <x v="2"/>
  </r>
  <r>
    <x v="61"/>
    <x v="0"/>
    <x v="1"/>
    <n v="11.5"/>
    <n v="23"/>
    <x v="2"/>
    <d v="2025-01-04T00:00:00"/>
    <x v="2"/>
    <x v="0"/>
    <x v="0"/>
    <x v="0"/>
    <x v="3"/>
    <x v="3"/>
    <x v="0"/>
    <x v="2"/>
  </r>
  <r>
    <x v="62"/>
    <x v="15"/>
    <x v="10"/>
    <n v="69.2"/>
    <n v="1314.8"/>
    <x v="2"/>
    <d v="2025-01-08T00:00:00"/>
    <x v="2"/>
    <x v="0"/>
    <x v="0"/>
    <x v="0"/>
    <x v="3"/>
    <x v="0"/>
    <x v="0"/>
    <x v="2"/>
  </r>
  <r>
    <x v="63"/>
    <x v="0"/>
    <x v="0"/>
    <n v="26.8"/>
    <n v="26.8"/>
    <x v="2"/>
    <d v="2025-01-04T00:00:00"/>
    <x v="1"/>
    <x v="2"/>
    <x v="4"/>
    <x v="0"/>
    <x v="3"/>
    <x v="3"/>
    <x v="0"/>
    <x v="1"/>
  </r>
  <r>
    <x v="64"/>
    <x v="16"/>
    <x v="2"/>
    <n v="31.2"/>
    <n v="93.6"/>
    <x v="2"/>
    <d v="2025-01-06T00:00:00"/>
    <x v="2"/>
    <x v="0"/>
    <x v="0"/>
    <x v="0"/>
    <x v="3"/>
    <x v="2"/>
    <x v="0"/>
    <x v="2"/>
  </r>
  <r>
    <x v="65"/>
    <x v="12"/>
    <x v="1"/>
    <n v="113.2"/>
    <n v="226.4"/>
    <x v="2"/>
    <d v="2025-01-04T00:00:00"/>
    <x v="2"/>
    <x v="4"/>
    <x v="0"/>
    <x v="0"/>
    <x v="3"/>
    <x v="3"/>
    <x v="0"/>
    <x v="2"/>
  </r>
  <r>
    <x v="66"/>
    <x v="10"/>
    <x v="8"/>
    <n v="21"/>
    <n v="168"/>
    <x v="2"/>
    <d v="2025-01-04T00:00:00"/>
    <x v="1"/>
    <x v="0"/>
    <x v="0"/>
    <x v="0"/>
    <x v="6"/>
    <x v="3"/>
    <x v="0"/>
    <x v="1"/>
  </r>
  <r>
    <x v="67"/>
    <x v="1"/>
    <x v="1"/>
    <n v="89.1"/>
    <n v="178.2"/>
    <x v="2"/>
    <d v="2025-01-04T00:00:00"/>
    <x v="2"/>
    <x v="2"/>
    <x v="2"/>
    <x v="0"/>
    <x v="6"/>
    <x v="3"/>
    <x v="0"/>
    <x v="2"/>
  </r>
  <r>
    <x v="68"/>
    <x v="1"/>
    <x v="0"/>
    <n v="97.7"/>
    <n v="97.7"/>
    <x v="2"/>
    <d v="2025-01-05T00:00:00"/>
    <x v="2"/>
    <x v="0"/>
    <x v="1"/>
    <x v="0"/>
    <x v="6"/>
    <x v="1"/>
    <x v="0"/>
    <x v="2"/>
  </r>
  <r>
    <x v="69"/>
    <x v="15"/>
    <x v="12"/>
    <n v="97.7"/>
    <n v="390.8"/>
    <x v="2"/>
    <d v="2025-01-05T00:00:00"/>
    <x v="1"/>
    <x v="3"/>
    <x v="0"/>
    <x v="0"/>
    <x v="6"/>
    <x v="1"/>
    <x v="0"/>
    <x v="1"/>
  </r>
  <r>
    <x v="70"/>
    <x v="17"/>
    <x v="2"/>
    <n v="47.4"/>
    <n v="142.19999999999999"/>
    <x v="2"/>
    <d v="2025-01-06T00:00:00"/>
    <x v="1"/>
    <x v="3"/>
    <x v="2"/>
    <x v="0"/>
    <x v="8"/>
    <x v="2"/>
    <x v="0"/>
    <x v="1"/>
  </r>
  <r>
    <x v="71"/>
    <x v="7"/>
    <x v="0"/>
    <n v="89.6"/>
    <n v="89.6"/>
    <x v="2"/>
    <d v="2025-01-06T00:00:00"/>
    <x v="2"/>
    <x v="0"/>
    <x v="2"/>
    <x v="0"/>
    <x v="8"/>
    <x v="2"/>
    <x v="0"/>
    <x v="2"/>
  </r>
  <r>
    <x v="72"/>
    <x v="10"/>
    <x v="16"/>
    <n v="28.4"/>
    <n v="511.2"/>
    <x v="2"/>
    <d v="2025-01-06T00:00:00"/>
    <x v="2"/>
    <x v="3"/>
    <x v="2"/>
    <x v="0"/>
    <x v="17"/>
    <x v="2"/>
    <x v="0"/>
    <x v="2"/>
  </r>
  <r>
    <x v="73"/>
    <x v="0"/>
    <x v="1"/>
    <n v="17.899999999999999"/>
    <n v="35.799999999999997"/>
    <x v="2"/>
    <d v="2025-01-04T00:00:00"/>
    <x v="2"/>
    <x v="0"/>
    <x v="2"/>
    <x v="0"/>
    <x v="9"/>
    <x v="3"/>
    <x v="0"/>
    <x v="2"/>
  </r>
  <r>
    <x v="74"/>
    <x v="9"/>
    <x v="1"/>
    <n v="48.4"/>
    <n v="96.8"/>
    <x v="2"/>
    <d v="2025-01-06T00:00:00"/>
    <x v="1"/>
    <x v="1"/>
    <x v="0"/>
    <x v="0"/>
    <x v="9"/>
    <x v="2"/>
    <x v="0"/>
    <x v="1"/>
  </r>
  <r>
    <x v="75"/>
    <x v="12"/>
    <x v="12"/>
    <n v="44.4"/>
    <n v="177.6"/>
    <x v="2"/>
    <d v="2025-01-04T00:00:00"/>
    <x v="3"/>
    <x v="1"/>
    <x v="1"/>
    <x v="0"/>
    <x v="11"/>
    <x v="3"/>
    <x v="0"/>
    <x v="3"/>
  </r>
  <r>
    <x v="76"/>
    <x v="2"/>
    <x v="8"/>
    <n v="103.7"/>
    <n v="829.6"/>
    <x v="2"/>
    <d v="2025-01-04T00:00:00"/>
    <x v="2"/>
    <x v="0"/>
    <x v="1"/>
    <x v="0"/>
    <x v="19"/>
    <x v="3"/>
    <x v="0"/>
    <x v="2"/>
  </r>
  <r>
    <x v="77"/>
    <x v="5"/>
    <x v="12"/>
    <n v="58.6"/>
    <n v="234.4"/>
    <x v="2"/>
    <d v="2025-01-05T00:00:00"/>
    <x v="1"/>
    <x v="3"/>
    <x v="0"/>
    <x v="0"/>
    <x v="19"/>
    <x v="1"/>
    <x v="0"/>
    <x v="1"/>
  </r>
  <r>
    <x v="78"/>
    <x v="9"/>
    <x v="12"/>
    <n v="54.8"/>
    <n v="219.2"/>
    <x v="2"/>
    <d v="2025-01-07T00:00:00"/>
    <x v="2"/>
    <x v="2"/>
    <x v="1"/>
    <x v="0"/>
    <x v="13"/>
    <x v="5"/>
    <x v="0"/>
    <x v="2"/>
  </r>
  <r>
    <x v="79"/>
    <x v="12"/>
    <x v="2"/>
    <n v="78.8"/>
    <n v="236.39999999999998"/>
    <x v="2"/>
    <d v="2025-01-09T00:00:00"/>
    <x v="2"/>
    <x v="4"/>
    <x v="1"/>
    <x v="0"/>
    <x v="21"/>
    <x v="4"/>
    <x v="0"/>
    <x v="2"/>
  </r>
  <r>
    <x v="80"/>
    <x v="18"/>
    <x v="9"/>
    <n v="36.799999999999997"/>
    <n v="184"/>
    <x v="2"/>
    <d v="2025-01-06T00:00:00"/>
    <x v="1"/>
    <x v="4"/>
    <x v="1"/>
    <x v="0"/>
    <x v="22"/>
    <x v="2"/>
    <x v="0"/>
    <x v="1"/>
  </r>
  <r>
    <x v="81"/>
    <x v="6"/>
    <x v="13"/>
    <n v="50.6"/>
    <n v="303.60000000000002"/>
    <x v="2"/>
    <d v="2025-01-05T00:00:00"/>
    <x v="2"/>
    <x v="3"/>
    <x v="0"/>
    <x v="0"/>
    <x v="3"/>
    <x v="1"/>
    <x v="0"/>
    <x v="2"/>
  </r>
  <r>
    <x v="82"/>
    <x v="15"/>
    <x v="2"/>
    <n v="36.799999999999997"/>
    <n v="110.39999999999999"/>
    <x v="2"/>
    <d v="2025-01-03T00:00:00"/>
    <x v="1"/>
    <x v="2"/>
    <x v="1"/>
    <x v="0"/>
    <x v="3"/>
    <x v="7"/>
    <x v="0"/>
    <x v="1"/>
  </r>
  <r>
    <x v="83"/>
    <x v="8"/>
    <x v="11"/>
    <n v="41.8"/>
    <n v="376.2"/>
    <x v="3"/>
    <d v="2025-01-10T00:00:00"/>
    <x v="2"/>
    <x v="3"/>
    <x v="0"/>
    <x v="0"/>
    <x v="3"/>
    <x v="4"/>
    <x v="0"/>
    <x v="2"/>
  </r>
  <r>
    <x v="84"/>
    <x v="18"/>
    <x v="0"/>
    <n v="77.3"/>
    <n v="77.3"/>
    <x v="3"/>
    <d v="2025-01-05T00:00:00"/>
    <x v="1"/>
    <x v="4"/>
    <x v="4"/>
    <x v="0"/>
    <x v="3"/>
    <x v="3"/>
    <x v="0"/>
    <x v="1"/>
  </r>
  <r>
    <x v="85"/>
    <x v="8"/>
    <x v="12"/>
    <n v="19.8"/>
    <n v="79.2"/>
    <x v="3"/>
    <d v="2025-01-10T00:00:00"/>
    <x v="1"/>
    <x v="1"/>
    <x v="2"/>
    <x v="0"/>
    <x v="3"/>
    <x v="4"/>
    <x v="0"/>
    <x v="1"/>
  </r>
  <r>
    <x v="86"/>
    <x v="13"/>
    <x v="12"/>
    <n v="15.5"/>
    <n v="62"/>
    <x v="3"/>
    <d v="2025-01-05T00:00:00"/>
    <x v="2"/>
    <x v="1"/>
    <x v="2"/>
    <x v="0"/>
    <x v="3"/>
    <x v="3"/>
    <x v="0"/>
    <x v="2"/>
  </r>
  <r>
    <x v="87"/>
    <x v="12"/>
    <x v="0"/>
    <n v="46.8"/>
    <n v="46.8"/>
    <x v="3"/>
    <d v="2025-01-08T00:00:00"/>
    <x v="1"/>
    <x v="0"/>
    <x v="2"/>
    <x v="0"/>
    <x v="3"/>
    <x v="5"/>
    <x v="0"/>
    <x v="1"/>
  </r>
  <r>
    <x v="88"/>
    <x v="9"/>
    <x v="11"/>
    <n v="28.6"/>
    <n v="257.40000000000003"/>
    <x v="3"/>
    <d v="2025-01-08T00:00:00"/>
    <x v="1"/>
    <x v="0"/>
    <x v="2"/>
    <x v="0"/>
    <x v="3"/>
    <x v="5"/>
    <x v="0"/>
    <x v="1"/>
  </r>
  <r>
    <x v="89"/>
    <x v="2"/>
    <x v="0"/>
    <n v="97.7"/>
    <n v="97.7"/>
    <x v="3"/>
    <d v="2025-01-07T00:00:00"/>
    <x v="2"/>
    <x v="1"/>
    <x v="0"/>
    <x v="0"/>
    <x v="3"/>
    <x v="2"/>
    <x v="0"/>
    <x v="2"/>
  </r>
  <r>
    <x v="90"/>
    <x v="9"/>
    <x v="9"/>
    <n v="54.7"/>
    <n v="273.5"/>
    <x v="3"/>
    <d v="2025-01-07T00:00:00"/>
    <x v="0"/>
    <x v="0"/>
    <x v="2"/>
    <x v="0"/>
    <x v="23"/>
    <x v="2"/>
    <x v="0"/>
    <x v="0"/>
  </r>
  <r>
    <x v="91"/>
    <x v="2"/>
    <x v="13"/>
    <n v="130.5"/>
    <n v="783"/>
    <x v="3"/>
    <d v="2025-01-06T00:00:00"/>
    <x v="2"/>
    <x v="0"/>
    <x v="1"/>
    <x v="0"/>
    <x v="23"/>
    <x v="1"/>
    <x v="0"/>
    <x v="2"/>
  </r>
  <r>
    <x v="92"/>
    <x v="11"/>
    <x v="1"/>
    <n v="50.4"/>
    <n v="100.8"/>
    <x v="3"/>
    <d v="2025-01-06T00:00:00"/>
    <x v="1"/>
    <x v="2"/>
    <x v="2"/>
    <x v="0"/>
    <x v="6"/>
    <x v="1"/>
    <x v="0"/>
    <x v="1"/>
  </r>
  <r>
    <x v="93"/>
    <x v="6"/>
    <x v="15"/>
    <n v="61.5"/>
    <n v="799.5"/>
    <x v="3"/>
    <d v="2025-01-05T00:00:00"/>
    <x v="0"/>
    <x v="3"/>
    <x v="1"/>
    <x v="0"/>
    <x v="11"/>
    <x v="3"/>
    <x v="0"/>
    <x v="0"/>
  </r>
  <r>
    <x v="94"/>
    <x v="9"/>
    <x v="12"/>
    <n v="30.1"/>
    <n v="120.4"/>
    <x v="3"/>
    <d v="2025-01-05T00:00:00"/>
    <x v="2"/>
    <x v="0"/>
    <x v="2"/>
    <x v="0"/>
    <x v="21"/>
    <x v="3"/>
    <x v="0"/>
    <x v="2"/>
  </r>
  <r>
    <x v="95"/>
    <x v="2"/>
    <x v="9"/>
    <n v="74.8"/>
    <n v="374"/>
    <x v="3"/>
    <d v="2025-01-05T00:00:00"/>
    <x v="2"/>
    <x v="1"/>
    <x v="0"/>
    <x v="0"/>
    <x v="1"/>
    <x v="3"/>
    <x v="0"/>
    <x v="2"/>
  </r>
  <r>
    <x v="96"/>
    <x v="16"/>
    <x v="2"/>
    <n v="64.900000000000006"/>
    <n v="194.70000000000002"/>
    <x v="3"/>
    <d v="2025-01-11T00:00:00"/>
    <x v="1"/>
    <x v="0"/>
    <x v="0"/>
    <x v="0"/>
    <x v="2"/>
    <x v="6"/>
    <x v="0"/>
    <x v="1"/>
  </r>
  <r>
    <x v="97"/>
    <x v="9"/>
    <x v="1"/>
    <n v="50.5"/>
    <n v="101"/>
    <x v="3"/>
    <d v="2025-01-06T00:00:00"/>
    <x v="1"/>
    <x v="1"/>
    <x v="0"/>
    <x v="0"/>
    <x v="22"/>
    <x v="1"/>
    <x v="0"/>
    <x v="1"/>
  </r>
  <r>
    <x v="98"/>
    <x v="11"/>
    <x v="3"/>
    <n v="63"/>
    <n v="441"/>
    <x v="3"/>
    <d v="2025-01-07T00:00:00"/>
    <x v="1"/>
    <x v="3"/>
    <x v="2"/>
    <x v="0"/>
    <x v="3"/>
    <x v="2"/>
    <x v="0"/>
    <x v="1"/>
  </r>
  <r>
    <x v="99"/>
    <x v="2"/>
    <x v="2"/>
    <n v="93.6"/>
    <n v="280.79999999999995"/>
    <x v="3"/>
    <d v="2025-01-17T00:00:00"/>
    <x v="2"/>
    <x v="0"/>
    <x v="2"/>
    <x v="0"/>
    <x v="3"/>
    <x v="10"/>
    <x v="0"/>
    <x v="2"/>
  </r>
  <r>
    <x v="100"/>
    <x v="5"/>
    <x v="17"/>
    <n v="41.4"/>
    <n v="1242"/>
    <x v="3"/>
    <d v="2025-01-08T00:00:00"/>
    <x v="1"/>
    <x v="2"/>
    <x v="2"/>
    <x v="0"/>
    <x v="3"/>
    <x v="5"/>
    <x v="0"/>
    <x v="1"/>
  </r>
  <r>
    <x v="101"/>
    <x v="2"/>
    <x v="1"/>
    <n v="160"/>
    <n v="320"/>
    <x v="4"/>
    <d v="2025-01-06T00:00:00"/>
    <x v="1"/>
    <x v="2"/>
    <x v="2"/>
    <x v="0"/>
    <x v="5"/>
    <x v="3"/>
    <x v="1"/>
    <x v="1"/>
  </r>
  <r>
    <x v="102"/>
    <x v="19"/>
    <x v="5"/>
    <n v="10.5"/>
    <n v="115.5"/>
    <x v="4"/>
    <d v="2025-01-08T00:00:00"/>
    <x v="2"/>
    <x v="4"/>
    <x v="0"/>
    <x v="0"/>
    <x v="8"/>
    <x v="2"/>
    <x v="1"/>
    <x v="2"/>
  </r>
  <r>
    <x v="103"/>
    <x v="10"/>
    <x v="1"/>
    <n v="53"/>
    <n v="106"/>
    <x v="4"/>
    <d v="2025-01-05T00:00:00"/>
    <x v="1"/>
    <x v="2"/>
    <x v="4"/>
    <x v="0"/>
    <x v="17"/>
    <x v="7"/>
    <x v="1"/>
    <x v="1"/>
  </r>
  <r>
    <x v="104"/>
    <x v="8"/>
    <x v="2"/>
    <n v="18.5"/>
    <n v="55.5"/>
    <x v="4"/>
    <d v="2025-01-10T00:00:00"/>
    <x v="2"/>
    <x v="1"/>
    <x v="2"/>
    <x v="0"/>
    <x v="11"/>
    <x v="0"/>
    <x v="1"/>
    <x v="2"/>
  </r>
  <r>
    <x v="105"/>
    <x v="16"/>
    <x v="2"/>
    <n v="84.5"/>
    <n v="253.5"/>
    <x v="4"/>
    <d v="2025-01-07T00:00:00"/>
    <x v="2"/>
    <x v="4"/>
    <x v="1"/>
    <x v="0"/>
    <x v="13"/>
    <x v="1"/>
    <x v="1"/>
    <x v="2"/>
  </r>
  <r>
    <x v="106"/>
    <x v="15"/>
    <x v="3"/>
    <n v="31.2"/>
    <n v="218.4"/>
    <x v="4"/>
    <d v="2025-01-05T00:00:00"/>
    <x v="2"/>
    <x v="2"/>
    <x v="2"/>
    <x v="0"/>
    <x v="3"/>
    <x v="7"/>
    <x v="1"/>
    <x v="2"/>
  </r>
  <r>
    <x v="107"/>
    <x v="8"/>
    <x v="16"/>
    <n v="32.6"/>
    <n v="586.80000000000007"/>
    <x v="4"/>
    <d v="2025-01-06T00:00:00"/>
    <x v="1"/>
    <x v="1"/>
    <x v="1"/>
    <x v="0"/>
    <x v="3"/>
    <x v="3"/>
    <x v="1"/>
    <x v="1"/>
  </r>
  <r>
    <x v="108"/>
    <x v="10"/>
    <x v="12"/>
    <n v="45.4"/>
    <n v="181.6"/>
    <x v="4"/>
    <d v="2025-01-07T00:00:00"/>
    <x v="1"/>
    <x v="1"/>
    <x v="0"/>
    <x v="0"/>
    <x v="3"/>
    <x v="1"/>
    <x v="1"/>
    <x v="1"/>
  </r>
  <r>
    <x v="109"/>
    <x v="2"/>
    <x v="4"/>
    <n v="120"/>
    <n v="1440"/>
    <x v="4"/>
    <d v="2025-01-06T00:00:00"/>
    <x v="2"/>
    <x v="2"/>
    <x v="4"/>
    <x v="0"/>
    <x v="3"/>
    <x v="3"/>
    <x v="1"/>
    <x v="2"/>
  </r>
  <r>
    <x v="110"/>
    <x v="0"/>
    <x v="12"/>
    <n v="18.899999999999999"/>
    <n v="75.599999999999994"/>
    <x v="4"/>
    <d v="2025-01-07T00:00:00"/>
    <x v="1"/>
    <x v="0"/>
    <x v="2"/>
    <x v="0"/>
    <x v="3"/>
    <x v="1"/>
    <x v="1"/>
    <x v="1"/>
  </r>
  <r>
    <x v="111"/>
    <x v="4"/>
    <x v="0"/>
    <n v="32"/>
    <n v="32"/>
    <x v="4"/>
    <d v="2025-01-07T00:00:00"/>
    <x v="2"/>
    <x v="4"/>
    <x v="0"/>
    <x v="0"/>
    <x v="3"/>
    <x v="1"/>
    <x v="1"/>
    <x v="2"/>
  </r>
  <r>
    <x v="112"/>
    <x v="7"/>
    <x v="1"/>
    <n v="37.299999999999997"/>
    <n v="74.599999999999994"/>
    <x v="4"/>
    <d v="2025-01-06T00:00:00"/>
    <x v="1"/>
    <x v="2"/>
    <x v="0"/>
    <x v="0"/>
    <x v="3"/>
    <x v="3"/>
    <x v="1"/>
    <x v="1"/>
  </r>
  <r>
    <x v="113"/>
    <x v="18"/>
    <x v="0"/>
    <n v="119.8"/>
    <n v="119.8"/>
    <x v="4"/>
    <d v="2025-01-06T00:00:00"/>
    <x v="1"/>
    <x v="1"/>
    <x v="1"/>
    <x v="0"/>
    <x v="3"/>
    <x v="3"/>
    <x v="1"/>
    <x v="1"/>
  </r>
  <r>
    <x v="114"/>
    <x v="10"/>
    <x v="1"/>
    <n v="26.4"/>
    <n v="52.8"/>
    <x v="4"/>
    <d v="2025-01-08T00:00:00"/>
    <x v="1"/>
    <x v="2"/>
    <x v="0"/>
    <x v="0"/>
    <x v="3"/>
    <x v="2"/>
    <x v="1"/>
    <x v="1"/>
  </r>
  <r>
    <x v="115"/>
    <x v="6"/>
    <x v="13"/>
    <n v="76.5"/>
    <n v="459"/>
    <x v="4"/>
    <d v="2025-01-06T00:00:00"/>
    <x v="2"/>
    <x v="1"/>
    <x v="1"/>
    <x v="0"/>
    <x v="3"/>
    <x v="3"/>
    <x v="1"/>
    <x v="2"/>
  </r>
  <r>
    <x v="116"/>
    <x v="4"/>
    <x v="7"/>
    <n v="45.7"/>
    <n v="457"/>
    <x v="4"/>
    <d v="2025-01-06T00:00:00"/>
    <x v="2"/>
    <x v="2"/>
    <x v="0"/>
    <x v="0"/>
    <x v="24"/>
    <x v="3"/>
    <x v="1"/>
    <x v="2"/>
  </r>
  <r>
    <x v="117"/>
    <x v="1"/>
    <x v="4"/>
    <n v="92.6"/>
    <n v="1111.1999999999998"/>
    <x v="4"/>
    <d v="2025-01-07T00:00:00"/>
    <x v="2"/>
    <x v="2"/>
    <x v="0"/>
    <x v="0"/>
    <x v="25"/>
    <x v="1"/>
    <x v="1"/>
    <x v="2"/>
  </r>
  <r>
    <x v="118"/>
    <x v="6"/>
    <x v="13"/>
    <n v="60.1"/>
    <n v="360.6"/>
    <x v="4"/>
    <d v="2025-01-06T00:00:00"/>
    <x v="1"/>
    <x v="1"/>
    <x v="0"/>
    <x v="0"/>
    <x v="23"/>
    <x v="3"/>
    <x v="1"/>
    <x v="1"/>
  </r>
  <r>
    <x v="119"/>
    <x v="1"/>
    <x v="2"/>
    <n v="73"/>
    <n v="219"/>
    <x v="4"/>
    <d v="2025-01-06T00:00:00"/>
    <x v="2"/>
    <x v="3"/>
    <x v="1"/>
    <x v="0"/>
    <x v="6"/>
    <x v="3"/>
    <x v="1"/>
    <x v="2"/>
  </r>
  <r>
    <x v="120"/>
    <x v="6"/>
    <x v="2"/>
    <n v="44.3"/>
    <n v="132.89999999999998"/>
    <x v="4"/>
    <d v="2025-01-09T00:00:00"/>
    <x v="0"/>
    <x v="2"/>
    <x v="2"/>
    <x v="0"/>
    <x v="6"/>
    <x v="5"/>
    <x v="1"/>
    <x v="0"/>
  </r>
  <r>
    <x v="121"/>
    <x v="6"/>
    <x v="2"/>
    <n v="63.3"/>
    <n v="189.89999999999998"/>
    <x v="4"/>
    <d v="2025-01-06T00:00:00"/>
    <x v="1"/>
    <x v="2"/>
    <x v="0"/>
    <x v="0"/>
    <x v="6"/>
    <x v="3"/>
    <x v="1"/>
    <x v="1"/>
  </r>
  <r>
    <x v="122"/>
    <x v="12"/>
    <x v="0"/>
    <n v="66.8"/>
    <n v="66.8"/>
    <x v="4"/>
    <d v="2025-01-06T00:00:00"/>
    <x v="2"/>
    <x v="1"/>
    <x v="0"/>
    <x v="0"/>
    <x v="6"/>
    <x v="3"/>
    <x v="1"/>
    <x v="2"/>
  </r>
  <r>
    <x v="123"/>
    <x v="2"/>
    <x v="1"/>
    <n v="59.7"/>
    <n v="119.4"/>
    <x v="4"/>
    <d v="2025-01-06T00:00:00"/>
    <x v="2"/>
    <x v="0"/>
    <x v="0"/>
    <x v="0"/>
    <x v="7"/>
    <x v="3"/>
    <x v="1"/>
    <x v="2"/>
  </r>
  <r>
    <x v="124"/>
    <x v="1"/>
    <x v="13"/>
    <n v="92"/>
    <n v="552"/>
    <x v="4"/>
    <d v="2025-01-07T00:00:00"/>
    <x v="1"/>
    <x v="0"/>
    <x v="4"/>
    <x v="0"/>
    <x v="7"/>
    <x v="1"/>
    <x v="1"/>
    <x v="1"/>
  </r>
  <r>
    <x v="125"/>
    <x v="7"/>
    <x v="1"/>
    <n v="87.6"/>
    <n v="175.2"/>
    <x v="4"/>
    <d v="2025-01-07T00:00:00"/>
    <x v="1"/>
    <x v="1"/>
    <x v="1"/>
    <x v="0"/>
    <x v="8"/>
    <x v="1"/>
    <x v="1"/>
    <x v="1"/>
  </r>
  <r>
    <x v="126"/>
    <x v="6"/>
    <x v="2"/>
    <n v="84.5"/>
    <n v="253.5"/>
    <x v="4"/>
    <d v="2025-01-06T00:00:00"/>
    <x v="2"/>
    <x v="1"/>
    <x v="1"/>
    <x v="0"/>
    <x v="8"/>
    <x v="3"/>
    <x v="1"/>
    <x v="2"/>
  </r>
  <r>
    <x v="127"/>
    <x v="1"/>
    <x v="1"/>
    <n v="116.3"/>
    <n v="232.6"/>
    <x v="5"/>
    <d v="2025-01-08T00:00:00"/>
    <x v="1"/>
    <x v="2"/>
    <x v="2"/>
    <x v="0"/>
    <x v="8"/>
    <x v="1"/>
    <x v="1"/>
    <x v="1"/>
  </r>
  <r>
    <x v="128"/>
    <x v="6"/>
    <x v="9"/>
    <n v="52.7"/>
    <n v="263.5"/>
    <x v="5"/>
    <d v="2025-01-10T00:00:00"/>
    <x v="1"/>
    <x v="0"/>
    <x v="0"/>
    <x v="0"/>
    <x v="8"/>
    <x v="5"/>
    <x v="1"/>
    <x v="1"/>
  </r>
  <r>
    <x v="129"/>
    <x v="16"/>
    <x v="2"/>
    <n v="34.200000000000003"/>
    <n v="102.60000000000001"/>
    <x v="5"/>
    <d v="2025-01-07T00:00:00"/>
    <x v="1"/>
    <x v="0"/>
    <x v="2"/>
    <x v="0"/>
    <x v="26"/>
    <x v="3"/>
    <x v="1"/>
    <x v="1"/>
  </r>
  <r>
    <x v="130"/>
    <x v="9"/>
    <x v="0"/>
    <n v="23.3"/>
    <n v="23.3"/>
    <x v="5"/>
    <d v="2025-01-15T00:00:00"/>
    <x v="3"/>
    <x v="2"/>
    <x v="2"/>
    <x v="0"/>
    <x v="9"/>
    <x v="8"/>
    <x v="1"/>
    <x v="3"/>
  </r>
  <r>
    <x v="131"/>
    <x v="0"/>
    <x v="18"/>
    <n v="25.9"/>
    <n v="673.4"/>
    <x v="5"/>
    <d v="2025-01-09T00:00:00"/>
    <x v="2"/>
    <x v="4"/>
    <x v="1"/>
    <x v="0"/>
    <x v="9"/>
    <x v="2"/>
    <x v="1"/>
    <x v="2"/>
  </r>
  <r>
    <x v="132"/>
    <x v="6"/>
    <x v="19"/>
    <n v="54.9"/>
    <n v="1592.1"/>
    <x v="5"/>
    <d v="2025-01-07T00:00:00"/>
    <x v="1"/>
    <x v="1"/>
    <x v="2"/>
    <x v="0"/>
    <x v="9"/>
    <x v="3"/>
    <x v="1"/>
    <x v="1"/>
  </r>
  <r>
    <x v="133"/>
    <x v="5"/>
    <x v="2"/>
    <n v="75.8"/>
    <n v="227.39999999999998"/>
    <x v="5"/>
    <d v="2025-01-11T00:00:00"/>
    <x v="3"/>
    <x v="1"/>
    <x v="0"/>
    <x v="0"/>
    <x v="18"/>
    <x v="0"/>
    <x v="1"/>
    <x v="3"/>
  </r>
  <r>
    <x v="134"/>
    <x v="1"/>
    <x v="11"/>
    <n v="44.9"/>
    <n v="404.09999999999997"/>
    <x v="5"/>
    <d v="2025-01-09T00:00:00"/>
    <x v="2"/>
    <x v="2"/>
    <x v="2"/>
    <x v="0"/>
    <x v="2"/>
    <x v="2"/>
    <x v="1"/>
    <x v="2"/>
  </r>
  <r>
    <x v="135"/>
    <x v="11"/>
    <x v="1"/>
    <n v="48.8"/>
    <n v="97.6"/>
    <x v="5"/>
    <d v="2025-01-08T00:00:00"/>
    <x v="2"/>
    <x v="3"/>
    <x v="0"/>
    <x v="0"/>
    <x v="27"/>
    <x v="1"/>
    <x v="1"/>
    <x v="2"/>
  </r>
  <r>
    <x v="136"/>
    <x v="15"/>
    <x v="0"/>
    <n v="20.3"/>
    <n v="20.3"/>
    <x v="5"/>
    <d v="2025-01-07T00:00:00"/>
    <x v="2"/>
    <x v="0"/>
    <x v="2"/>
    <x v="0"/>
    <x v="22"/>
    <x v="3"/>
    <x v="1"/>
    <x v="2"/>
  </r>
  <r>
    <x v="137"/>
    <x v="5"/>
    <x v="3"/>
    <n v="36.4"/>
    <n v="254.79999999999998"/>
    <x v="5"/>
    <d v="2025-01-09T00:00:00"/>
    <x v="2"/>
    <x v="0"/>
    <x v="1"/>
    <x v="0"/>
    <x v="3"/>
    <x v="2"/>
    <x v="1"/>
    <x v="2"/>
  </r>
  <r>
    <x v="138"/>
    <x v="0"/>
    <x v="0"/>
    <n v="19"/>
    <n v="19"/>
    <x v="5"/>
    <d v="2025-01-11T00:00:00"/>
    <x v="2"/>
    <x v="1"/>
    <x v="2"/>
    <x v="0"/>
    <x v="3"/>
    <x v="0"/>
    <x v="1"/>
    <x v="2"/>
  </r>
  <r>
    <x v="139"/>
    <x v="8"/>
    <x v="0"/>
    <n v="17.8"/>
    <n v="17.8"/>
    <x v="5"/>
    <d v="2025-01-06T00:00:00"/>
    <x v="1"/>
    <x v="0"/>
    <x v="0"/>
    <x v="0"/>
    <x v="3"/>
    <x v="7"/>
    <x v="1"/>
    <x v="1"/>
  </r>
  <r>
    <x v="140"/>
    <x v="2"/>
    <x v="13"/>
    <n v="139.6"/>
    <n v="837.59999999999991"/>
    <x v="5"/>
    <d v="2025-01-09T00:00:00"/>
    <x v="1"/>
    <x v="0"/>
    <x v="0"/>
    <x v="0"/>
    <x v="3"/>
    <x v="2"/>
    <x v="1"/>
    <x v="1"/>
  </r>
  <r>
    <x v="141"/>
    <x v="9"/>
    <x v="0"/>
    <n v="31.7"/>
    <n v="31.7"/>
    <x v="5"/>
    <d v="2025-01-06T00:00:00"/>
    <x v="0"/>
    <x v="0"/>
    <x v="0"/>
    <x v="0"/>
    <x v="3"/>
    <x v="7"/>
    <x v="1"/>
    <x v="0"/>
  </r>
  <r>
    <x v="142"/>
    <x v="8"/>
    <x v="8"/>
    <n v="26.3"/>
    <n v="210.4"/>
    <x v="5"/>
    <d v="2025-01-09T00:00:00"/>
    <x v="2"/>
    <x v="4"/>
    <x v="4"/>
    <x v="0"/>
    <x v="3"/>
    <x v="2"/>
    <x v="1"/>
    <x v="2"/>
  </r>
  <r>
    <x v="143"/>
    <x v="4"/>
    <x v="1"/>
    <n v="47.8"/>
    <n v="95.6"/>
    <x v="5"/>
    <d v="2025-01-07T00:00:00"/>
    <x v="0"/>
    <x v="0"/>
    <x v="0"/>
    <x v="0"/>
    <x v="3"/>
    <x v="3"/>
    <x v="1"/>
    <x v="0"/>
  </r>
  <r>
    <x v="144"/>
    <x v="9"/>
    <x v="2"/>
    <n v="69.400000000000006"/>
    <n v="208.20000000000002"/>
    <x v="5"/>
    <d v="2025-01-10T00:00:00"/>
    <x v="2"/>
    <x v="0"/>
    <x v="0"/>
    <x v="0"/>
    <x v="3"/>
    <x v="5"/>
    <x v="1"/>
    <x v="2"/>
  </r>
  <r>
    <x v="145"/>
    <x v="18"/>
    <x v="4"/>
    <n v="25.8"/>
    <n v="309.60000000000002"/>
    <x v="5"/>
    <d v="2025-01-07T00:00:00"/>
    <x v="1"/>
    <x v="4"/>
    <x v="4"/>
    <x v="0"/>
    <x v="3"/>
    <x v="3"/>
    <x v="1"/>
    <x v="1"/>
  </r>
  <r>
    <x v="146"/>
    <x v="0"/>
    <x v="12"/>
    <n v="26.4"/>
    <n v="105.6"/>
    <x v="5"/>
    <d v="2025-01-07T00:00:00"/>
    <x v="1"/>
    <x v="1"/>
    <x v="2"/>
    <x v="0"/>
    <x v="3"/>
    <x v="3"/>
    <x v="1"/>
    <x v="1"/>
  </r>
  <r>
    <x v="147"/>
    <x v="8"/>
    <x v="12"/>
    <n v="15.7"/>
    <n v="62.8"/>
    <x v="5"/>
    <d v="2025-01-07T00:00:00"/>
    <x v="1"/>
    <x v="2"/>
    <x v="0"/>
    <x v="0"/>
    <x v="3"/>
    <x v="3"/>
    <x v="1"/>
    <x v="1"/>
  </r>
  <r>
    <x v="148"/>
    <x v="8"/>
    <x v="0"/>
    <n v="39.700000000000003"/>
    <n v="39.700000000000003"/>
    <x v="5"/>
    <d v="2025-01-10T00:00:00"/>
    <x v="1"/>
    <x v="0"/>
    <x v="0"/>
    <x v="0"/>
    <x v="3"/>
    <x v="5"/>
    <x v="1"/>
    <x v="1"/>
  </r>
  <r>
    <x v="149"/>
    <x v="10"/>
    <x v="12"/>
    <n v="31.1"/>
    <n v="124.4"/>
    <x v="5"/>
    <d v="2025-01-08T00:00:00"/>
    <x v="2"/>
    <x v="2"/>
    <x v="1"/>
    <x v="0"/>
    <x v="3"/>
    <x v="1"/>
    <x v="1"/>
    <x v="2"/>
  </r>
  <r>
    <x v="150"/>
    <x v="13"/>
    <x v="20"/>
    <n v="23.4"/>
    <n v="351"/>
    <x v="5"/>
    <d v="2025-01-15T00:00:00"/>
    <x v="1"/>
    <x v="0"/>
    <x v="0"/>
    <x v="0"/>
    <x v="3"/>
    <x v="8"/>
    <x v="1"/>
    <x v="1"/>
  </r>
  <r>
    <x v="151"/>
    <x v="1"/>
    <x v="12"/>
    <n v="57.1"/>
    <n v="228.4"/>
    <x v="6"/>
    <d v="2025-01-08T00:00:00"/>
    <x v="1"/>
    <x v="2"/>
    <x v="0"/>
    <x v="0"/>
    <x v="25"/>
    <x v="3"/>
    <x v="1"/>
    <x v="1"/>
  </r>
  <r>
    <x v="152"/>
    <x v="2"/>
    <x v="9"/>
    <n v="89.9"/>
    <n v="449.5"/>
    <x v="6"/>
    <d v="2025-01-07T00:00:00"/>
    <x v="2"/>
    <x v="0"/>
    <x v="3"/>
    <x v="0"/>
    <x v="23"/>
    <x v="7"/>
    <x v="1"/>
    <x v="2"/>
  </r>
  <r>
    <x v="153"/>
    <x v="10"/>
    <x v="3"/>
    <n v="48.1"/>
    <n v="336.7"/>
    <x v="6"/>
    <d v="2025-01-09T00:00:00"/>
    <x v="2"/>
    <x v="1"/>
    <x v="2"/>
    <x v="0"/>
    <x v="6"/>
    <x v="1"/>
    <x v="1"/>
    <x v="2"/>
  </r>
  <r>
    <x v="154"/>
    <x v="8"/>
    <x v="1"/>
    <n v="29.3"/>
    <n v="58.6"/>
    <x v="6"/>
    <d v="2025-01-07T00:00:00"/>
    <x v="2"/>
    <x v="1"/>
    <x v="1"/>
    <x v="0"/>
    <x v="6"/>
    <x v="7"/>
    <x v="1"/>
    <x v="2"/>
  </r>
  <r>
    <x v="155"/>
    <x v="8"/>
    <x v="12"/>
    <n v="28.8"/>
    <n v="115.2"/>
    <x v="6"/>
    <d v="2025-01-08T00:00:00"/>
    <x v="2"/>
    <x v="0"/>
    <x v="4"/>
    <x v="0"/>
    <x v="6"/>
    <x v="3"/>
    <x v="1"/>
    <x v="2"/>
  </r>
  <r>
    <x v="156"/>
    <x v="10"/>
    <x v="9"/>
    <n v="40.5"/>
    <n v="202.5"/>
    <x v="6"/>
    <d v="2025-01-11T00:00:00"/>
    <x v="2"/>
    <x v="3"/>
    <x v="0"/>
    <x v="0"/>
    <x v="6"/>
    <x v="5"/>
    <x v="1"/>
    <x v="2"/>
  </r>
  <r>
    <x v="157"/>
    <x v="18"/>
    <x v="21"/>
    <n v="65.099999999999994"/>
    <n v="911.39999999999986"/>
    <x v="6"/>
    <d v="2025-01-08T00:00:00"/>
    <x v="2"/>
    <x v="4"/>
    <x v="0"/>
    <x v="0"/>
    <x v="7"/>
    <x v="3"/>
    <x v="1"/>
    <x v="2"/>
  </r>
  <r>
    <x v="158"/>
    <x v="8"/>
    <x v="12"/>
    <n v="40.299999999999997"/>
    <n v="161.19999999999999"/>
    <x v="6"/>
    <d v="2025-01-12T00:00:00"/>
    <x v="2"/>
    <x v="2"/>
    <x v="0"/>
    <x v="0"/>
    <x v="7"/>
    <x v="0"/>
    <x v="1"/>
    <x v="2"/>
  </r>
  <r>
    <x v="159"/>
    <x v="6"/>
    <x v="9"/>
    <n v="51.8"/>
    <n v="259"/>
    <x v="6"/>
    <d v="2025-01-08T00:00:00"/>
    <x v="1"/>
    <x v="2"/>
    <x v="2"/>
    <x v="0"/>
    <x v="8"/>
    <x v="3"/>
    <x v="1"/>
    <x v="1"/>
  </r>
  <r>
    <x v="160"/>
    <x v="6"/>
    <x v="2"/>
    <n v="61.3"/>
    <n v="183.89999999999998"/>
    <x v="6"/>
    <d v="2025-01-08T00:00:00"/>
    <x v="2"/>
    <x v="3"/>
    <x v="0"/>
    <x v="0"/>
    <x v="8"/>
    <x v="3"/>
    <x v="1"/>
    <x v="2"/>
  </r>
  <r>
    <x v="161"/>
    <x v="2"/>
    <x v="12"/>
    <n v="122.5"/>
    <n v="490"/>
    <x v="6"/>
    <d v="2025-01-08T00:00:00"/>
    <x v="1"/>
    <x v="0"/>
    <x v="0"/>
    <x v="0"/>
    <x v="8"/>
    <x v="3"/>
    <x v="1"/>
    <x v="1"/>
  </r>
  <r>
    <x v="162"/>
    <x v="0"/>
    <x v="11"/>
    <n v="12.5"/>
    <n v="112.5"/>
    <x v="6"/>
    <d v="2025-01-08T00:00:00"/>
    <x v="0"/>
    <x v="1"/>
    <x v="2"/>
    <x v="0"/>
    <x v="8"/>
    <x v="3"/>
    <x v="1"/>
    <x v="0"/>
  </r>
  <r>
    <x v="163"/>
    <x v="15"/>
    <x v="8"/>
    <n v="37.5"/>
    <n v="300"/>
    <x v="6"/>
    <d v="2025-01-08T00:00:00"/>
    <x v="2"/>
    <x v="0"/>
    <x v="0"/>
    <x v="0"/>
    <x v="9"/>
    <x v="3"/>
    <x v="1"/>
    <x v="2"/>
  </r>
  <r>
    <x v="164"/>
    <x v="6"/>
    <x v="2"/>
    <n v="40"/>
    <n v="120"/>
    <x v="6"/>
    <d v="2025-01-10T00:00:00"/>
    <x v="1"/>
    <x v="0"/>
    <x v="4"/>
    <x v="0"/>
    <x v="11"/>
    <x v="2"/>
    <x v="1"/>
    <x v="1"/>
  </r>
  <r>
    <x v="165"/>
    <x v="17"/>
    <x v="8"/>
    <n v="38.5"/>
    <n v="308"/>
    <x v="6"/>
    <d v="2025-01-12T00:00:00"/>
    <x v="2"/>
    <x v="2"/>
    <x v="1"/>
    <x v="0"/>
    <x v="11"/>
    <x v="0"/>
    <x v="1"/>
    <x v="2"/>
  </r>
  <r>
    <x v="166"/>
    <x v="2"/>
    <x v="1"/>
    <n v="86.4"/>
    <n v="172.8"/>
    <x v="6"/>
    <d v="2025-01-09T00:00:00"/>
    <x v="2"/>
    <x v="0"/>
    <x v="0"/>
    <x v="0"/>
    <x v="18"/>
    <x v="1"/>
    <x v="1"/>
    <x v="2"/>
  </r>
  <r>
    <x v="167"/>
    <x v="10"/>
    <x v="0"/>
    <n v="50.7"/>
    <n v="50.7"/>
    <x v="6"/>
    <d v="2025-01-11T00:00:00"/>
    <x v="2"/>
    <x v="1"/>
    <x v="0"/>
    <x v="0"/>
    <x v="18"/>
    <x v="5"/>
    <x v="1"/>
    <x v="2"/>
  </r>
  <r>
    <x v="168"/>
    <x v="10"/>
    <x v="1"/>
    <n v="61"/>
    <n v="122"/>
    <x v="6"/>
    <d v="2025-01-18T00:00:00"/>
    <x v="2"/>
    <x v="4"/>
    <x v="1"/>
    <x v="0"/>
    <x v="18"/>
    <x v="11"/>
    <x v="1"/>
    <x v="2"/>
  </r>
  <r>
    <x v="169"/>
    <x v="4"/>
    <x v="1"/>
    <n v="19.899999999999999"/>
    <n v="39.799999999999997"/>
    <x v="6"/>
    <d v="2025-01-10T00:00:00"/>
    <x v="2"/>
    <x v="1"/>
    <x v="0"/>
    <x v="0"/>
    <x v="28"/>
    <x v="2"/>
    <x v="1"/>
    <x v="2"/>
  </r>
  <r>
    <x v="170"/>
    <x v="5"/>
    <x v="0"/>
    <n v="78.3"/>
    <n v="78.3"/>
    <x v="6"/>
    <d v="2025-01-07T00:00:00"/>
    <x v="2"/>
    <x v="0"/>
    <x v="2"/>
    <x v="0"/>
    <x v="1"/>
    <x v="7"/>
    <x v="1"/>
    <x v="2"/>
  </r>
  <r>
    <x v="171"/>
    <x v="0"/>
    <x v="10"/>
    <n v="10.4"/>
    <n v="197.6"/>
    <x v="6"/>
    <d v="2025-01-09T00:00:00"/>
    <x v="1"/>
    <x v="0"/>
    <x v="2"/>
    <x v="0"/>
    <x v="2"/>
    <x v="1"/>
    <x v="1"/>
    <x v="1"/>
  </r>
  <r>
    <x v="172"/>
    <x v="10"/>
    <x v="0"/>
    <n v="36.1"/>
    <n v="36.1"/>
    <x v="6"/>
    <d v="2025-01-10T00:00:00"/>
    <x v="1"/>
    <x v="3"/>
    <x v="2"/>
    <x v="0"/>
    <x v="3"/>
    <x v="2"/>
    <x v="1"/>
    <x v="1"/>
  </r>
  <r>
    <x v="173"/>
    <x v="14"/>
    <x v="1"/>
    <n v="17.3"/>
    <n v="34.6"/>
    <x v="6"/>
    <d v="2025-01-09T00:00:00"/>
    <x v="2"/>
    <x v="1"/>
    <x v="2"/>
    <x v="0"/>
    <x v="3"/>
    <x v="1"/>
    <x v="1"/>
    <x v="2"/>
  </r>
  <r>
    <x v="174"/>
    <x v="10"/>
    <x v="1"/>
    <n v="30.5"/>
    <n v="61"/>
    <x v="6"/>
    <d v="2025-01-08T00:00:00"/>
    <x v="2"/>
    <x v="1"/>
    <x v="2"/>
    <x v="0"/>
    <x v="3"/>
    <x v="3"/>
    <x v="1"/>
    <x v="2"/>
  </r>
  <r>
    <x v="175"/>
    <x v="18"/>
    <x v="22"/>
    <n v="70.099999999999994"/>
    <n v="4346.2"/>
    <x v="6"/>
    <d v="2025-01-07T00:00:00"/>
    <x v="2"/>
    <x v="2"/>
    <x v="0"/>
    <x v="0"/>
    <x v="3"/>
    <x v="7"/>
    <x v="1"/>
    <x v="2"/>
  </r>
  <r>
    <x v="176"/>
    <x v="3"/>
    <x v="0"/>
    <n v="76.099999999999994"/>
    <n v="76.099999999999994"/>
    <x v="6"/>
    <d v="2025-01-07T00:00:00"/>
    <x v="2"/>
    <x v="2"/>
    <x v="1"/>
    <x v="0"/>
    <x v="3"/>
    <x v="7"/>
    <x v="1"/>
    <x v="2"/>
  </r>
  <r>
    <x v="177"/>
    <x v="15"/>
    <x v="15"/>
    <n v="34.200000000000003"/>
    <n v="444.6"/>
    <x v="6"/>
    <d v="2025-01-08T00:00:00"/>
    <x v="1"/>
    <x v="0"/>
    <x v="0"/>
    <x v="0"/>
    <x v="3"/>
    <x v="3"/>
    <x v="1"/>
    <x v="1"/>
  </r>
  <r>
    <x v="178"/>
    <x v="8"/>
    <x v="9"/>
    <n v="30.3"/>
    <n v="151.5"/>
    <x v="6"/>
    <d v="2025-01-12T00:00:00"/>
    <x v="2"/>
    <x v="4"/>
    <x v="0"/>
    <x v="0"/>
    <x v="3"/>
    <x v="0"/>
    <x v="1"/>
    <x v="2"/>
  </r>
  <r>
    <x v="179"/>
    <x v="6"/>
    <x v="9"/>
    <n v="52.5"/>
    <n v="262.5"/>
    <x v="6"/>
    <d v="2025-01-11T00:00:00"/>
    <x v="0"/>
    <x v="3"/>
    <x v="0"/>
    <x v="0"/>
    <x v="3"/>
    <x v="5"/>
    <x v="1"/>
    <x v="0"/>
  </r>
  <r>
    <x v="180"/>
    <x v="9"/>
    <x v="5"/>
    <n v="28.7"/>
    <n v="315.7"/>
    <x v="6"/>
    <d v="2025-01-08T00:00:00"/>
    <x v="2"/>
    <x v="2"/>
    <x v="0"/>
    <x v="0"/>
    <x v="3"/>
    <x v="3"/>
    <x v="1"/>
    <x v="2"/>
  </r>
  <r>
    <x v="181"/>
    <x v="7"/>
    <x v="3"/>
    <n v="52"/>
    <n v="364"/>
    <x v="6"/>
    <d v="2025-01-08T00:00:00"/>
    <x v="1"/>
    <x v="1"/>
    <x v="4"/>
    <x v="0"/>
    <x v="3"/>
    <x v="3"/>
    <x v="1"/>
    <x v="1"/>
  </r>
  <r>
    <x v="182"/>
    <x v="0"/>
    <x v="0"/>
    <n v="13.3"/>
    <n v="13.3"/>
    <x v="7"/>
    <d v="2025-01-12T00:00:00"/>
    <x v="2"/>
    <x v="2"/>
    <x v="1"/>
    <x v="0"/>
    <x v="3"/>
    <x v="5"/>
    <x v="1"/>
    <x v="2"/>
  </r>
  <r>
    <x v="183"/>
    <x v="0"/>
    <x v="2"/>
    <n v="15.7"/>
    <n v="47.099999999999994"/>
    <x v="7"/>
    <d v="2025-01-09T00:00:00"/>
    <x v="2"/>
    <x v="1"/>
    <x v="0"/>
    <x v="0"/>
    <x v="29"/>
    <x v="3"/>
    <x v="1"/>
    <x v="2"/>
  </r>
  <r>
    <x v="184"/>
    <x v="8"/>
    <x v="1"/>
    <n v="25.6"/>
    <n v="51.2"/>
    <x v="7"/>
    <d v="2025-01-09T00:00:00"/>
    <x v="1"/>
    <x v="0"/>
    <x v="2"/>
    <x v="0"/>
    <x v="23"/>
    <x v="3"/>
    <x v="1"/>
    <x v="1"/>
  </r>
  <r>
    <x v="185"/>
    <x v="8"/>
    <x v="0"/>
    <n v="43.4"/>
    <n v="43.4"/>
    <x v="7"/>
    <d v="2025-01-13T00:00:00"/>
    <x v="1"/>
    <x v="0"/>
    <x v="0"/>
    <x v="0"/>
    <x v="6"/>
    <x v="0"/>
    <x v="1"/>
    <x v="1"/>
  </r>
  <r>
    <x v="186"/>
    <x v="11"/>
    <x v="11"/>
    <n v="33.4"/>
    <n v="300.59999999999997"/>
    <x v="7"/>
    <d v="2025-01-08T00:00:00"/>
    <x v="2"/>
    <x v="0"/>
    <x v="0"/>
    <x v="0"/>
    <x v="8"/>
    <x v="7"/>
    <x v="1"/>
    <x v="2"/>
  </r>
  <r>
    <x v="187"/>
    <x v="8"/>
    <x v="10"/>
    <n v="55"/>
    <n v="1045"/>
    <x v="7"/>
    <d v="2025-01-09T00:00:00"/>
    <x v="2"/>
    <x v="1"/>
    <x v="2"/>
    <x v="0"/>
    <x v="8"/>
    <x v="3"/>
    <x v="1"/>
    <x v="2"/>
  </r>
  <r>
    <x v="188"/>
    <x v="8"/>
    <x v="2"/>
    <n v="23.6"/>
    <n v="70.800000000000011"/>
    <x v="7"/>
    <d v="2025-01-09T00:00:00"/>
    <x v="1"/>
    <x v="0"/>
    <x v="2"/>
    <x v="0"/>
    <x v="8"/>
    <x v="3"/>
    <x v="1"/>
    <x v="1"/>
  </r>
  <r>
    <x v="189"/>
    <x v="12"/>
    <x v="11"/>
    <n v="104"/>
    <n v="936"/>
    <x v="7"/>
    <d v="2025-01-10T00:00:00"/>
    <x v="2"/>
    <x v="2"/>
    <x v="2"/>
    <x v="0"/>
    <x v="17"/>
    <x v="1"/>
    <x v="1"/>
    <x v="2"/>
  </r>
  <r>
    <x v="190"/>
    <x v="6"/>
    <x v="1"/>
    <n v="51.8"/>
    <n v="103.6"/>
    <x v="7"/>
    <d v="2025-01-12T00:00:00"/>
    <x v="0"/>
    <x v="0"/>
    <x v="2"/>
    <x v="0"/>
    <x v="10"/>
    <x v="5"/>
    <x v="1"/>
    <x v="0"/>
  </r>
  <r>
    <x v="191"/>
    <x v="10"/>
    <x v="9"/>
    <n v="34.5"/>
    <n v="172.5"/>
    <x v="7"/>
    <d v="2025-01-10T00:00:00"/>
    <x v="0"/>
    <x v="2"/>
    <x v="2"/>
    <x v="0"/>
    <x v="11"/>
    <x v="1"/>
    <x v="1"/>
    <x v="0"/>
  </r>
  <r>
    <x v="192"/>
    <x v="6"/>
    <x v="1"/>
    <n v="51.8"/>
    <n v="103.6"/>
    <x v="7"/>
    <d v="2025-01-10T00:00:00"/>
    <x v="1"/>
    <x v="1"/>
    <x v="2"/>
    <x v="0"/>
    <x v="30"/>
    <x v="1"/>
    <x v="1"/>
    <x v="1"/>
  </r>
  <r>
    <x v="193"/>
    <x v="18"/>
    <x v="23"/>
    <n v="131.5"/>
    <n v="5654.5"/>
    <x v="7"/>
    <d v="2025-01-09T00:00:00"/>
    <x v="2"/>
    <x v="0"/>
    <x v="2"/>
    <x v="0"/>
    <x v="18"/>
    <x v="3"/>
    <x v="1"/>
    <x v="2"/>
  </r>
  <r>
    <x v="194"/>
    <x v="8"/>
    <x v="3"/>
    <n v="47.8"/>
    <n v="334.59999999999997"/>
    <x v="7"/>
    <d v="2025-01-08T00:00:00"/>
    <x v="2"/>
    <x v="0"/>
    <x v="0"/>
    <x v="0"/>
    <x v="19"/>
    <x v="7"/>
    <x v="1"/>
    <x v="2"/>
  </r>
  <r>
    <x v="195"/>
    <x v="0"/>
    <x v="1"/>
    <n v="10.199999999999999"/>
    <n v="20.399999999999999"/>
    <x v="7"/>
    <d v="2025-01-10T00:00:00"/>
    <x v="2"/>
    <x v="0"/>
    <x v="0"/>
    <x v="0"/>
    <x v="19"/>
    <x v="1"/>
    <x v="1"/>
    <x v="2"/>
  </r>
  <r>
    <x v="196"/>
    <x v="8"/>
    <x v="8"/>
    <n v="41"/>
    <n v="328"/>
    <x v="7"/>
    <d v="2025-01-08T00:00:00"/>
    <x v="2"/>
    <x v="1"/>
    <x v="2"/>
    <x v="0"/>
    <x v="19"/>
    <x v="7"/>
    <x v="1"/>
    <x v="2"/>
  </r>
  <r>
    <x v="197"/>
    <x v="10"/>
    <x v="3"/>
    <n v="50.8"/>
    <n v="355.59999999999997"/>
    <x v="7"/>
    <d v="2025-01-11T00:00:00"/>
    <x v="2"/>
    <x v="1"/>
    <x v="0"/>
    <x v="0"/>
    <x v="21"/>
    <x v="2"/>
    <x v="1"/>
    <x v="2"/>
  </r>
  <r>
    <x v="198"/>
    <x v="18"/>
    <x v="2"/>
    <n v="39.6"/>
    <n v="118.80000000000001"/>
    <x v="7"/>
    <d v="2025-01-09T00:00:00"/>
    <x v="1"/>
    <x v="2"/>
    <x v="2"/>
    <x v="0"/>
    <x v="1"/>
    <x v="3"/>
    <x v="1"/>
    <x v="1"/>
  </r>
  <r>
    <x v="199"/>
    <x v="5"/>
    <x v="1"/>
    <n v="69.5"/>
    <n v="139"/>
    <x v="7"/>
    <d v="2025-01-10T00:00:00"/>
    <x v="1"/>
    <x v="0"/>
    <x v="2"/>
    <x v="0"/>
    <x v="2"/>
    <x v="1"/>
    <x v="1"/>
    <x v="1"/>
  </r>
  <r>
    <x v="200"/>
    <x v="8"/>
    <x v="8"/>
    <n v="32.6"/>
    <n v="260.8"/>
    <x v="7"/>
    <d v="2025-01-11T00:00:00"/>
    <x v="1"/>
    <x v="1"/>
    <x v="0"/>
    <x v="0"/>
    <x v="3"/>
    <x v="2"/>
    <x v="1"/>
    <x v="1"/>
  </r>
  <r>
    <x v="201"/>
    <x v="7"/>
    <x v="1"/>
    <n v="49.1"/>
    <n v="98.2"/>
    <x v="7"/>
    <d v="2025-01-16T00:00:00"/>
    <x v="1"/>
    <x v="3"/>
    <x v="2"/>
    <x v="0"/>
    <x v="3"/>
    <x v="9"/>
    <x v="1"/>
    <x v="1"/>
  </r>
  <r>
    <x v="202"/>
    <x v="6"/>
    <x v="1"/>
    <n v="49.4"/>
    <n v="98.8"/>
    <x v="8"/>
    <d v="2025-01-10T00:00:00"/>
    <x v="2"/>
    <x v="2"/>
    <x v="0"/>
    <x v="0"/>
    <x v="3"/>
    <x v="3"/>
    <x v="1"/>
    <x v="2"/>
  </r>
  <r>
    <x v="203"/>
    <x v="7"/>
    <x v="3"/>
    <n v="65.099999999999994"/>
    <n v="455.69999999999993"/>
    <x v="8"/>
    <d v="2025-01-12T00:00:00"/>
    <x v="2"/>
    <x v="2"/>
    <x v="2"/>
    <x v="0"/>
    <x v="3"/>
    <x v="2"/>
    <x v="1"/>
    <x v="2"/>
  </r>
  <r>
    <x v="204"/>
    <x v="3"/>
    <x v="1"/>
    <n v="52.1"/>
    <n v="104.2"/>
    <x v="8"/>
    <d v="2025-01-13T00:00:00"/>
    <x v="2"/>
    <x v="2"/>
    <x v="0"/>
    <x v="0"/>
    <x v="3"/>
    <x v="5"/>
    <x v="1"/>
    <x v="2"/>
  </r>
  <r>
    <x v="205"/>
    <x v="2"/>
    <x v="12"/>
    <n v="129.19999999999999"/>
    <n v="516.79999999999995"/>
    <x v="8"/>
    <d v="2025-01-10T00:00:00"/>
    <x v="2"/>
    <x v="1"/>
    <x v="0"/>
    <x v="0"/>
    <x v="3"/>
    <x v="3"/>
    <x v="1"/>
    <x v="2"/>
  </r>
  <r>
    <x v="206"/>
    <x v="1"/>
    <x v="10"/>
    <n v="81.8"/>
    <n v="1554.2"/>
    <x v="8"/>
    <d v="2025-01-09T00:00:00"/>
    <x v="2"/>
    <x v="1"/>
    <x v="1"/>
    <x v="0"/>
    <x v="3"/>
    <x v="7"/>
    <x v="1"/>
    <x v="2"/>
  </r>
  <r>
    <x v="207"/>
    <x v="17"/>
    <x v="0"/>
    <n v="24.9"/>
    <n v="24.9"/>
    <x v="8"/>
    <d v="2025-01-13T00:00:00"/>
    <x v="2"/>
    <x v="1"/>
    <x v="0"/>
    <x v="0"/>
    <x v="3"/>
    <x v="5"/>
    <x v="1"/>
    <x v="2"/>
  </r>
  <r>
    <x v="208"/>
    <x v="0"/>
    <x v="2"/>
    <n v="49.4"/>
    <n v="148.19999999999999"/>
    <x v="8"/>
    <d v="2025-01-12T00:00:00"/>
    <x v="2"/>
    <x v="4"/>
    <x v="4"/>
    <x v="0"/>
    <x v="3"/>
    <x v="2"/>
    <x v="1"/>
    <x v="2"/>
  </r>
  <r>
    <x v="209"/>
    <x v="8"/>
    <x v="1"/>
    <n v="22.7"/>
    <n v="45.4"/>
    <x v="8"/>
    <d v="2025-01-10T00:00:00"/>
    <x v="1"/>
    <x v="3"/>
    <x v="2"/>
    <x v="0"/>
    <x v="3"/>
    <x v="3"/>
    <x v="1"/>
    <x v="1"/>
  </r>
  <r>
    <x v="210"/>
    <x v="1"/>
    <x v="0"/>
    <n v="77.3"/>
    <n v="77.3"/>
    <x v="8"/>
    <d v="2025-01-09T00:00:00"/>
    <x v="2"/>
    <x v="0"/>
    <x v="2"/>
    <x v="0"/>
    <x v="6"/>
    <x v="7"/>
    <x v="1"/>
    <x v="2"/>
  </r>
  <r>
    <x v="211"/>
    <x v="1"/>
    <x v="9"/>
    <n v="109.1"/>
    <n v="545.5"/>
    <x v="8"/>
    <d v="2025-01-12T00:00:00"/>
    <x v="2"/>
    <x v="0"/>
    <x v="0"/>
    <x v="0"/>
    <x v="6"/>
    <x v="2"/>
    <x v="1"/>
    <x v="2"/>
  </r>
  <r>
    <x v="212"/>
    <x v="2"/>
    <x v="12"/>
    <n v="53.9"/>
    <n v="215.6"/>
    <x v="8"/>
    <d v="2025-01-10T00:00:00"/>
    <x v="1"/>
    <x v="0"/>
    <x v="1"/>
    <x v="0"/>
    <x v="8"/>
    <x v="3"/>
    <x v="1"/>
    <x v="1"/>
  </r>
  <r>
    <x v="213"/>
    <x v="9"/>
    <x v="18"/>
    <n v="21.2"/>
    <n v="551.19999999999993"/>
    <x v="8"/>
    <d v="2025-01-09T00:00:00"/>
    <x v="2"/>
    <x v="0"/>
    <x v="0"/>
    <x v="0"/>
    <x v="9"/>
    <x v="7"/>
    <x v="1"/>
    <x v="2"/>
  </r>
  <r>
    <x v="214"/>
    <x v="16"/>
    <x v="12"/>
    <n v="69"/>
    <n v="276"/>
    <x v="8"/>
    <d v="2025-01-11T00:00:00"/>
    <x v="2"/>
    <x v="1"/>
    <x v="1"/>
    <x v="0"/>
    <x v="18"/>
    <x v="1"/>
    <x v="1"/>
    <x v="2"/>
  </r>
  <r>
    <x v="215"/>
    <x v="6"/>
    <x v="2"/>
    <n v="46.2"/>
    <n v="138.60000000000002"/>
    <x v="8"/>
    <d v="2025-01-11T00:00:00"/>
    <x v="2"/>
    <x v="0"/>
    <x v="2"/>
    <x v="0"/>
    <x v="31"/>
    <x v="1"/>
    <x v="1"/>
    <x v="2"/>
  </r>
  <r>
    <x v="216"/>
    <x v="1"/>
    <x v="9"/>
    <n v="97.4"/>
    <n v="487"/>
    <x v="8"/>
    <d v="2025-01-13T00:00:00"/>
    <x v="2"/>
    <x v="4"/>
    <x v="2"/>
    <x v="0"/>
    <x v="21"/>
    <x v="5"/>
    <x v="1"/>
    <x v="2"/>
  </r>
  <r>
    <x v="217"/>
    <x v="8"/>
    <x v="9"/>
    <n v="21"/>
    <n v="105"/>
    <x v="8"/>
    <d v="2025-01-10T00:00:00"/>
    <x v="1"/>
    <x v="0"/>
    <x v="1"/>
    <x v="0"/>
    <x v="21"/>
    <x v="3"/>
    <x v="1"/>
    <x v="1"/>
  </r>
  <r>
    <x v="218"/>
    <x v="5"/>
    <x v="1"/>
    <n v="32.700000000000003"/>
    <n v="65.400000000000006"/>
    <x v="9"/>
    <d v="2025-01-13T00:00:00"/>
    <x v="2"/>
    <x v="1"/>
    <x v="0"/>
    <x v="0"/>
    <x v="2"/>
    <x v="2"/>
    <x v="1"/>
    <x v="2"/>
  </r>
  <r>
    <x v="219"/>
    <x v="6"/>
    <x v="12"/>
    <n v="48"/>
    <n v="192"/>
    <x v="9"/>
    <d v="2025-01-11T00:00:00"/>
    <x v="1"/>
    <x v="3"/>
    <x v="0"/>
    <x v="0"/>
    <x v="3"/>
    <x v="3"/>
    <x v="1"/>
    <x v="1"/>
  </r>
  <r>
    <x v="220"/>
    <x v="6"/>
    <x v="2"/>
    <n v="68.2"/>
    <n v="204.60000000000002"/>
    <x v="9"/>
    <d v="2025-01-14T00:00:00"/>
    <x v="0"/>
    <x v="0"/>
    <x v="2"/>
    <x v="0"/>
    <x v="3"/>
    <x v="5"/>
    <x v="1"/>
    <x v="0"/>
  </r>
  <r>
    <x v="221"/>
    <x v="5"/>
    <x v="0"/>
    <n v="45.4"/>
    <n v="45.4"/>
    <x v="9"/>
    <d v="2025-01-12T00:00:00"/>
    <x v="1"/>
    <x v="1"/>
    <x v="0"/>
    <x v="0"/>
    <x v="3"/>
    <x v="1"/>
    <x v="1"/>
    <x v="1"/>
  </r>
  <r>
    <x v="222"/>
    <x v="12"/>
    <x v="1"/>
    <n v="53.9"/>
    <n v="107.8"/>
    <x v="9"/>
    <d v="2025-01-11T00:00:00"/>
    <x v="2"/>
    <x v="2"/>
    <x v="0"/>
    <x v="0"/>
    <x v="3"/>
    <x v="3"/>
    <x v="1"/>
    <x v="2"/>
  </r>
  <r>
    <x v="223"/>
    <x v="2"/>
    <x v="12"/>
    <n v="62.1"/>
    <n v="248.4"/>
    <x v="9"/>
    <d v="2025-01-14T00:00:00"/>
    <x v="2"/>
    <x v="0"/>
    <x v="0"/>
    <x v="0"/>
    <x v="4"/>
    <x v="5"/>
    <x v="1"/>
    <x v="2"/>
  </r>
  <r>
    <x v="224"/>
    <x v="13"/>
    <x v="3"/>
    <n v="33.1"/>
    <n v="231.70000000000002"/>
    <x v="9"/>
    <d v="2025-01-15T00:00:00"/>
    <x v="1"/>
    <x v="1"/>
    <x v="0"/>
    <x v="0"/>
    <x v="6"/>
    <x v="0"/>
    <x v="1"/>
    <x v="1"/>
  </r>
  <r>
    <x v="225"/>
    <x v="18"/>
    <x v="9"/>
    <n v="35.200000000000003"/>
    <n v="176"/>
    <x v="9"/>
    <d v="2025-01-10T00:00:00"/>
    <x v="2"/>
    <x v="1"/>
    <x v="0"/>
    <x v="0"/>
    <x v="6"/>
    <x v="7"/>
    <x v="1"/>
    <x v="2"/>
  </r>
  <r>
    <x v="226"/>
    <x v="9"/>
    <x v="2"/>
    <n v="32.1"/>
    <n v="96.300000000000011"/>
    <x v="9"/>
    <d v="2025-01-15T00:00:00"/>
    <x v="1"/>
    <x v="3"/>
    <x v="0"/>
    <x v="0"/>
    <x v="8"/>
    <x v="0"/>
    <x v="1"/>
    <x v="1"/>
  </r>
  <r>
    <x v="227"/>
    <x v="11"/>
    <x v="0"/>
    <n v="38.1"/>
    <n v="38.1"/>
    <x v="9"/>
    <d v="2025-01-15T00:00:00"/>
    <x v="2"/>
    <x v="0"/>
    <x v="2"/>
    <x v="0"/>
    <x v="8"/>
    <x v="0"/>
    <x v="1"/>
    <x v="2"/>
  </r>
  <r>
    <x v="228"/>
    <x v="8"/>
    <x v="0"/>
    <n v="65.2"/>
    <n v="65.2"/>
    <x v="9"/>
    <d v="2025-01-15T00:00:00"/>
    <x v="2"/>
    <x v="3"/>
    <x v="1"/>
    <x v="0"/>
    <x v="8"/>
    <x v="0"/>
    <x v="1"/>
    <x v="2"/>
  </r>
  <r>
    <x v="229"/>
    <x v="10"/>
    <x v="3"/>
    <n v="55.2"/>
    <n v="386.40000000000003"/>
    <x v="9"/>
    <d v="2025-01-11T00:00:00"/>
    <x v="1"/>
    <x v="2"/>
    <x v="0"/>
    <x v="0"/>
    <x v="11"/>
    <x v="3"/>
    <x v="1"/>
    <x v="1"/>
  </r>
  <r>
    <x v="230"/>
    <x v="6"/>
    <x v="0"/>
    <n v="62"/>
    <n v="62"/>
    <x v="9"/>
    <d v="2025-01-14T00:00:00"/>
    <x v="2"/>
    <x v="0"/>
    <x v="0"/>
    <x v="0"/>
    <x v="11"/>
    <x v="5"/>
    <x v="1"/>
    <x v="2"/>
  </r>
  <r>
    <x v="231"/>
    <x v="7"/>
    <x v="2"/>
    <n v="45.9"/>
    <n v="137.69999999999999"/>
    <x v="9"/>
    <d v="2025-01-11T00:00:00"/>
    <x v="2"/>
    <x v="2"/>
    <x v="0"/>
    <x v="0"/>
    <x v="32"/>
    <x v="3"/>
    <x v="1"/>
    <x v="2"/>
  </r>
  <r>
    <x v="232"/>
    <x v="18"/>
    <x v="2"/>
    <n v="58.3"/>
    <n v="174.89999999999998"/>
    <x v="9"/>
    <d v="2025-01-10T00:00:00"/>
    <x v="1"/>
    <x v="1"/>
    <x v="1"/>
    <x v="0"/>
    <x v="18"/>
    <x v="7"/>
    <x v="1"/>
    <x v="1"/>
  </r>
  <r>
    <x v="233"/>
    <x v="8"/>
    <x v="1"/>
    <n v="22.3"/>
    <n v="44.6"/>
    <x v="9"/>
    <d v="2025-01-13T00:00:00"/>
    <x v="2"/>
    <x v="0"/>
    <x v="2"/>
    <x v="0"/>
    <x v="20"/>
    <x v="2"/>
    <x v="1"/>
    <x v="2"/>
  </r>
  <r>
    <x v="234"/>
    <x v="19"/>
    <x v="9"/>
    <n v="24"/>
    <n v="120"/>
    <x v="9"/>
    <d v="2025-01-11T00:00:00"/>
    <x v="1"/>
    <x v="4"/>
    <x v="0"/>
    <x v="0"/>
    <x v="1"/>
    <x v="3"/>
    <x v="1"/>
    <x v="1"/>
  </r>
  <r>
    <x v="235"/>
    <x v="0"/>
    <x v="7"/>
    <n v="21.3"/>
    <n v="213"/>
    <x v="9"/>
    <d v="2025-01-10T00:00:00"/>
    <x v="2"/>
    <x v="1"/>
    <x v="2"/>
    <x v="0"/>
    <x v="22"/>
    <x v="7"/>
    <x v="1"/>
    <x v="2"/>
  </r>
  <r>
    <x v="236"/>
    <x v="6"/>
    <x v="24"/>
    <n v="57.8"/>
    <n v="2369.7999999999997"/>
    <x v="9"/>
    <d v="2025-01-12T00:00:00"/>
    <x v="2"/>
    <x v="0"/>
    <x v="2"/>
    <x v="0"/>
    <x v="3"/>
    <x v="1"/>
    <x v="1"/>
    <x v="2"/>
  </r>
  <r>
    <x v="237"/>
    <x v="10"/>
    <x v="2"/>
    <n v="67.599999999999994"/>
    <n v="202.79999999999998"/>
    <x v="9"/>
    <d v="2025-01-11T00:00:00"/>
    <x v="2"/>
    <x v="0"/>
    <x v="0"/>
    <x v="0"/>
    <x v="3"/>
    <x v="3"/>
    <x v="1"/>
    <x v="2"/>
  </r>
  <r>
    <x v="238"/>
    <x v="6"/>
    <x v="13"/>
    <n v="66.7"/>
    <n v="400.20000000000005"/>
    <x v="9"/>
    <d v="2025-01-14T00:00:00"/>
    <x v="1"/>
    <x v="4"/>
    <x v="1"/>
    <x v="0"/>
    <x v="3"/>
    <x v="5"/>
    <x v="1"/>
    <x v="1"/>
  </r>
  <r>
    <x v="239"/>
    <x v="1"/>
    <x v="12"/>
    <n v="53.1"/>
    <n v="212.4"/>
    <x v="9"/>
    <d v="2025-01-12T00:00:00"/>
    <x v="2"/>
    <x v="1"/>
    <x v="0"/>
    <x v="0"/>
    <x v="3"/>
    <x v="1"/>
    <x v="1"/>
    <x v="2"/>
  </r>
  <r>
    <x v="240"/>
    <x v="12"/>
    <x v="2"/>
    <n v="57.4"/>
    <n v="172.2"/>
    <x v="9"/>
    <d v="2025-01-13T00:00:00"/>
    <x v="2"/>
    <x v="0"/>
    <x v="2"/>
    <x v="0"/>
    <x v="29"/>
    <x v="2"/>
    <x v="1"/>
    <x v="2"/>
  </r>
  <r>
    <x v="241"/>
    <x v="2"/>
    <x v="9"/>
    <n v="58.1"/>
    <n v="290.5"/>
    <x v="9"/>
    <d v="2025-01-10T00:00:00"/>
    <x v="1"/>
    <x v="2"/>
    <x v="2"/>
    <x v="0"/>
    <x v="6"/>
    <x v="7"/>
    <x v="1"/>
    <x v="1"/>
  </r>
  <r>
    <x v="242"/>
    <x v="5"/>
    <x v="2"/>
    <n v="31.8"/>
    <n v="95.4"/>
    <x v="10"/>
    <d v="2025-01-13T00:00:00"/>
    <x v="1"/>
    <x v="3"/>
    <x v="0"/>
    <x v="0"/>
    <x v="6"/>
    <x v="1"/>
    <x v="1"/>
    <x v="1"/>
  </r>
  <r>
    <x v="243"/>
    <x v="4"/>
    <x v="2"/>
    <n v="31.5"/>
    <n v="94.5"/>
    <x v="10"/>
    <d v="2025-01-14T00:00:00"/>
    <x v="1"/>
    <x v="0"/>
    <x v="1"/>
    <x v="0"/>
    <x v="8"/>
    <x v="2"/>
    <x v="1"/>
    <x v="1"/>
  </r>
  <r>
    <x v="244"/>
    <x v="6"/>
    <x v="3"/>
    <n v="55.9"/>
    <n v="391.3"/>
    <x v="10"/>
    <d v="2025-01-15T00:00:00"/>
    <x v="2"/>
    <x v="1"/>
    <x v="2"/>
    <x v="0"/>
    <x v="8"/>
    <x v="5"/>
    <x v="1"/>
    <x v="2"/>
  </r>
  <r>
    <x v="245"/>
    <x v="8"/>
    <x v="1"/>
    <n v="36.4"/>
    <n v="72.8"/>
    <x v="10"/>
    <d v="2025-01-12T00:00:00"/>
    <x v="1"/>
    <x v="1"/>
    <x v="1"/>
    <x v="0"/>
    <x v="9"/>
    <x v="3"/>
    <x v="1"/>
    <x v="1"/>
  </r>
  <r>
    <x v="246"/>
    <x v="1"/>
    <x v="9"/>
    <n v="47.3"/>
    <n v="236.5"/>
    <x v="10"/>
    <d v="2025-01-14T00:00:00"/>
    <x v="1"/>
    <x v="2"/>
    <x v="0"/>
    <x v="0"/>
    <x v="10"/>
    <x v="2"/>
    <x v="1"/>
    <x v="1"/>
  </r>
  <r>
    <x v="247"/>
    <x v="6"/>
    <x v="2"/>
    <n v="82.5"/>
    <n v="247.5"/>
    <x v="10"/>
    <d v="2025-01-12T00:00:00"/>
    <x v="1"/>
    <x v="0"/>
    <x v="0"/>
    <x v="0"/>
    <x v="11"/>
    <x v="3"/>
    <x v="1"/>
    <x v="1"/>
  </r>
  <r>
    <x v="248"/>
    <x v="0"/>
    <x v="0"/>
    <n v="14.3"/>
    <n v="14.3"/>
    <x v="10"/>
    <d v="2025-01-12T00:00:00"/>
    <x v="2"/>
    <x v="0"/>
    <x v="0"/>
    <x v="0"/>
    <x v="21"/>
    <x v="3"/>
    <x v="1"/>
    <x v="2"/>
  </r>
  <r>
    <x v="249"/>
    <x v="2"/>
    <x v="13"/>
    <n v="57.6"/>
    <n v="345.6"/>
    <x v="10"/>
    <d v="2025-01-25T00:00:00"/>
    <x v="2"/>
    <x v="0"/>
    <x v="0"/>
    <x v="0"/>
    <x v="21"/>
    <x v="12"/>
    <x v="1"/>
    <x v="2"/>
  </r>
  <r>
    <x v="250"/>
    <x v="2"/>
    <x v="2"/>
    <n v="142.4"/>
    <n v="427.20000000000005"/>
    <x v="10"/>
    <d v="2025-01-13T00:00:00"/>
    <x v="1"/>
    <x v="4"/>
    <x v="1"/>
    <x v="0"/>
    <x v="21"/>
    <x v="1"/>
    <x v="1"/>
    <x v="1"/>
  </r>
  <r>
    <x v="251"/>
    <x v="12"/>
    <x v="0"/>
    <n v="30.2"/>
    <n v="30.2"/>
    <x v="10"/>
    <d v="2025-01-15T00:00:00"/>
    <x v="1"/>
    <x v="1"/>
    <x v="2"/>
    <x v="0"/>
    <x v="2"/>
    <x v="5"/>
    <x v="1"/>
    <x v="1"/>
  </r>
  <r>
    <x v="252"/>
    <x v="18"/>
    <x v="2"/>
    <n v="65.3"/>
    <n v="195.89999999999998"/>
    <x v="10"/>
    <d v="2025-01-12T00:00:00"/>
    <x v="3"/>
    <x v="1"/>
    <x v="0"/>
    <x v="0"/>
    <x v="33"/>
    <x v="3"/>
    <x v="1"/>
    <x v="3"/>
  </r>
  <r>
    <x v="253"/>
    <x v="0"/>
    <x v="1"/>
    <n v="33.4"/>
    <n v="66.8"/>
    <x v="10"/>
    <d v="2025-01-12T00:00:00"/>
    <x v="1"/>
    <x v="1"/>
    <x v="1"/>
    <x v="0"/>
    <x v="22"/>
    <x v="3"/>
    <x v="1"/>
    <x v="1"/>
  </r>
  <r>
    <x v="254"/>
    <x v="7"/>
    <x v="1"/>
    <n v="45.1"/>
    <n v="90.2"/>
    <x v="10"/>
    <d v="2025-01-19T00:00:00"/>
    <x v="1"/>
    <x v="0"/>
    <x v="0"/>
    <x v="0"/>
    <x v="34"/>
    <x v="9"/>
    <x v="1"/>
    <x v="1"/>
  </r>
  <r>
    <x v="255"/>
    <x v="2"/>
    <x v="3"/>
    <n v="61.7"/>
    <n v="431.90000000000003"/>
    <x v="10"/>
    <d v="2025-01-13T00:00:00"/>
    <x v="2"/>
    <x v="4"/>
    <x v="0"/>
    <x v="0"/>
    <x v="3"/>
    <x v="1"/>
    <x v="1"/>
    <x v="2"/>
  </r>
  <r>
    <x v="256"/>
    <x v="9"/>
    <x v="2"/>
    <n v="45.1"/>
    <n v="135.30000000000001"/>
    <x v="11"/>
    <d v="2025-01-13T00:00:00"/>
    <x v="1"/>
    <x v="4"/>
    <x v="1"/>
    <x v="0"/>
    <x v="3"/>
    <x v="3"/>
    <x v="2"/>
    <x v="1"/>
  </r>
  <r>
    <x v="257"/>
    <x v="15"/>
    <x v="9"/>
    <n v="22.7"/>
    <n v="113.5"/>
    <x v="11"/>
    <d v="2025-01-17T00:00:00"/>
    <x v="1"/>
    <x v="0"/>
    <x v="2"/>
    <x v="0"/>
    <x v="35"/>
    <x v="0"/>
    <x v="2"/>
    <x v="1"/>
  </r>
  <r>
    <x v="258"/>
    <x v="8"/>
    <x v="0"/>
    <n v="17.600000000000001"/>
    <n v="17.600000000000001"/>
    <x v="11"/>
    <d v="2025-01-13T00:00:00"/>
    <x v="2"/>
    <x v="0"/>
    <x v="2"/>
    <x v="0"/>
    <x v="23"/>
    <x v="3"/>
    <x v="2"/>
    <x v="2"/>
  </r>
  <r>
    <x v="259"/>
    <x v="14"/>
    <x v="1"/>
    <n v="11.3"/>
    <n v="22.6"/>
    <x v="11"/>
    <d v="2025-01-15T00:00:00"/>
    <x v="2"/>
    <x v="3"/>
    <x v="2"/>
    <x v="0"/>
    <x v="23"/>
    <x v="2"/>
    <x v="2"/>
    <x v="2"/>
  </r>
  <r>
    <x v="260"/>
    <x v="6"/>
    <x v="2"/>
    <n v="53.4"/>
    <n v="160.19999999999999"/>
    <x v="11"/>
    <d v="2025-01-15T00:00:00"/>
    <x v="1"/>
    <x v="3"/>
    <x v="2"/>
    <x v="0"/>
    <x v="36"/>
    <x v="2"/>
    <x v="2"/>
    <x v="1"/>
  </r>
  <r>
    <x v="261"/>
    <x v="6"/>
    <x v="5"/>
    <n v="51.1"/>
    <n v="562.1"/>
    <x v="11"/>
    <d v="2025-01-14T00:00:00"/>
    <x v="2"/>
    <x v="2"/>
    <x v="2"/>
    <x v="0"/>
    <x v="8"/>
    <x v="1"/>
    <x v="2"/>
    <x v="2"/>
  </r>
  <r>
    <x v="262"/>
    <x v="8"/>
    <x v="1"/>
    <n v="27.5"/>
    <n v="55"/>
    <x v="11"/>
    <d v="2025-01-13T00:00:00"/>
    <x v="1"/>
    <x v="4"/>
    <x v="1"/>
    <x v="0"/>
    <x v="8"/>
    <x v="3"/>
    <x v="2"/>
    <x v="1"/>
  </r>
  <r>
    <x v="263"/>
    <x v="9"/>
    <x v="0"/>
    <n v="33.5"/>
    <n v="33.5"/>
    <x v="11"/>
    <d v="2025-01-14T00:00:00"/>
    <x v="2"/>
    <x v="0"/>
    <x v="4"/>
    <x v="0"/>
    <x v="8"/>
    <x v="1"/>
    <x v="2"/>
    <x v="2"/>
  </r>
  <r>
    <x v="264"/>
    <x v="4"/>
    <x v="0"/>
    <n v="59.5"/>
    <n v="59.5"/>
    <x v="11"/>
    <d v="2025-01-12T00:00:00"/>
    <x v="1"/>
    <x v="0"/>
    <x v="2"/>
    <x v="0"/>
    <x v="18"/>
    <x v="7"/>
    <x v="2"/>
    <x v="1"/>
  </r>
  <r>
    <x v="265"/>
    <x v="17"/>
    <x v="12"/>
    <n v="23.5"/>
    <n v="94"/>
    <x v="11"/>
    <d v="2025-01-13T00:00:00"/>
    <x v="2"/>
    <x v="3"/>
    <x v="3"/>
    <x v="0"/>
    <x v="19"/>
    <x v="3"/>
    <x v="2"/>
    <x v="2"/>
  </r>
  <r>
    <x v="266"/>
    <x v="6"/>
    <x v="0"/>
    <n v="49.7"/>
    <n v="49.7"/>
    <x v="11"/>
    <d v="2025-01-13T00:00:00"/>
    <x v="0"/>
    <x v="1"/>
    <x v="2"/>
    <x v="0"/>
    <x v="20"/>
    <x v="3"/>
    <x v="2"/>
    <x v="0"/>
  </r>
  <r>
    <x v="267"/>
    <x v="6"/>
    <x v="12"/>
    <n v="44.2"/>
    <n v="176.8"/>
    <x v="11"/>
    <d v="2025-01-15T00:00:00"/>
    <x v="2"/>
    <x v="0"/>
    <x v="2"/>
    <x v="0"/>
    <x v="21"/>
    <x v="2"/>
    <x v="2"/>
    <x v="2"/>
  </r>
  <r>
    <x v="268"/>
    <x v="8"/>
    <x v="0"/>
    <n v="22.1"/>
    <n v="22.1"/>
    <x v="11"/>
    <d v="2025-01-16T00:00:00"/>
    <x v="2"/>
    <x v="1"/>
    <x v="1"/>
    <x v="0"/>
    <x v="33"/>
    <x v="5"/>
    <x v="2"/>
    <x v="2"/>
  </r>
  <r>
    <x v="269"/>
    <x v="6"/>
    <x v="2"/>
    <n v="90.9"/>
    <n v="272.70000000000005"/>
    <x v="11"/>
    <d v="2025-01-13T00:00:00"/>
    <x v="2"/>
    <x v="2"/>
    <x v="4"/>
    <x v="0"/>
    <x v="3"/>
    <x v="3"/>
    <x v="2"/>
    <x v="2"/>
  </r>
  <r>
    <x v="270"/>
    <x v="8"/>
    <x v="2"/>
    <n v="44.5"/>
    <n v="133.5"/>
    <x v="11"/>
    <d v="2025-01-13T00:00:00"/>
    <x v="2"/>
    <x v="1"/>
    <x v="0"/>
    <x v="0"/>
    <x v="3"/>
    <x v="3"/>
    <x v="2"/>
    <x v="2"/>
  </r>
  <r>
    <x v="271"/>
    <x v="9"/>
    <x v="13"/>
    <n v="32.299999999999997"/>
    <n v="193.79999999999998"/>
    <x v="11"/>
    <d v="2025-01-16T00:00:00"/>
    <x v="2"/>
    <x v="0"/>
    <x v="0"/>
    <x v="0"/>
    <x v="3"/>
    <x v="5"/>
    <x v="2"/>
    <x v="2"/>
  </r>
  <r>
    <x v="272"/>
    <x v="17"/>
    <x v="2"/>
    <n v="87.5"/>
    <n v="262.5"/>
    <x v="11"/>
    <d v="2025-01-13T00:00:00"/>
    <x v="2"/>
    <x v="1"/>
    <x v="1"/>
    <x v="0"/>
    <x v="3"/>
    <x v="3"/>
    <x v="2"/>
    <x v="2"/>
  </r>
  <r>
    <x v="273"/>
    <x v="16"/>
    <x v="9"/>
    <n v="48.7"/>
    <n v="243.5"/>
    <x v="11"/>
    <d v="2025-01-13T00:00:00"/>
    <x v="1"/>
    <x v="2"/>
    <x v="0"/>
    <x v="0"/>
    <x v="3"/>
    <x v="3"/>
    <x v="2"/>
    <x v="1"/>
  </r>
  <r>
    <x v="274"/>
    <x v="0"/>
    <x v="9"/>
    <n v="22.5"/>
    <n v="112.5"/>
    <x v="11"/>
    <d v="2025-01-13T00:00:00"/>
    <x v="1"/>
    <x v="0"/>
    <x v="0"/>
    <x v="0"/>
    <x v="3"/>
    <x v="3"/>
    <x v="2"/>
    <x v="1"/>
  </r>
  <r>
    <x v="275"/>
    <x v="1"/>
    <x v="8"/>
    <n v="65.900000000000006"/>
    <n v="527.20000000000005"/>
    <x v="11"/>
    <d v="2025-01-15T00:00:00"/>
    <x v="2"/>
    <x v="1"/>
    <x v="2"/>
    <x v="0"/>
    <x v="3"/>
    <x v="2"/>
    <x v="2"/>
    <x v="2"/>
  </r>
  <r>
    <x v="276"/>
    <x v="6"/>
    <x v="9"/>
    <n v="41.9"/>
    <n v="209.5"/>
    <x v="11"/>
    <d v="2025-01-19T00:00:00"/>
    <x v="0"/>
    <x v="0"/>
    <x v="0"/>
    <x v="0"/>
    <x v="3"/>
    <x v="6"/>
    <x v="2"/>
    <x v="0"/>
  </r>
  <r>
    <x v="277"/>
    <x v="1"/>
    <x v="9"/>
    <n v="67.5"/>
    <n v="337.5"/>
    <x v="11"/>
    <d v="2025-01-13T00:00:00"/>
    <x v="2"/>
    <x v="0"/>
    <x v="2"/>
    <x v="0"/>
    <x v="3"/>
    <x v="3"/>
    <x v="2"/>
    <x v="2"/>
  </r>
  <r>
    <x v="278"/>
    <x v="9"/>
    <x v="0"/>
    <n v="60.4"/>
    <n v="60.4"/>
    <x v="12"/>
    <d v="2025-01-15T00:00:00"/>
    <x v="2"/>
    <x v="1"/>
    <x v="1"/>
    <x v="0"/>
    <x v="3"/>
    <x v="1"/>
    <x v="2"/>
    <x v="2"/>
  </r>
  <r>
    <x v="279"/>
    <x v="1"/>
    <x v="3"/>
    <n v="30.4"/>
    <n v="212.79999999999998"/>
    <x v="12"/>
    <d v="2025-01-16T00:00:00"/>
    <x v="2"/>
    <x v="4"/>
    <x v="0"/>
    <x v="0"/>
    <x v="3"/>
    <x v="2"/>
    <x v="2"/>
    <x v="2"/>
  </r>
  <r>
    <x v="280"/>
    <x v="14"/>
    <x v="1"/>
    <n v="24.5"/>
    <n v="49"/>
    <x v="12"/>
    <d v="2025-01-14T00:00:00"/>
    <x v="1"/>
    <x v="3"/>
    <x v="2"/>
    <x v="0"/>
    <x v="3"/>
    <x v="3"/>
    <x v="2"/>
    <x v="1"/>
  </r>
  <r>
    <x v="281"/>
    <x v="2"/>
    <x v="2"/>
    <n v="105.9"/>
    <n v="317.70000000000005"/>
    <x v="12"/>
    <d v="2025-01-18T00:00:00"/>
    <x v="1"/>
    <x v="0"/>
    <x v="0"/>
    <x v="0"/>
    <x v="37"/>
    <x v="0"/>
    <x v="2"/>
    <x v="1"/>
  </r>
  <r>
    <x v="282"/>
    <x v="10"/>
    <x v="25"/>
    <n v="25.9"/>
    <n v="621.59999999999991"/>
    <x v="12"/>
    <d v="2025-01-14T00:00:00"/>
    <x v="2"/>
    <x v="4"/>
    <x v="0"/>
    <x v="0"/>
    <x v="23"/>
    <x v="3"/>
    <x v="2"/>
    <x v="2"/>
  </r>
  <r>
    <x v="283"/>
    <x v="6"/>
    <x v="2"/>
    <n v="66.8"/>
    <n v="200.39999999999998"/>
    <x v="12"/>
    <d v="2025-01-13T00:00:00"/>
    <x v="1"/>
    <x v="0"/>
    <x v="0"/>
    <x v="0"/>
    <x v="23"/>
    <x v="7"/>
    <x v="2"/>
    <x v="1"/>
  </r>
  <r>
    <x v="284"/>
    <x v="6"/>
    <x v="2"/>
    <n v="112.3"/>
    <n v="336.9"/>
    <x v="12"/>
    <d v="2025-01-14T00:00:00"/>
    <x v="1"/>
    <x v="2"/>
    <x v="4"/>
    <x v="0"/>
    <x v="6"/>
    <x v="3"/>
    <x v="2"/>
    <x v="1"/>
  </r>
  <r>
    <x v="285"/>
    <x v="1"/>
    <x v="13"/>
    <n v="94.1"/>
    <n v="564.59999999999991"/>
    <x v="12"/>
    <d v="2025-01-14T00:00:00"/>
    <x v="2"/>
    <x v="0"/>
    <x v="4"/>
    <x v="0"/>
    <x v="6"/>
    <x v="3"/>
    <x v="2"/>
    <x v="2"/>
  </r>
  <r>
    <x v="286"/>
    <x v="5"/>
    <x v="0"/>
    <n v="40.700000000000003"/>
    <n v="40.700000000000003"/>
    <x v="12"/>
    <d v="2025-01-16T00:00:00"/>
    <x v="2"/>
    <x v="2"/>
    <x v="0"/>
    <x v="0"/>
    <x v="6"/>
    <x v="2"/>
    <x v="2"/>
    <x v="2"/>
  </r>
  <r>
    <x v="287"/>
    <x v="3"/>
    <x v="1"/>
    <n v="71.400000000000006"/>
    <n v="142.80000000000001"/>
    <x v="12"/>
    <d v="2025-01-14T00:00:00"/>
    <x v="1"/>
    <x v="0"/>
    <x v="0"/>
    <x v="0"/>
    <x v="7"/>
    <x v="3"/>
    <x v="2"/>
    <x v="1"/>
  </r>
  <r>
    <x v="288"/>
    <x v="0"/>
    <x v="16"/>
    <n v="15.6"/>
    <n v="280.8"/>
    <x v="12"/>
    <d v="2025-01-14T00:00:00"/>
    <x v="1"/>
    <x v="1"/>
    <x v="3"/>
    <x v="0"/>
    <x v="8"/>
    <x v="3"/>
    <x v="2"/>
    <x v="1"/>
  </r>
  <r>
    <x v="289"/>
    <x v="10"/>
    <x v="12"/>
    <n v="37.799999999999997"/>
    <n v="151.19999999999999"/>
    <x v="12"/>
    <d v="2025-01-14T00:00:00"/>
    <x v="1"/>
    <x v="2"/>
    <x v="2"/>
    <x v="0"/>
    <x v="8"/>
    <x v="3"/>
    <x v="2"/>
    <x v="1"/>
  </r>
  <r>
    <x v="290"/>
    <x v="4"/>
    <x v="2"/>
    <n v="28.1"/>
    <n v="84.300000000000011"/>
    <x v="12"/>
    <d v="2025-01-17T00:00:00"/>
    <x v="1"/>
    <x v="0"/>
    <x v="0"/>
    <x v="0"/>
    <x v="8"/>
    <x v="5"/>
    <x v="2"/>
    <x v="1"/>
  </r>
  <r>
    <x v="291"/>
    <x v="7"/>
    <x v="13"/>
    <n v="51.4"/>
    <n v="308.39999999999998"/>
    <x v="12"/>
    <d v="2025-01-17T00:00:00"/>
    <x v="1"/>
    <x v="0"/>
    <x v="0"/>
    <x v="0"/>
    <x v="8"/>
    <x v="5"/>
    <x v="2"/>
    <x v="1"/>
  </r>
  <r>
    <x v="292"/>
    <x v="7"/>
    <x v="1"/>
    <n v="97.7"/>
    <n v="195.4"/>
    <x v="12"/>
    <d v="2025-01-15T00:00:00"/>
    <x v="2"/>
    <x v="4"/>
    <x v="2"/>
    <x v="0"/>
    <x v="17"/>
    <x v="1"/>
    <x v="2"/>
    <x v="2"/>
  </r>
  <r>
    <x v="293"/>
    <x v="1"/>
    <x v="12"/>
    <n v="63.8"/>
    <n v="255.2"/>
    <x v="12"/>
    <d v="2025-01-14T00:00:00"/>
    <x v="1"/>
    <x v="2"/>
    <x v="0"/>
    <x v="0"/>
    <x v="38"/>
    <x v="3"/>
    <x v="2"/>
    <x v="1"/>
  </r>
  <r>
    <x v="294"/>
    <x v="13"/>
    <x v="1"/>
    <n v="20.100000000000001"/>
    <n v="40.200000000000003"/>
    <x v="12"/>
    <d v="2025-01-15T00:00:00"/>
    <x v="1"/>
    <x v="0"/>
    <x v="2"/>
    <x v="0"/>
    <x v="20"/>
    <x v="1"/>
    <x v="2"/>
    <x v="1"/>
  </r>
  <r>
    <x v="295"/>
    <x v="11"/>
    <x v="2"/>
    <n v="50.4"/>
    <n v="151.19999999999999"/>
    <x v="12"/>
    <d v="2025-01-16T00:00:00"/>
    <x v="2"/>
    <x v="3"/>
    <x v="0"/>
    <x v="0"/>
    <x v="13"/>
    <x v="2"/>
    <x v="2"/>
    <x v="2"/>
  </r>
  <r>
    <x v="296"/>
    <x v="0"/>
    <x v="0"/>
    <n v="16.2"/>
    <n v="16.2"/>
    <x v="12"/>
    <d v="2025-01-26T00:00:00"/>
    <x v="2"/>
    <x v="1"/>
    <x v="0"/>
    <x v="0"/>
    <x v="1"/>
    <x v="10"/>
    <x v="2"/>
    <x v="2"/>
  </r>
  <r>
    <x v="297"/>
    <x v="6"/>
    <x v="3"/>
    <n v="80.900000000000006"/>
    <n v="566.30000000000007"/>
    <x v="12"/>
    <d v="2025-01-15T00:00:00"/>
    <x v="1"/>
    <x v="4"/>
    <x v="4"/>
    <x v="0"/>
    <x v="2"/>
    <x v="1"/>
    <x v="2"/>
    <x v="1"/>
  </r>
  <r>
    <x v="298"/>
    <x v="9"/>
    <x v="13"/>
    <n v="95.2"/>
    <n v="571.20000000000005"/>
    <x v="12"/>
    <d v="2025-01-15T00:00:00"/>
    <x v="2"/>
    <x v="0"/>
    <x v="2"/>
    <x v="0"/>
    <x v="2"/>
    <x v="1"/>
    <x v="2"/>
    <x v="2"/>
  </r>
  <r>
    <x v="299"/>
    <x v="5"/>
    <x v="8"/>
    <n v="70.400000000000006"/>
    <n v="563.20000000000005"/>
    <x v="12"/>
    <d v="2025-01-14T00:00:00"/>
    <x v="1"/>
    <x v="1"/>
    <x v="1"/>
    <x v="0"/>
    <x v="3"/>
    <x v="3"/>
    <x v="2"/>
    <x v="1"/>
  </r>
  <r>
    <x v="300"/>
    <x v="0"/>
    <x v="9"/>
    <n v="10.7"/>
    <n v="53.5"/>
    <x v="12"/>
    <d v="2025-01-17T00:00:00"/>
    <x v="2"/>
    <x v="2"/>
    <x v="0"/>
    <x v="0"/>
    <x v="3"/>
    <x v="5"/>
    <x v="2"/>
    <x v="2"/>
  </r>
  <r>
    <x v="301"/>
    <x v="8"/>
    <x v="9"/>
    <n v="19.600000000000001"/>
    <n v="98"/>
    <x v="12"/>
    <d v="2025-01-15T00:00:00"/>
    <x v="2"/>
    <x v="0"/>
    <x v="3"/>
    <x v="0"/>
    <x v="3"/>
    <x v="1"/>
    <x v="2"/>
    <x v="2"/>
  </r>
  <r>
    <x v="302"/>
    <x v="8"/>
    <x v="5"/>
    <n v="34.700000000000003"/>
    <n v="381.70000000000005"/>
    <x v="12"/>
    <d v="2025-01-15T00:00:00"/>
    <x v="2"/>
    <x v="0"/>
    <x v="2"/>
    <x v="0"/>
    <x v="3"/>
    <x v="1"/>
    <x v="2"/>
    <x v="2"/>
  </r>
  <r>
    <x v="303"/>
    <x v="10"/>
    <x v="11"/>
    <n v="34.1"/>
    <n v="306.90000000000003"/>
    <x v="12"/>
    <d v="2025-01-14T00:00:00"/>
    <x v="2"/>
    <x v="4"/>
    <x v="1"/>
    <x v="0"/>
    <x v="3"/>
    <x v="3"/>
    <x v="2"/>
    <x v="2"/>
  </r>
  <r>
    <x v="304"/>
    <x v="0"/>
    <x v="26"/>
    <n v="29.3"/>
    <n v="1435.7"/>
    <x v="12"/>
    <d v="2025-01-13T00:00:00"/>
    <x v="1"/>
    <x v="0"/>
    <x v="1"/>
    <x v="0"/>
    <x v="3"/>
    <x v="7"/>
    <x v="2"/>
    <x v="1"/>
  </r>
  <r>
    <x v="305"/>
    <x v="1"/>
    <x v="0"/>
    <n v="55.2"/>
    <n v="55.2"/>
    <x v="12"/>
    <d v="2025-01-14T00:00:00"/>
    <x v="2"/>
    <x v="0"/>
    <x v="1"/>
    <x v="0"/>
    <x v="3"/>
    <x v="3"/>
    <x v="2"/>
    <x v="2"/>
  </r>
  <r>
    <x v="306"/>
    <x v="18"/>
    <x v="2"/>
    <n v="26"/>
    <n v="78"/>
    <x v="12"/>
    <d v="2025-01-16T00:00:00"/>
    <x v="2"/>
    <x v="0"/>
    <x v="2"/>
    <x v="0"/>
    <x v="3"/>
    <x v="2"/>
    <x v="2"/>
    <x v="2"/>
  </r>
  <r>
    <x v="307"/>
    <x v="14"/>
    <x v="1"/>
    <n v="14.2"/>
    <n v="28.4"/>
    <x v="12"/>
    <d v="2025-01-18T00:00:00"/>
    <x v="2"/>
    <x v="3"/>
    <x v="0"/>
    <x v="0"/>
    <x v="39"/>
    <x v="0"/>
    <x v="2"/>
    <x v="2"/>
  </r>
  <r>
    <x v="308"/>
    <x v="8"/>
    <x v="11"/>
    <n v="22.7"/>
    <n v="204.29999999999998"/>
    <x v="13"/>
    <d v="2025-01-15T00:00:00"/>
    <x v="1"/>
    <x v="1"/>
    <x v="0"/>
    <x v="0"/>
    <x v="6"/>
    <x v="3"/>
    <x v="2"/>
    <x v="1"/>
  </r>
  <r>
    <x v="309"/>
    <x v="0"/>
    <x v="20"/>
    <n v="19.8"/>
    <n v="297"/>
    <x v="13"/>
    <d v="2025-01-14T00:00:00"/>
    <x v="2"/>
    <x v="0"/>
    <x v="2"/>
    <x v="0"/>
    <x v="6"/>
    <x v="7"/>
    <x v="2"/>
    <x v="2"/>
  </r>
  <r>
    <x v="310"/>
    <x v="0"/>
    <x v="2"/>
    <n v="31.7"/>
    <n v="95.1"/>
    <x v="13"/>
    <d v="2025-01-15T00:00:00"/>
    <x v="1"/>
    <x v="2"/>
    <x v="0"/>
    <x v="0"/>
    <x v="6"/>
    <x v="3"/>
    <x v="2"/>
    <x v="1"/>
  </r>
  <r>
    <x v="311"/>
    <x v="8"/>
    <x v="12"/>
    <n v="30.4"/>
    <n v="121.6"/>
    <x v="13"/>
    <d v="2025-01-18T00:00:00"/>
    <x v="1"/>
    <x v="0"/>
    <x v="0"/>
    <x v="0"/>
    <x v="6"/>
    <x v="5"/>
    <x v="2"/>
    <x v="1"/>
  </r>
  <r>
    <x v="312"/>
    <x v="0"/>
    <x v="12"/>
    <n v="25.6"/>
    <n v="102.4"/>
    <x v="13"/>
    <d v="2025-01-15T00:00:00"/>
    <x v="1"/>
    <x v="3"/>
    <x v="0"/>
    <x v="0"/>
    <x v="8"/>
    <x v="3"/>
    <x v="2"/>
    <x v="1"/>
  </r>
  <r>
    <x v="313"/>
    <x v="5"/>
    <x v="1"/>
    <n v="34.9"/>
    <n v="69.8"/>
    <x v="13"/>
    <d v="2025-01-15T00:00:00"/>
    <x v="2"/>
    <x v="2"/>
    <x v="0"/>
    <x v="0"/>
    <x v="9"/>
    <x v="3"/>
    <x v="2"/>
    <x v="2"/>
  </r>
  <r>
    <x v="314"/>
    <x v="7"/>
    <x v="13"/>
    <n v="42.7"/>
    <n v="256.20000000000005"/>
    <x v="13"/>
    <d v="2025-01-17T00:00:00"/>
    <x v="1"/>
    <x v="2"/>
    <x v="1"/>
    <x v="0"/>
    <x v="11"/>
    <x v="2"/>
    <x v="2"/>
    <x v="1"/>
  </r>
  <r>
    <x v="315"/>
    <x v="8"/>
    <x v="0"/>
    <n v="23.9"/>
    <n v="23.9"/>
    <x v="13"/>
    <d v="2025-01-16T00:00:00"/>
    <x v="2"/>
    <x v="3"/>
    <x v="0"/>
    <x v="0"/>
    <x v="11"/>
    <x v="1"/>
    <x v="2"/>
    <x v="2"/>
  </r>
  <r>
    <x v="316"/>
    <x v="6"/>
    <x v="0"/>
    <n v="124.3"/>
    <n v="124.3"/>
    <x v="13"/>
    <d v="2025-01-15T00:00:00"/>
    <x v="0"/>
    <x v="2"/>
    <x v="1"/>
    <x v="0"/>
    <x v="21"/>
    <x v="3"/>
    <x v="2"/>
    <x v="0"/>
  </r>
  <r>
    <x v="317"/>
    <x v="8"/>
    <x v="13"/>
    <n v="35.9"/>
    <n v="215.39999999999998"/>
    <x v="13"/>
    <d v="2025-01-15T00:00:00"/>
    <x v="2"/>
    <x v="0"/>
    <x v="1"/>
    <x v="0"/>
    <x v="1"/>
    <x v="3"/>
    <x v="2"/>
    <x v="2"/>
  </r>
  <r>
    <x v="318"/>
    <x v="2"/>
    <x v="1"/>
    <n v="69.099999999999994"/>
    <n v="138.19999999999999"/>
    <x v="13"/>
    <d v="2025-01-17T00:00:00"/>
    <x v="2"/>
    <x v="0"/>
    <x v="2"/>
    <x v="0"/>
    <x v="22"/>
    <x v="2"/>
    <x v="2"/>
    <x v="2"/>
  </r>
  <r>
    <x v="319"/>
    <x v="7"/>
    <x v="0"/>
    <n v="58.4"/>
    <n v="58.4"/>
    <x v="13"/>
    <d v="2025-01-18T00:00:00"/>
    <x v="1"/>
    <x v="0"/>
    <x v="0"/>
    <x v="0"/>
    <x v="22"/>
    <x v="5"/>
    <x v="2"/>
    <x v="1"/>
  </r>
  <r>
    <x v="320"/>
    <x v="5"/>
    <x v="0"/>
    <n v="65.2"/>
    <n v="65.2"/>
    <x v="13"/>
    <d v="2025-01-16T00:00:00"/>
    <x v="3"/>
    <x v="4"/>
    <x v="4"/>
    <x v="0"/>
    <x v="3"/>
    <x v="1"/>
    <x v="2"/>
    <x v="3"/>
  </r>
  <r>
    <x v="321"/>
    <x v="8"/>
    <x v="14"/>
    <n v="32.700000000000003"/>
    <n v="555.90000000000009"/>
    <x v="13"/>
    <d v="2025-01-21T00:00:00"/>
    <x v="0"/>
    <x v="4"/>
    <x v="0"/>
    <x v="0"/>
    <x v="3"/>
    <x v="6"/>
    <x v="2"/>
    <x v="0"/>
  </r>
  <r>
    <x v="322"/>
    <x v="10"/>
    <x v="3"/>
    <n v="24.4"/>
    <n v="170.79999999999998"/>
    <x v="13"/>
    <d v="2025-01-15T00:00:00"/>
    <x v="2"/>
    <x v="0"/>
    <x v="0"/>
    <x v="0"/>
    <x v="3"/>
    <x v="3"/>
    <x v="2"/>
    <x v="2"/>
  </r>
  <r>
    <x v="323"/>
    <x v="14"/>
    <x v="1"/>
    <n v="50.4"/>
    <n v="100.8"/>
    <x v="13"/>
    <d v="2025-01-20T00:00:00"/>
    <x v="1"/>
    <x v="0"/>
    <x v="1"/>
    <x v="0"/>
    <x v="3"/>
    <x v="4"/>
    <x v="2"/>
    <x v="1"/>
  </r>
  <r>
    <x v="324"/>
    <x v="1"/>
    <x v="1"/>
    <n v="100"/>
    <n v="200"/>
    <x v="13"/>
    <d v="2025-01-15T00:00:00"/>
    <x v="2"/>
    <x v="0"/>
    <x v="0"/>
    <x v="0"/>
    <x v="3"/>
    <x v="3"/>
    <x v="2"/>
    <x v="2"/>
  </r>
  <r>
    <x v="325"/>
    <x v="10"/>
    <x v="2"/>
    <n v="43"/>
    <n v="129"/>
    <x v="14"/>
    <d v="2025-01-15T00:00:00"/>
    <x v="2"/>
    <x v="2"/>
    <x v="1"/>
    <x v="0"/>
    <x v="3"/>
    <x v="7"/>
    <x v="2"/>
    <x v="2"/>
  </r>
  <r>
    <x v="326"/>
    <x v="1"/>
    <x v="9"/>
    <n v="64.400000000000006"/>
    <n v="322"/>
    <x v="14"/>
    <d v="2025-01-17T00:00:00"/>
    <x v="1"/>
    <x v="2"/>
    <x v="1"/>
    <x v="0"/>
    <x v="3"/>
    <x v="1"/>
    <x v="2"/>
    <x v="1"/>
  </r>
  <r>
    <x v="327"/>
    <x v="18"/>
    <x v="1"/>
    <n v="57.4"/>
    <n v="114.8"/>
    <x v="14"/>
    <d v="2025-01-16T00:00:00"/>
    <x v="1"/>
    <x v="2"/>
    <x v="1"/>
    <x v="0"/>
    <x v="3"/>
    <x v="3"/>
    <x v="2"/>
    <x v="1"/>
  </r>
  <r>
    <x v="328"/>
    <x v="2"/>
    <x v="2"/>
    <n v="55.1"/>
    <n v="165.3"/>
    <x v="14"/>
    <d v="2025-01-18T00:00:00"/>
    <x v="2"/>
    <x v="1"/>
    <x v="0"/>
    <x v="0"/>
    <x v="3"/>
    <x v="2"/>
    <x v="2"/>
    <x v="2"/>
  </r>
  <r>
    <x v="329"/>
    <x v="7"/>
    <x v="12"/>
    <n v="45.4"/>
    <n v="181.6"/>
    <x v="14"/>
    <d v="2025-01-16T00:00:00"/>
    <x v="2"/>
    <x v="1"/>
    <x v="0"/>
    <x v="0"/>
    <x v="3"/>
    <x v="3"/>
    <x v="2"/>
    <x v="2"/>
  </r>
  <r>
    <x v="330"/>
    <x v="3"/>
    <x v="2"/>
    <n v="93.3"/>
    <n v="279.89999999999998"/>
    <x v="14"/>
    <d v="2025-01-16T00:00:00"/>
    <x v="2"/>
    <x v="0"/>
    <x v="0"/>
    <x v="0"/>
    <x v="40"/>
    <x v="3"/>
    <x v="2"/>
    <x v="2"/>
  </r>
  <r>
    <x v="331"/>
    <x v="2"/>
    <x v="10"/>
    <n v="158.19999999999999"/>
    <n v="3005.7999999999997"/>
    <x v="14"/>
    <d v="2025-01-16T00:00:00"/>
    <x v="2"/>
    <x v="1"/>
    <x v="2"/>
    <x v="0"/>
    <x v="16"/>
    <x v="3"/>
    <x v="2"/>
    <x v="2"/>
  </r>
  <r>
    <x v="332"/>
    <x v="2"/>
    <x v="1"/>
    <n v="74.900000000000006"/>
    <n v="149.80000000000001"/>
    <x v="14"/>
    <d v="2025-01-17T00:00:00"/>
    <x v="1"/>
    <x v="3"/>
    <x v="0"/>
    <x v="0"/>
    <x v="6"/>
    <x v="1"/>
    <x v="2"/>
    <x v="1"/>
  </r>
  <r>
    <x v="333"/>
    <x v="8"/>
    <x v="3"/>
    <n v="26"/>
    <n v="182"/>
    <x v="14"/>
    <d v="2025-01-18T00:00:00"/>
    <x v="2"/>
    <x v="1"/>
    <x v="0"/>
    <x v="0"/>
    <x v="8"/>
    <x v="2"/>
    <x v="2"/>
    <x v="2"/>
  </r>
  <r>
    <x v="334"/>
    <x v="9"/>
    <x v="13"/>
    <n v="37.5"/>
    <n v="225"/>
    <x v="14"/>
    <d v="2025-01-16T00:00:00"/>
    <x v="2"/>
    <x v="0"/>
    <x v="1"/>
    <x v="0"/>
    <x v="8"/>
    <x v="3"/>
    <x v="2"/>
    <x v="2"/>
  </r>
  <r>
    <x v="335"/>
    <x v="6"/>
    <x v="1"/>
    <n v="75.8"/>
    <n v="151.6"/>
    <x v="14"/>
    <d v="2025-01-21T00:00:00"/>
    <x v="1"/>
    <x v="0"/>
    <x v="0"/>
    <x v="0"/>
    <x v="8"/>
    <x v="4"/>
    <x v="2"/>
    <x v="1"/>
  </r>
  <r>
    <x v="336"/>
    <x v="7"/>
    <x v="0"/>
    <n v="48.5"/>
    <n v="48.5"/>
    <x v="14"/>
    <d v="2025-01-27T00:00:00"/>
    <x v="0"/>
    <x v="4"/>
    <x v="2"/>
    <x v="0"/>
    <x v="8"/>
    <x v="13"/>
    <x v="2"/>
    <x v="0"/>
  </r>
  <r>
    <x v="337"/>
    <x v="6"/>
    <x v="2"/>
    <n v="98.9"/>
    <n v="296.70000000000005"/>
    <x v="14"/>
    <d v="2025-01-17T00:00:00"/>
    <x v="2"/>
    <x v="4"/>
    <x v="1"/>
    <x v="0"/>
    <x v="8"/>
    <x v="1"/>
    <x v="2"/>
    <x v="2"/>
  </r>
  <r>
    <x v="338"/>
    <x v="1"/>
    <x v="4"/>
    <n v="50.9"/>
    <n v="610.79999999999995"/>
    <x v="14"/>
    <d v="2025-01-15T00:00:00"/>
    <x v="1"/>
    <x v="4"/>
    <x v="0"/>
    <x v="0"/>
    <x v="8"/>
    <x v="7"/>
    <x v="2"/>
    <x v="1"/>
  </r>
  <r>
    <x v="339"/>
    <x v="12"/>
    <x v="13"/>
    <n v="84.7"/>
    <n v="508.20000000000005"/>
    <x v="14"/>
    <d v="2025-01-15T00:00:00"/>
    <x v="2"/>
    <x v="2"/>
    <x v="0"/>
    <x v="0"/>
    <x v="8"/>
    <x v="7"/>
    <x v="2"/>
    <x v="2"/>
  </r>
  <r>
    <x v="340"/>
    <x v="8"/>
    <x v="0"/>
    <n v="20.7"/>
    <n v="20.7"/>
    <x v="14"/>
    <d v="2025-01-17T00:00:00"/>
    <x v="2"/>
    <x v="3"/>
    <x v="2"/>
    <x v="0"/>
    <x v="8"/>
    <x v="1"/>
    <x v="2"/>
    <x v="2"/>
  </r>
  <r>
    <x v="341"/>
    <x v="12"/>
    <x v="11"/>
    <n v="57.8"/>
    <n v="520.19999999999993"/>
    <x v="14"/>
    <d v="2025-01-26T00:00:00"/>
    <x v="1"/>
    <x v="0"/>
    <x v="4"/>
    <x v="0"/>
    <x v="17"/>
    <x v="11"/>
    <x v="2"/>
    <x v="1"/>
  </r>
  <r>
    <x v="342"/>
    <x v="2"/>
    <x v="1"/>
    <n v="106.9"/>
    <n v="213.8"/>
    <x v="14"/>
    <d v="2025-01-17T00:00:00"/>
    <x v="2"/>
    <x v="0"/>
    <x v="2"/>
    <x v="0"/>
    <x v="41"/>
    <x v="1"/>
    <x v="2"/>
    <x v="2"/>
  </r>
  <r>
    <x v="343"/>
    <x v="3"/>
    <x v="9"/>
    <n v="45.2"/>
    <n v="226"/>
    <x v="14"/>
    <d v="2025-01-19T00:00:00"/>
    <x v="2"/>
    <x v="1"/>
    <x v="0"/>
    <x v="0"/>
    <x v="21"/>
    <x v="5"/>
    <x v="2"/>
    <x v="2"/>
  </r>
  <r>
    <x v="344"/>
    <x v="8"/>
    <x v="15"/>
    <n v="34.6"/>
    <n v="449.8"/>
    <x v="14"/>
    <d v="2025-01-15T00:00:00"/>
    <x v="2"/>
    <x v="1"/>
    <x v="1"/>
    <x v="0"/>
    <x v="21"/>
    <x v="7"/>
    <x v="2"/>
    <x v="2"/>
  </r>
  <r>
    <x v="345"/>
    <x v="15"/>
    <x v="0"/>
    <n v="43.8"/>
    <n v="43.8"/>
    <x v="14"/>
    <d v="2025-01-17T00:00:00"/>
    <x v="0"/>
    <x v="0"/>
    <x v="2"/>
    <x v="0"/>
    <x v="21"/>
    <x v="1"/>
    <x v="2"/>
    <x v="0"/>
  </r>
  <r>
    <x v="346"/>
    <x v="15"/>
    <x v="0"/>
    <n v="20.399999999999999"/>
    <n v="20.399999999999999"/>
    <x v="14"/>
    <d v="2025-01-17T00:00:00"/>
    <x v="1"/>
    <x v="4"/>
    <x v="1"/>
    <x v="0"/>
    <x v="21"/>
    <x v="1"/>
    <x v="2"/>
    <x v="1"/>
  </r>
  <r>
    <x v="347"/>
    <x v="1"/>
    <x v="0"/>
    <n v="36.700000000000003"/>
    <n v="36.700000000000003"/>
    <x v="14"/>
    <d v="2025-01-16T00:00:00"/>
    <x v="1"/>
    <x v="0"/>
    <x v="1"/>
    <x v="0"/>
    <x v="1"/>
    <x v="3"/>
    <x v="2"/>
    <x v="1"/>
  </r>
  <r>
    <x v="348"/>
    <x v="8"/>
    <x v="2"/>
    <n v="27.2"/>
    <n v="81.599999999999994"/>
    <x v="14"/>
    <d v="2025-01-19T00:00:00"/>
    <x v="1"/>
    <x v="0"/>
    <x v="2"/>
    <x v="0"/>
    <x v="1"/>
    <x v="5"/>
    <x v="2"/>
    <x v="1"/>
  </r>
  <r>
    <x v="349"/>
    <x v="6"/>
    <x v="0"/>
    <n v="58.2"/>
    <n v="58.2"/>
    <x v="14"/>
    <d v="2025-01-16T00:00:00"/>
    <x v="2"/>
    <x v="0"/>
    <x v="2"/>
    <x v="0"/>
    <x v="42"/>
    <x v="3"/>
    <x v="2"/>
    <x v="2"/>
  </r>
  <r>
    <x v="350"/>
    <x v="8"/>
    <x v="2"/>
    <n v="25.6"/>
    <n v="76.800000000000011"/>
    <x v="14"/>
    <d v="2025-01-16T00:00:00"/>
    <x v="1"/>
    <x v="4"/>
    <x v="4"/>
    <x v="0"/>
    <x v="2"/>
    <x v="3"/>
    <x v="2"/>
    <x v="1"/>
  </r>
  <r>
    <x v="351"/>
    <x v="10"/>
    <x v="0"/>
    <n v="21.2"/>
    <n v="21.2"/>
    <x v="14"/>
    <d v="2025-01-15T00:00:00"/>
    <x v="2"/>
    <x v="1"/>
    <x v="2"/>
    <x v="0"/>
    <x v="3"/>
    <x v="7"/>
    <x v="2"/>
    <x v="2"/>
  </r>
  <r>
    <x v="352"/>
    <x v="6"/>
    <x v="1"/>
    <n v="48.2"/>
    <n v="96.4"/>
    <x v="14"/>
    <d v="2025-01-23T00:00:00"/>
    <x v="2"/>
    <x v="0"/>
    <x v="2"/>
    <x v="0"/>
    <x v="3"/>
    <x v="9"/>
    <x v="2"/>
    <x v="2"/>
  </r>
  <r>
    <x v="353"/>
    <x v="1"/>
    <x v="12"/>
    <n v="83.4"/>
    <n v="333.6"/>
    <x v="15"/>
    <d v="2025-01-17T00:00:00"/>
    <x v="1"/>
    <x v="0"/>
    <x v="0"/>
    <x v="0"/>
    <x v="3"/>
    <x v="3"/>
    <x v="2"/>
    <x v="1"/>
  </r>
  <r>
    <x v="354"/>
    <x v="9"/>
    <x v="2"/>
    <n v="45.3"/>
    <n v="135.89999999999998"/>
    <x v="15"/>
    <d v="2025-01-22T00:00:00"/>
    <x v="1"/>
    <x v="2"/>
    <x v="1"/>
    <x v="0"/>
    <x v="3"/>
    <x v="4"/>
    <x v="2"/>
    <x v="1"/>
  </r>
  <r>
    <x v="355"/>
    <x v="17"/>
    <x v="0"/>
    <n v="42"/>
    <n v="42"/>
    <x v="15"/>
    <d v="2025-01-17T00:00:00"/>
    <x v="0"/>
    <x v="0"/>
    <x v="0"/>
    <x v="0"/>
    <x v="3"/>
    <x v="3"/>
    <x v="2"/>
    <x v="0"/>
  </r>
  <r>
    <x v="356"/>
    <x v="0"/>
    <x v="11"/>
    <n v="21.8"/>
    <n v="196.20000000000002"/>
    <x v="15"/>
    <d v="2025-01-18T00:00:00"/>
    <x v="2"/>
    <x v="1"/>
    <x v="0"/>
    <x v="0"/>
    <x v="3"/>
    <x v="1"/>
    <x v="2"/>
    <x v="2"/>
  </r>
  <r>
    <x v="357"/>
    <x v="8"/>
    <x v="16"/>
    <n v="21.4"/>
    <n v="385.2"/>
    <x v="15"/>
    <d v="2025-01-19T00:00:00"/>
    <x v="2"/>
    <x v="1"/>
    <x v="2"/>
    <x v="0"/>
    <x v="3"/>
    <x v="2"/>
    <x v="2"/>
    <x v="2"/>
  </r>
  <r>
    <x v="358"/>
    <x v="10"/>
    <x v="2"/>
    <n v="45"/>
    <n v="135"/>
    <x v="15"/>
    <d v="2025-01-16T00:00:00"/>
    <x v="2"/>
    <x v="1"/>
    <x v="2"/>
    <x v="0"/>
    <x v="3"/>
    <x v="7"/>
    <x v="2"/>
    <x v="2"/>
  </r>
  <r>
    <x v="359"/>
    <x v="14"/>
    <x v="0"/>
    <n v="39.6"/>
    <n v="39.6"/>
    <x v="15"/>
    <d v="2025-01-17T00:00:00"/>
    <x v="1"/>
    <x v="0"/>
    <x v="2"/>
    <x v="0"/>
    <x v="3"/>
    <x v="3"/>
    <x v="2"/>
    <x v="1"/>
  </r>
  <r>
    <x v="360"/>
    <x v="12"/>
    <x v="2"/>
    <n v="79.8"/>
    <n v="239.39999999999998"/>
    <x v="15"/>
    <d v="2025-01-22T00:00:00"/>
    <x v="2"/>
    <x v="1"/>
    <x v="4"/>
    <x v="0"/>
    <x v="3"/>
    <x v="4"/>
    <x v="2"/>
    <x v="2"/>
  </r>
  <r>
    <x v="361"/>
    <x v="1"/>
    <x v="12"/>
    <n v="63.6"/>
    <n v="254.4"/>
    <x v="15"/>
    <d v="2025-01-17T00:00:00"/>
    <x v="3"/>
    <x v="0"/>
    <x v="2"/>
    <x v="0"/>
    <x v="24"/>
    <x v="3"/>
    <x v="2"/>
    <x v="3"/>
  </r>
  <r>
    <x v="362"/>
    <x v="7"/>
    <x v="7"/>
    <n v="92.7"/>
    <n v="927"/>
    <x v="15"/>
    <d v="2025-01-20T00:00:00"/>
    <x v="1"/>
    <x v="1"/>
    <x v="2"/>
    <x v="0"/>
    <x v="6"/>
    <x v="5"/>
    <x v="2"/>
    <x v="1"/>
  </r>
  <r>
    <x v="363"/>
    <x v="1"/>
    <x v="12"/>
    <n v="48.4"/>
    <n v="193.6"/>
    <x v="15"/>
    <d v="2025-01-18T00:00:00"/>
    <x v="2"/>
    <x v="1"/>
    <x v="2"/>
    <x v="0"/>
    <x v="6"/>
    <x v="1"/>
    <x v="2"/>
    <x v="2"/>
  </r>
  <r>
    <x v="364"/>
    <x v="9"/>
    <x v="8"/>
    <n v="36"/>
    <n v="288"/>
    <x v="15"/>
    <d v="2025-01-19T00:00:00"/>
    <x v="1"/>
    <x v="2"/>
    <x v="2"/>
    <x v="0"/>
    <x v="8"/>
    <x v="2"/>
    <x v="2"/>
    <x v="1"/>
  </r>
  <r>
    <x v="365"/>
    <x v="8"/>
    <x v="4"/>
    <n v="27"/>
    <n v="324"/>
    <x v="15"/>
    <d v="2025-01-18T00:00:00"/>
    <x v="2"/>
    <x v="2"/>
    <x v="1"/>
    <x v="0"/>
    <x v="8"/>
    <x v="1"/>
    <x v="2"/>
    <x v="2"/>
  </r>
  <r>
    <x v="366"/>
    <x v="2"/>
    <x v="8"/>
    <n v="53.9"/>
    <n v="431.2"/>
    <x v="15"/>
    <d v="2025-01-17T00:00:00"/>
    <x v="0"/>
    <x v="0"/>
    <x v="0"/>
    <x v="0"/>
    <x v="8"/>
    <x v="3"/>
    <x v="2"/>
    <x v="0"/>
  </r>
  <r>
    <x v="367"/>
    <x v="3"/>
    <x v="11"/>
    <n v="48.4"/>
    <n v="435.59999999999997"/>
    <x v="15"/>
    <d v="2025-01-17T00:00:00"/>
    <x v="2"/>
    <x v="1"/>
    <x v="0"/>
    <x v="0"/>
    <x v="9"/>
    <x v="3"/>
    <x v="2"/>
    <x v="2"/>
  </r>
  <r>
    <x v="368"/>
    <x v="17"/>
    <x v="1"/>
    <n v="49.9"/>
    <n v="99.8"/>
    <x v="15"/>
    <d v="2025-01-21T00:00:00"/>
    <x v="1"/>
    <x v="4"/>
    <x v="4"/>
    <x v="0"/>
    <x v="10"/>
    <x v="0"/>
    <x v="2"/>
    <x v="1"/>
  </r>
  <r>
    <x v="369"/>
    <x v="1"/>
    <x v="2"/>
    <n v="51.7"/>
    <n v="155.10000000000002"/>
    <x v="15"/>
    <d v="2025-01-17T00:00:00"/>
    <x v="2"/>
    <x v="0"/>
    <x v="2"/>
    <x v="0"/>
    <x v="11"/>
    <x v="3"/>
    <x v="2"/>
    <x v="2"/>
  </r>
  <r>
    <x v="370"/>
    <x v="8"/>
    <x v="2"/>
    <n v="41.8"/>
    <n v="125.39999999999999"/>
    <x v="15"/>
    <d v="2025-01-18T00:00:00"/>
    <x v="2"/>
    <x v="2"/>
    <x v="0"/>
    <x v="0"/>
    <x v="18"/>
    <x v="1"/>
    <x v="2"/>
    <x v="2"/>
  </r>
  <r>
    <x v="371"/>
    <x v="4"/>
    <x v="12"/>
    <n v="36.200000000000003"/>
    <n v="144.80000000000001"/>
    <x v="16"/>
    <d v="2025-01-18T00:00:00"/>
    <x v="1"/>
    <x v="2"/>
    <x v="2"/>
    <x v="0"/>
    <x v="21"/>
    <x v="3"/>
    <x v="2"/>
    <x v="1"/>
  </r>
  <r>
    <x v="372"/>
    <x v="2"/>
    <x v="0"/>
    <n v="150.9"/>
    <n v="150.9"/>
    <x v="16"/>
    <d v="2025-01-27T00:00:00"/>
    <x v="1"/>
    <x v="0"/>
    <x v="0"/>
    <x v="0"/>
    <x v="1"/>
    <x v="14"/>
    <x v="2"/>
    <x v="1"/>
  </r>
  <r>
    <x v="373"/>
    <x v="18"/>
    <x v="12"/>
    <n v="77.599999999999994"/>
    <n v="310.39999999999998"/>
    <x v="16"/>
    <d v="2025-01-18T00:00:00"/>
    <x v="0"/>
    <x v="2"/>
    <x v="0"/>
    <x v="0"/>
    <x v="3"/>
    <x v="3"/>
    <x v="2"/>
    <x v="0"/>
  </r>
  <r>
    <x v="374"/>
    <x v="13"/>
    <x v="9"/>
    <n v="65.5"/>
    <n v="327.5"/>
    <x v="16"/>
    <d v="2025-01-17T00:00:00"/>
    <x v="1"/>
    <x v="1"/>
    <x v="0"/>
    <x v="0"/>
    <x v="3"/>
    <x v="7"/>
    <x v="2"/>
    <x v="1"/>
  </r>
  <r>
    <x v="375"/>
    <x v="6"/>
    <x v="2"/>
    <n v="90.1"/>
    <n v="270.29999999999995"/>
    <x v="16"/>
    <d v="2025-01-19T00:00:00"/>
    <x v="2"/>
    <x v="0"/>
    <x v="0"/>
    <x v="0"/>
    <x v="3"/>
    <x v="1"/>
    <x v="2"/>
    <x v="2"/>
  </r>
  <r>
    <x v="376"/>
    <x v="1"/>
    <x v="1"/>
    <n v="108.3"/>
    <n v="216.6"/>
    <x v="16"/>
    <d v="2025-01-20T00:00:00"/>
    <x v="3"/>
    <x v="4"/>
    <x v="0"/>
    <x v="0"/>
    <x v="3"/>
    <x v="2"/>
    <x v="2"/>
    <x v="3"/>
  </r>
  <r>
    <x v="377"/>
    <x v="5"/>
    <x v="2"/>
    <n v="59.9"/>
    <n v="179.7"/>
    <x v="16"/>
    <d v="2025-01-21T00:00:00"/>
    <x v="2"/>
    <x v="0"/>
    <x v="0"/>
    <x v="0"/>
    <x v="3"/>
    <x v="5"/>
    <x v="2"/>
    <x v="2"/>
  </r>
  <r>
    <x v="378"/>
    <x v="2"/>
    <x v="14"/>
    <n v="139"/>
    <n v="2363"/>
    <x v="16"/>
    <d v="2025-01-19T00:00:00"/>
    <x v="2"/>
    <x v="1"/>
    <x v="4"/>
    <x v="0"/>
    <x v="3"/>
    <x v="1"/>
    <x v="2"/>
    <x v="2"/>
  </r>
  <r>
    <x v="379"/>
    <x v="6"/>
    <x v="2"/>
    <n v="87.3"/>
    <n v="261.89999999999998"/>
    <x v="16"/>
    <d v="2025-01-18T00:00:00"/>
    <x v="2"/>
    <x v="0"/>
    <x v="0"/>
    <x v="0"/>
    <x v="3"/>
    <x v="3"/>
    <x v="2"/>
    <x v="2"/>
  </r>
  <r>
    <x v="380"/>
    <x v="11"/>
    <x v="12"/>
    <n v="42.3"/>
    <n v="169.2"/>
    <x v="16"/>
    <d v="2025-01-17T00:00:00"/>
    <x v="1"/>
    <x v="0"/>
    <x v="0"/>
    <x v="0"/>
    <x v="3"/>
    <x v="7"/>
    <x v="2"/>
    <x v="1"/>
  </r>
  <r>
    <x v="381"/>
    <x v="14"/>
    <x v="8"/>
    <n v="103.6"/>
    <n v="828.8"/>
    <x v="16"/>
    <d v="2025-01-18T00:00:00"/>
    <x v="3"/>
    <x v="0"/>
    <x v="1"/>
    <x v="0"/>
    <x v="3"/>
    <x v="3"/>
    <x v="2"/>
    <x v="3"/>
  </r>
  <r>
    <x v="382"/>
    <x v="6"/>
    <x v="1"/>
    <n v="90.9"/>
    <n v="181.8"/>
    <x v="16"/>
    <d v="2025-01-18T00:00:00"/>
    <x v="1"/>
    <x v="1"/>
    <x v="0"/>
    <x v="0"/>
    <x v="6"/>
    <x v="3"/>
    <x v="2"/>
    <x v="1"/>
  </r>
  <r>
    <x v="383"/>
    <x v="9"/>
    <x v="27"/>
    <n v="100.9"/>
    <n v="1614.4"/>
    <x v="16"/>
    <d v="2025-01-18T00:00:00"/>
    <x v="2"/>
    <x v="1"/>
    <x v="0"/>
    <x v="0"/>
    <x v="6"/>
    <x v="3"/>
    <x v="2"/>
    <x v="2"/>
  </r>
  <r>
    <x v="384"/>
    <x v="4"/>
    <x v="9"/>
    <n v="36"/>
    <n v="180"/>
    <x v="16"/>
    <d v="2025-01-19T00:00:00"/>
    <x v="2"/>
    <x v="1"/>
    <x v="0"/>
    <x v="0"/>
    <x v="7"/>
    <x v="1"/>
    <x v="2"/>
    <x v="2"/>
  </r>
  <r>
    <x v="385"/>
    <x v="6"/>
    <x v="13"/>
    <n v="83.3"/>
    <n v="499.79999999999995"/>
    <x v="16"/>
    <d v="2025-01-20T00:00:00"/>
    <x v="0"/>
    <x v="2"/>
    <x v="0"/>
    <x v="0"/>
    <x v="7"/>
    <x v="2"/>
    <x v="2"/>
    <x v="0"/>
  </r>
  <r>
    <x v="386"/>
    <x v="2"/>
    <x v="14"/>
    <n v="60.3"/>
    <n v="1025.0999999999999"/>
    <x v="16"/>
    <d v="2025-01-18T00:00:00"/>
    <x v="1"/>
    <x v="2"/>
    <x v="1"/>
    <x v="0"/>
    <x v="7"/>
    <x v="3"/>
    <x v="2"/>
    <x v="1"/>
  </r>
  <r>
    <x v="387"/>
    <x v="2"/>
    <x v="13"/>
    <n v="120.3"/>
    <n v="721.8"/>
    <x v="16"/>
    <d v="2025-01-18T00:00:00"/>
    <x v="1"/>
    <x v="2"/>
    <x v="0"/>
    <x v="0"/>
    <x v="8"/>
    <x v="3"/>
    <x v="2"/>
    <x v="1"/>
  </r>
  <r>
    <x v="388"/>
    <x v="4"/>
    <x v="7"/>
    <n v="34"/>
    <n v="340"/>
    <x v="16"/>
    <d v="2025-01-21T00:00:00"/>
    <x v="2"/>
    <x v="2"/>
    <x v="0"/>
    <x v="0"/>
    <x v="8"/>
    <x v="5"/>
    <x v="2"/>
    <x v="2"/>
  </r>
  <r>
    <x v="389"/>
    <x v="10"/>
    <x v="9"/>
    <n v="42.6"/>
    <n v="213"/>
    <x v="16"/>
    <d v="2025-01-20T00:00:00"/>
    <x v="1"/>
    <x v="1"/>
    <x v="0"/>
    <x v="0"/>
    <x v="8"/>
    <x v="2"/>
    <x v="2"/>
    <x v="1"/>
  </r>
  <r>
    <x v="390"/>
    <x v="5"/>
    <x v="28"/>
    <n v="47.4"/>
    <n v="948"/>
    <x v="16"/>
    <d v="2025-01-17T00:00:00"/>
    <x v="2"/>
    <x v="2"/>
    <x v="1"/>
    <x v="0"/>
    <x v="17"/>
    <x v="7"/>
    <x v="2"/>
    <x v="2"/>
  </r>
  <r>
    <x v="391"/>
    <x v="2"/>
    <x v="0"/>
    <n v="74"/>
    <n v="74"/>
    <x v="17"/>
    <d v="2025-01-19T00:00:00"/>
    <x v="1"/>
    <x v="1"/>
    <x v="0"/>
    <x v="0"/>
    <x v="11"/>
    <x v="3"/>
    <x v="2"/>
    <x v="1"/>
  </r>
  <r>
    <x v="392"/>
    <x v="2"/>
    <x v="9"/>
    <n v="60.4"/>
    <n v="302"/>
    <x v="17"/>
    <d v="2025-01-21T00:00:00"/>
    <x v="2"/>
    <x v="1"/>
    <x v="4"/>
    <x v="0"/>
    <x v="18"/>
    <x v="2"/>
    <x v="2"/>
    <x v="2"/>
  </r>
  <r>
    <x v="393"/>
    <x v="12"/>
    <x v="1"/>
    <n v="69.3"/>
    <n v="138.6"/>
    <x v="17"/>
    <d v="2025-01-21T00:00:00"/>
    <x v="1"/>
    <x v="1"/>
    <x v="1"/>
    <x v="0"/>
    <x v="13"/>
    <x v="2"/>
    <x v="2"/>
    <x v="1"/>
  </r>
  <r>
    <x v="394"/>
    <x v="5"/>
    <x v="9"/>
    <n v="81"/>
    <n v="405"/>
    <x v="17"/>
    <d v="2025-01-24T00:00:00"/>
    <x v="1"/>
    <x v="3"/>
    <x v="0"/>
    <x v="0"/>
    <x v="21"/>
    <x v="4"/>
    <x v="2"/>
    <x v="1"/>
  </r>
  <r>
    <x v="395"/>
    <x v="15"/>
    <x v="2"/>
    <n v="41.5"/>
    <n v="124.5"/>
    <x v="17"/>
    <d v="2025-01-20T00:00:00"/>
    <x v="3"/>
    <x v="1"/>
    <x v="0"/>
    <x v="0"/>
    <x v="21"/>
    <x v="1"/>
    <x v="2"/>
    <x v="3"/>
  </r>
  <r>
    <x v="396"/>
    <x v="18"/>
    <x v="1"/>
    <n v="69.7"/>
    <n v="139.4"/>
    <x v="17"/>
    <d v="2025-01-23T00:00:00"/>
    <x v="1"/>
    <x v="1"/>
    <x v="0"/>
    <x v="0"/>
    <x v="21"/>
    <x v="0"/>
    <x v="2"/>
    <x v="1"/>
  </r>
  <r>
    <x v="397"/>
    <x v="2"/>
    <x v="9"/>
    <n v="83.6"/>
    <n v="418"/>
    <x v="17"/>
    <d v="2025-01-18T00:00:00"/>
    <x v="2"/>
    <x v="4"/>
    <x v="0"/>
    <x v="0"/>
    <x v="1"/>
    <x v="7"/>
    <x v="2"/>
    <x v="2"/>
  </r>
  <r>
    <x v="398"/>
    <x v="8"/>
    <x v="3"/>
    <n v="21.5"/>
    <n v="150.5"/>
    <x v="17"/>
    <d v="2025-01-20T00:00:00"/>
    <x v="1"/>
    <x v="1"/>
    <x v="4"/>
    <x v="0"/>
    <x v="34"/>
    <x v="1"/>
    <x v="2"/>
    <x v="1"/>
  </r>
  <r>
    <x v="399"/>
    <x v="8"/>
    <x v="8"/>
    <n v="28.6"/>
    <n v="228.8"/>
    <x v="17"/>
    <d v="2025-01-19T00:00:00"/>
    <x v="1"/>
    <x v="0"/>
    <x v="0"/>
    <x v="0"/>
    <x v="3"/>
    <x v="3"/>
    <x v="2"/>
    <x v="1"/>
  </r>
  <r>
    <x v="400"/>
    <x v="8"/>
    <x v="13"/>
    <n v="18.8"/>
    <n v="112.80000000000001"/>
    <x v="17"/>
    <d v="2025-01-21T00:00:00"/>
    <x v="1"/>
    <x v="3"/>
    <x v="2"/>
    <x v="0"/>
    <x v="3"/>
    <x v="2"/>
    <x v="2"/>
    <x v="1"/>
  </r>
  <r>
    <x v="401"/>
    <x v="10"/>
    <x v="12"/>
    <n v="35.1"/>
    <n v="140.4"/>
    <x v="17"/>
    <d v="2025-01-18T00:00:00"/>
    <x v="2"/>
    <x v="1"/>
    <x v="1"/>
    <x v="0"/>
    <x v="3"/>
    <x v="7"/>
    <x v="2"/>
    <x v="2"/>
  </r>
  <r>
    <x v="402"/>
    <x v="0"/>
    <x v="1"/>
    <n v="12.7"/>
    <n v="25.4"/>
    <x v="17"/>
    <d v="2025-01-20T00:00:00"/>
    <x v="2"/>
    <x v="1"/>
    <x v="2"/>
    <x v="0"/>
    <x v="3"/>
    <x v="1"/>
    <x v="2"/>
    <x v="2"/>
  </r>
  <r>
    <x v="403"/>
    <x v="8"/>
    <x v="9"/>
    <n v="27.4"/>
    <n v="137"/>
    <x v="17"/>
    <d v="2025-01-20T00:00:00"/>
    <x v="3"/>
    <x v="0"/>
    <x v="0"/>
    <x v="0"/>
    <x v="3"/>
    <x v="1"/>
    <x v="2"/>
    <x v="3"/>
  </r>
  <r>
    <x v="404"/>
    <x v="10"/>
    <x v="1"/>
    <n v="61.3"/>
    <n v="122.6"/>
    <x v="17"/>
    <d v="2025-01-19T00:00:00"/>
    <x v="2"/>
    <x v="1"/>
    <x v="0"/>
    <x v="0"/>
    <x v="6"/>
    <x v="3"/>
    <x v="2"/>
    <x v="2"/>
  </r>
  <r>
    <x v="405"/>
    <x v="8"/>
    <x v="1"/>
    <n v="64.7"/>
    <n v="129.4"/>
    <x v="17"/>
    <d v="2025-01-20T00:00:00"/>
    <x v="2"/>
    <x v="3"/>
    <x v="2"/>
    <x v="0"/>
    <x v="6"/>
    <x v="1"/>
    <x v="2"/>
    <x v="2"/>
  </r>
  <r>
    <x v="406"/>
    <x v="7"/>
    <x v="12"/>
    <n v="91.4"/>
    <n v="365.6"/>
    <x v="17"/>
    <d v="2025-01-20T00:00:00"/>
    <x v="2"/>
    <x v="0"/>
    <x v="0"/>
    <x v="0"/>
    <x v="8"/>
    <x v="1"/>
    <x v="2"/>
    <x v="2"/>
  </r>
  <r>
    <x v="407"/>
    <x v="0"/>
    <x v="1"/>
    <n v="33.1"/>
    <n v="66.2"/>
    <x v="18"/>
    <d v="2025-01-20T00:00:00"/>
    <x v="1"/>
    <x v="0"/>
    <x v="2"/>
    <x v="0"/>
    <x v="8"/>
    <x v="3"/>
    <x v="3"/>
    <x v="1"/>
  </r>
  <r>
    <x v="408"/>
    <x v="3"/>
    <x v="1"/>
    <n v="105.6"/>
    <n v="211.2"/>
    <x v="18"/>
    <d v="2025-01-20T00:00:00"/>
    <x v="1"/>
    <x v="2"/>
    <x v="1"/>
    <x v="0"/>
    <x v="8"/>
    <x v="3"/>
    <x v="3"/>
    <x v="1"/>
  </r>
  <r>
    <x v="409"/>
    <x v="10"/>
    <x v="2"/>
    <n v="46.4"/>
    <n v="139.19999999999999"/>
    <x v="18"/>
    <d v="2025-01-20T00:00:00"/>
    <x v="1"/>
    <x v="2"/>
    <x v="0"/>
    <x v="0"/>
    <x v="9"/>
    <x v="3"/>
    <x v="3"/>
    <x v="1"/>
  </r>
  <r>
    <x v="410"/>
    <x v="9"/>
    <x v="21"/>
    <n v="35.299999999999997"/>
    <n v="494.19999999999993"/>
    <x v="18"/>
    <d v="2025-01-22T00:00:00"/>
    <x v="2"/>
    <x v="4"/>
    <x v="1"/>
    <x v="0"/>
    <x v="11"/>
    <x v="2"/>
    <x v="3"/>
    <x v="2"/>
  </r>
  <r>
    <x v="411"/>
    <x v="0"/>
    <x v="1"/>
    <n v="16.100000000000001"/>
    <n v="32.200000000000003"/>
    <x v="18"/>
    <d v="2025-01-21T00:00:00"/>
    <x v="1"/>
    <x v="3"/>
    <x v="2"/>
    <x v="0"/>
    <x v="32"/>
    <x v="1"/>
    <x v="3"/>
    <x v="1"/>
  </r>
  <r>
    <x v="412"/>
    <x v="4"/>
    <x v="1"/>
    <n v="27.9"/>
    <n v="55.8"/>
    <x v="18"/>
    <d v="2025-01-22T00:00:00"/>
    <x v="1"/>
    <x v="0"/>
    <x v="0"/>
    <x v="0"/>
    <x v="13"/>
    <x v="2"/>
    <x v="3"/>
    <x v="1"/>
  </r>
  <r>
    <x v="413"/>
    <x v="8"/>
    <x v="0"/>
    <n v="47.1"/>
    <n v="47.1"/>
    <x v="18"/>
    <d v="2025-01-27T00:00:00"/>
    <x v="2"/>
    <x v="1"/>
    <x v="0"/>
    <x v="0"/>
    <x v="2"/>
    <x v="9"/>
    <x v="3"/>
    <x v="2"/>
  </r>
  <r>
    <x v="414"/>
    <x v="6"/>
    <x v="1"/>
    <n v="85"/>
    <n v="170"/>
    <x v="18"/>
    <d v="2025-01-22T00:00:00"/>
    <x v="0"/>
    <x v="2"/>
    <x v="2"/>
    <x v="0"/>
    <x v="22"/>
    <x v="2"/>
    <x v="3"/>
    <x v="0"/>
  </r>
  <r>
    <x v="415"/>
    <x v="18"/>
    <x v="1"/>
    <n v="89"/>
    <n v="178"/>
    <x v="18"/>
    <d v="2025-01-21T00:00:00"/>
    <x v="2"/>
    <x v="0"/>
    <x v="0"/>
    <x v="0"/>
    <x v="3"/>
    <x v="1"/>
    <x v="3"/>
    <x v="2"/>
  </r>
  <r>
    <x v="416"/>
    <x v="16"/>
    <x v="2"/>
    <n v="36.6"/>
    <n v="109.80000000000001"/>
    <x v="18"/>
    <d v="2025-01-20T00:00:00"/>
    <x v="3"/>
    <x v="3"/>
    <x v="2"/>
    <x v="0"/>
    <x v="3"/>
    <x v="3"/>
    <x v="3"/>
    <x v="3"/>
  </r>
  <r>
    <x v="417"/>
    <x v="6"/>
    <x v="3"/>
    <n v="43.5"/>
    <n v="304.5"/>
    <x v="18"/>
    <d v="2025-01-20T00:00:00"/>
    <x v="1"/>
    <x v="1"/>
    <x v="2"/>
    <x v="0"/>
    <x v="3"/>
    <x v="3"/>
    <x v="3"/>
    <x v="1"/>
  </r>
  <r>
    <x v="418"/>
    <x v="9"/>
    <x v="10"/>
    <n v="30.5"/>
    <n v="579.5"/>
    <x v="18"/>
    <d v="2025-01-19T00:00:00"/>
    <x v="2"/>
    <x v="3"/>
    <x v="0"/>
    <x v="0"/>
    <x v="3"/>
    <x v="7"/>
    <x v="3"/>
    <x v="2"/>
  </r>
  <r>
    <x v="419"/>
    <x v="1"/>
    <x v="1"/>
    <n v="107.7"/>
    <n v="215.4"/>
    <x v="18"/>
    <d v="2025-01-23T00:00:00"/>
    <x v="1"/>
    <x v="3"/>
    <x v="4"/>
    <x v="0"/>
    <x v="3"/>
    <x v="5"/>
    <x v="3"/>
    <x v="1"/>
  </r>
  <r>
    <x v="420"/>
    <x v="17"/>
    <x v="18"/>
    <n v="57.1"/>
    <n v="1484.6000000000001"/>
    <x v="18"/>
    <d v="2025-01-20T00:00:00"/>
    <x v="1"/>
    <x v="1"/>
    <x v="0"/>
    <x v="0"/>
    <x v="3"/>
    <x v="3"/>
    <x v="3"/>
    <x v="1"/>
  </r>
  <r>
    <x v="421"/>
    <x v="2"/>
    <x v="7"/>
    <n v="111.7"/>
    <n v="1117"/>
    <x v="18"/>
    <d v="2025-01-20T00:00:00"/>
    <x v="2"/>
    <x v="4"/>
    <x v="2"/>
    <x v="0"/>
    <x v="3"/>
    <x v="3"/>
    <x v="3"/>
    <x v="2"/>
  </r>
  <r>
    <x v="422"/>
    <x v="18"/>
    <x v="3"/>
    <n v="44.3"/>
    <n v="310.09999999999997"/>
    <x v="18"/>
    <d v="2025-01-22T00:00:00"/>
    <x v="1"/>
    <x v="3"/>
    <x v="2"/>
    <x v="0"/>
    <x v="3"/>
    <x v="2"/>
    <x v="3"/>
    <x v="1"/>
  </r>
  <r>
    <x v="423"/>
    <x v="2"/>
    <x v="8"/>
    <n v="95.8"/>
    <n v="766.4"/>
    <x v="18"/>
    <d v="2025-01-25T00:00:00"/>
    <x v="3"/>
    <x v="0"/>
    <x v="0"/>
    <x v="0"/>
    <x v="3"/>
    <x v="4"/>
    <x v="3"/>
    <x v="3"/>
  </r>
  <r>
    <x v="424"/>
    <x v="10"/>
    <x v="3"/>
    <n v="22.6"/>
    <n v="158.20000000000002"/>
    <x v="18"/>
    <d v="2025-01-22T00:00:00"/>
    <x v="2"/>
    <x v="3"/>
    <x v="1"/>
    <x v="0"/>
    <x v="3"/>
    <x v="2"/>
    <x v="3"/>
    <x v="2"/>
  </r>
  <r>
    <x v="425"/>
    <x v="8"/>
    <x v="8"/>
    <n v="25.6"/>
    <n v="204.8"/>
    <x v="18"/>
    <d v="2025-01-21T00:00:00"/>
    <x v="2"/>
    <x v="4"/>
    <x v="0"/>
    <x v="0"/>
    <x v="3"/>
    <x v="1"/>
    <x v="3"/>
    <x v="2"/>
  </r>
  <r>
    <x v="426"/>
    <x v="6"/>
    <x v="27"/>
    <n v="54.3"/>
    <n v="868.8"/>
    <x v="18"/>
    <d v="2025-01-22T00:00:00"/>
    <x v="2"/>
    <x v="4"/>
    <x v="0"/>
    <x v="0"/>
    <x v="3"/>
    <x v="2"/>
    <x v="3"/>
    <x v="2"/>
  </r>
  <r>
    <x v="427"/>
    <x v="18"/>
    <x v="15"/>
    <n v="51.3"/>
    <n v="666.9"/>
    <x v="18"/>
    <d v="2025-01-21T00:00:00"/>
    <x v="1"/>
    <x v="0"/>
    <x v="2"/>
    <x v="0"/>
    <x v="3"/>
    <x v="1"/>
    <x v="3"/>
    <x v="1"/>
  </r>
  <r>
    <x v="428"/>
    <x v="0"/>
    <x v="8"/>
    <n v="25.6"/>
    <n v="204.8"/>
    <x v="18"/>
    <d v="2025-01-20T00:00:00"/>
    <x v="2"/>
    <x v="1"/>
    <x v="1"/>
    <x v="0"/>
    <x v="3"/>
    <x v="3"/>
    <x v="3"/>
    <x v="2"/>
  </r>
  <r>
    <x v="429"/>
    <x v="0"/>
    <x v="1"/>
    <n v="15.6"/>
    <n v="31.2"/>
    <x v="18"/>
    <d v="2025-01-20T00:00:00"/>
    <x v="2"/>
    <x v="2"/>
    <x v="2"/>
    <x v="0"/>
    <x v="3"/>
    <x v="3"/>
    <x v="3"/>
    <x v="2"/>
  </r>
  <r>
    <x v="430"/>
    <x v="8"/>
    <x v="2"/>
    <n v="30.3"/>
    <n v="90.9"/>
    <x v="18"/>
    <d v="2025-01-23T00:00:00"/>
    <x v="2"/>
    <x v="0"/>
    <x v="1"/>
    <x v="0"/>
    <x v="3"/>
    <x v="5"/>
    <x v="3"/>
    <x v="2"/>
  </r>
  <r>
    <x v="431"/>
    <x v="12"/>
    <x v="1"/>
    <n v="30.3"/>
    <n v="60.6"/>
    <x v="18"/>
    <d v="2025-01-24T00:00:00"/>
    <x v="2"/>
    <x v="0"/>
    <x v="2"/>
    <x v="0"/>
    <x v="37"/>
    <x v="0"/>
    <x v="3"/>
    <x v="2"/>
  </r>
  <r>
    <x v="432"/>
    <x v="10"/>
    <x v="2"/>
    <n v="53"/>
    <n v="159"/>
    <x v="18"/>
    <d v="2025-01-26T00:00:00"/>
    <x v="2"/>
    <x v="2"/>
    <x v="0"/>
    <x v="0"/>
    <x v="24"/>
    <x v="6"/>
    <x v="3"/>
    <x v="2"/>
  </r>
  <r>
    <x v="433"/>
    <x v="5"/>
    <x v="16"/>
    <n v="59.9"/>
    <n v="1078.2"/>
    <x v="18"/>
    <d v="2025-01-22T00:00:00"/>
    <x v="1"/>
    <x v="2"/>
    <x v="4"/>
    <x v="0"/>
    <x v="25"/>
    <x v="2"/>
    <x v="3"/>
    <x v="1"/>
  </r>
  <r>
    <x v="434"/>
    <x v="9"/>
    <x v="1"/>
    <n v="45.7"/>
    <n v="91.4"/>
    <x v="18"/>
    <d v="2025-01-20T00:00:00"/>
    <x v="2"/>
    <x v="1"/>
    <x v="2"/>
    <x v="0"/>
    <x v="6"/>
    <x v="3"/>
    <x v="3"/>
    <x v="2"/>
  </r>
  <r>
    <x v="435"/>
    <x v="8"/>
    <x v="12"/>
    <n v="46.1"/>
    <n v="184.4"/>
    <x v="18"/>
    <d v="2025-01-20T00:00:00"/>
    <x v="1"/>
    <x v="0"/>
    <x v="0"/>
    <x v="0"/>
    <x v="6"/>
    <x v="3"/>
    <x v="3"/>
    <x v="1"/>
  </r>
  <r>
    <x v="436"/>
    <x v="8"/>
    <x v="2"/>
    <n v="17.5"/>
    <n v="52.5"/>
    <x v="18"/>
    <d v="2025-01-20T00:00:00"/>
    <x v="2"/>
    <x v="0"/>
    <x v="2"/>
    <x v="0"/>
    <x v="8"/>
    <x v="3"/>
    <x v="3"/>
    <x v="2"/>
  </r>
  <r>
    <x v="437"/>
    <x v="10"/>
    <x v="2"/>
    <n v="36.5"/>
    <n v="109.5"/>
    <x v="18"/>
    <d v="2025-01-30T00:00:00"/>
    <x v="1"/>
    <x v="2"/>
    <x v="0"/>
    <x v="0"/>
    <x v="8"/>
    <x v="11"/>
    <x v="3"/>
    <x v="1"/>
  </r>
  <r>
    <x v="438"/>
    <x v="8"/>
    <x v="1"/>
    <n v="47.5"/>
    <n v="95"/>
    <x v="19"/>
    <d v="2025-01-22T00:00:00"/>
    <x v="2"/>
    <x v="1"/>
    <x v="0"/>
    <x v="0"/>
    <x v="8"/>
    <x v="1"/>
    <x v="3"/>
    <x v="2"/>
  </r>
  <r>
    <x v="439"/>
    <x v="6"/>
    <x v="9"/>
    <n v="45.6"/>
    <n v="228"/>
    <x v="19"/>
    <d v="2025-01-22T00:00:00"/>
    <x v="2"/>
    <x v="0"/>
    <x v="2"/>
    <x v="0"/>
    <x v="8"/>
    <x v="1"/>
    <x v="3"/>
    <x v="2"/>
  </r>
  <r>
    <x v="440"/>
    <x v="9"/>
    <x v="1"/>
    <n v="50.5"/>
    <n v="101"/>
    <x v="19"/>
    <d v="2025-01-22T00:00:00"/>
    <x v="1"/>
    <x v="0"/>
    <x v="1"/>
    <x v="0"/>
    <x v="17"/>
    <x v="1"/>
    <x v="3"/>
    <x v="1"/>
  </r>
  <r>
    <x v="441"/>
    <x v="2"/>
    <x v="7"/>
    <n v="99.8"/>
    <n v="998"/>
    <x v="19"/>
    <d v="2025-01-23T00:00:00"/>
    <x v="2"/>
    <x v="2"/>
    <x v="1"/>
    <x v="0"/>
    <x v="17"/>
    <x v="2"/>
    <x v="3"/>
    <x v="2"/>
  </r>
  <r>
    <x v="442"/>
    <x v="8"/>
    <x v="20"/>
    <n v="19.2"/>
    <n v="288"/>
    <x v="19"/>
    <d v="2025-01-22T00:00:00"/>
    <x v="3"/>
    <x v="4"/>
    <x v="1"/>
    <x v="0"/>
    <x v="26"/>
    <x v="1"/>
    <x v="3"/>
    <x v="3"/>
  </r>
  <r>
    <x v="443"/>
    <x v="17"/>
    <x v="2"/>
    <n v="22.6"/>
    <n v="67.800000000000011"/>
    <x v="19"/>
    <d v="2025-01-21T00:00:00"/>
    <x v="1"/>
    <x v="1"/>
    <x v="0"/>
    <x v="0"/>
    <x v="11"/>
    <x v="3"/>
    <x v="3"/>
    <x v="1"/>
  </r>
  <r>
    <x v="444"/>
    <x v="1"/>
    <x v="20"/>
    <n v="126.9"/>
    <n v="1903.5"/>
    <x v="19"/>
    <d v="2025-01-22T00:00:00"/>
    <x v="2"/>
    <x v="0"/>
    <x v="2"/>
    <x v="0"/>
    <x v="11"/>
    <x v="1"/>
    <x v="3"/>
    <x v="2"/>
  </r>
  <r>
    <x v="445"/>
    <x v="2"/>
    <x v="1"/>
    <n v="100.3"/>
    <n v="200.6"/>
    <x v="19"/>
    <d v="2025-01-21T00:00:00"/>
    <x v="2"/>
    <x v="0"/>
    <x v="1"/>
    <x v="0"/>
    <x v="11"/>
    <x v="3"/>
    <x v="3"/>
    <x v="2"/>
  </r>
  <r>
    <x v="446"/>
    <x v="4"/>
    <x v="16"/>
    <n v="24.6"/>
    <n v="442.8"/>
    <x v="19"/>
    <d v="2025-01-21T00:00:00"/>
    <x v="2"/>
    <x v="4"/>
    <x v="0"/>
    <x v="0"/>
    <x v="13"/>
    <x v="3"/>
    <x v="3"/>
    <x v="2"/>
  </r>
  <r>
    <x v="447"/>
    <x v="6"/>
    <x v="1"/>
    <n v="47.3"/>
    <n v="94.6"/>
    <x v="19"/>
    <d v="2025-01-21T00:00:00"/>
    <x v="1"/>
    <x v="1"/>
    <x v="2"/>
    <x v="0"/>
    <x v="13"/>
    <x v="3"/>
    <x v="3"/>
    <x v="1"/>
  </r>
  <r>
    <x v="448"/>
    <x v="6"/>
    <x v="3"/>
    <n v="40.799999999999997"/>
    <n v="285.59999999999997"/>
    <x v="19"/>
    <d v="2025-01-23T00:00:00"/>
    <x v="2"/>
    <x v="2"/>
    <x v="2"/>
    <x v="0"/>
    <x v="21"/>
    <x v="2"/>
    <x v="3"/>
    <x v="2"/>
  </r>
  <r>
    <x v="449"/>
    <x v="8"/>
    <x v="8"/>
    <n v="49.2"/>
    <n v="393.6"/>
    <x v="19"/>
    <d v="2025-01-22T00:00:00"/>
    <x v="2"/>
    <x v="0"/>
    <x v="0"/>
    <x v="0"/>
    <x v="1"/>
    <x v="1"/>
    <x v="3"/>
    <x v="2"/>
  </r>
  <r>
    <x v="450"/>
    <x v="8"/>
    <x v="0"/>
    <n v="28.5"/>
    <n v="28.5"/>
    <x v="19"/>
    <d v="2025-01-22T00:00:00"/>
    <x v="0"/>
    <x v="2"/>
    <x v="1"/>
    <x v="0"/>
    <x v="3"/>
    <x v="1"/>
    <x v="3"/>
    <x v="0"/>
  </r>
  <r>
    <x v="451"/>
    <x v="18"/>
    <x v="1"/>
    <n v="36.799999999999997"/>
    <n v="73.599999999999994"/>
    <x v="19"/>
    <d v="2025-01-26T00:00:00"/>
    <x v="2"/>
    <x v="0"/>
    <x v="2"/>
    <x v="0"/>
    <x v="3"/>
    <x v="4"/>
    <x v="3"/>
    <x v="2"/>
  </r>
  <r>
    <x v="452"/>
    <x v="7"/>
    <x v="2"/>
    <n v="33.5"/>
    <n v="100.5"/>
    <x v="19"/>
    <d v="2025-01-21T00:00:00"/>
    <x v="2"/>
    <x v="0"/>
    <x v="1"/>
    <x v="0"/>
    <x v="3"/>
    <x v="3"/>
    <x v="3"/>
    <x v="2"/>
  </r>
  <r>
    <x v="453"/>
    <x v="6"/>
    <x v="13"/>
    <n v="62.5"/>
    <n v="375"/>
    <x v="19"/>
    <d v="2025-01-22T00:00:00"/>
    <x v="2"/>
    <x v="0"/>
    <x v="0"/>
    <x v="0"/>
    <x v="3"/>
    <x v="1"/>
    <x v="3"/>
    <x v="2"/>
  </r>
  <r>
    <x v="454"/>
    <x v="8"/>
    <x v="29"/>
    <n v="47.9"/>
    <n v="1916"/>
    <x v="19"/>
    <d v="2025-01-21T00:00:00"/>
    <x v="2"/>
    <x v="3"/>
    <x v="0"/>
    <x v="0"/>
    <x v="3"/>
    <x v="3"/>
    <x v="3"/>
    <x v="2"/>
  </r>
  <r>
    <x v="455"/>
    <x v="6"/>
    <x v="13"/>
    <n v="92.9"/>
    <n v="557.40000000000009"/>
    <x v="19"/>
    <d v="2025-01-31T00:00:00"/>
    <x v="2"/>
    <x v="0"/>
    <x v="4"/>
    <x v="0"/>
    <x v="3"/>
    <x v="11"/>
    <x v="3"/>
    <x v="2"/>
  </r>
  <r>
    <x v="456"/>
    <x v="12"/>
    <x v="2"/>
    <n v="44.1"/>
    <n v="132.30000000000001"/>
    <x v="19"/>
    <d v="2025-01-20T00:00:00"/>
    <x v="2"/>
    <x v="1"/>
    <x v="1"/>
    <x v="0"/>
    <x v="43"/>
    <x v="7"/>
    <x v="3"/>
    <x v="2"/>
  </r>
  <r>
    <x v="457"/>
    <x v="0"/>
    <x v="0"/>
    <n v="11.4"/>
    <n v="11.4"/>
    <x v="20"/>
    <d v="2025-01-23T00:00:00"/>
    <x v="2"/>
    <x v="2"/>
    <x v="0"/>
    <x v="0"/>
    <x v="5"/>
    <x v="1"/>
    <x v="3"/>
    <x v="2"/>
  </r>
  <r>
    <x v="458"/>
    <x v="6"/>
    <x v="0"/>
    <n v="83.7"/>
    <n v="83.7"/>
    <x v="20"/>
    <d v="2025-01-23T00:00:00"/>
    <x v="2"/>
    <x v="0"/>
    <x v="2"/>
    <x v="0"/>
    <x v="6"/>
    <x v="1"/>
    <x v="3"/>
    <x v="2"/>
  </r>
  <r>
    <x v="459"/>
    <x v="10"/>
    <x v="1"/>
    <n v="23.2"/>
    <n v="46.4"/>
    <x v="20"/>
    <d v="2025-01-22T00:00:00"/>
    <x v="1"/>
    <x v="2"/>
    <x v="0"/>
    <x v="0"/>
    <x v="8"/>
    <x v="3"/>
    <x v="3"/>
    <x v="1"/>
  </r>
  <r>
    <x v="460"/>
    <x v="2"/>
    <x v="0"/>
    <n v="162.1"/>
    <n v="162.1"/>
    <x v="20"/>
    <d v="2025-01-24T00:00:00"/>
    <x v="2"/>
    <x v="0"/>
    <x v="2"/>
    <x v="0"/>
    <x v="9"/>
    <x v="2"/>
    <x v="3"/>
    <x v="2"/>
  </r>
  <r>
    <x v="461"/>
    <x v="6"/>
    <x v="12"/>
    <n v="49.2"/>
    <n v="196.8"/>
    <x v="20"/>
    <d v="2025-01-25T00:00:00"/>
    <x v="1"/>
    <x v="1"/>
    <x v="0"/>
    <x v="0"/>
    <x v="9"/>
    <x v="5"/>
    <x v="3"/>
    <x v="1"/>
  </r>
  <r>
    <x v="462"/>
    <x v="1"/>
    <x v="1"/>
    <n v="61"/>
    <n v="122"/>
    <x v="20"/>
    <d v="2025-01-22T00:00:00"/>
    <x v="1"/>
    <x v="3"/>
    <x v="0"/>
    <x v="0"/>
    <x v="10"/>
    <x v="3"/>
    <x v="3"/>
    <x v="1"/>
  </r>
  <r>
    <x v="463"/>
    <x v="2"/>
    <x v="7"/>
    <n v="53.1"/>
    <n v="531"/>
    <x v="20"/>
    <d v="2025-01-23T00:00:00"/>
    <x v="1"/>
    <x v="0"/>
    <x v="0"/>
    <x v="0"/>
    <x v="11"/>
    <x v="1"/>
    <x v="3"/>
    <x v="1"/>
  </r>
  <r>
    <x v="464"/>
    <x v="4"/>
    <x v="1"/>
    <n v="22.4"/>
    <n v="44.8"/>
    <x v="20"/>
    <d v="2025-01-23T00:00:00"/>
    <x v="0"/>
    <x v="1"/>
    <x v="2"/>
    <x v="0"/>
    <x v="13"/>
    <x v="1"/>
    <x v="3"/>
    <x v="0"/>
  </r>
  <r>
    <x v="465"/>
    <x v="1"/>
    <x v="9"/>
    <n v="75.3"/>
    <n v="376.5"/>
    <x v="20"/>
    <d v="2025-01-22T00:00:00"/>
    <x v="1"/>
    <x v="0"/>
    <x v="0"/>
    <x v="0"/>
    <x v="21"/>
    <x v="3"/>
    <x v="3"/>
    <x v="1"/>
  </r>
  <r>
    <x v="466"/>
    <x v="6"/>
    <x v="0"/>
    <n v="48.5"/>
    <n v="48.5"/>
    <x v="20"/>
    <d v="2025-01-22T00:00:00"/>
    <x v="2"/>
    <x v="0"/>
    <x v="1"/>
    <x v="0"/>
    <x v="21"/>
    <x v="3"/>
    <x v="3"/>
    <x v="2"/>
  </r>
  <r>
    <x v="467"/>
    <x v="6"/>
    <x v="0"/>
    <n v="42.6"/>
    <n v="42.6"/>
    <x v="20"/>
    <d v="2025-01-25T00:00:00"/>
    <x v="2"/>
    <x v="3"/>
    <x v="0"/>
    <x v="0"/>
    <x v="1"/>
    <x v="5"/>
    <x v="3"/>
    <x v="2"/>
  </r>
  <r>
    <x v="468"/>
    <x v="5"/>
    <x v="9"/>
    <n v="49"/>
    <n v="245"/>
    <x v="20"/>
    <d v="2025-01-22T00:00:00"/>
    <x v="1"/>
    <x v="0"/>
    <x v="0"/>
    <x v="0"/>
    <x v="22"/>
    <x v="3"/>
    <x v="3"/>
    <x v="1"/>
  </r>
  <r>
    <x v="469"/>
    <x v="8"/>
    <x v="2"/>
    <n v="31.3"/>
    <n v="93.9"/>
    <x v="20"/>
    <d v="2025-01-22T00:00:00"/>
    <x v="1"/>
    <x v="2"/>
    <x v="1"/>
    <x v="0"/>
    <x v="3"/>
    <x v="3"/>
    <x v="3"/>
    <x v="1"/>
  </r>
  <r>
    <x v="470"/>
    <x v="2"/>
    <x v="1"/>
    <n v="85.4"/>
    <n v="170.8"/>
    <x v="20"/>
    <d v="2025-01-22T00:00:00"/>
    <x v="2"/>
    <x v="2"/>
    <x v="0"/>
    <x v="0"/>
    <x v="3"/>
    <x v="3"/>
    <x v="3"/>
    <x v="2"/>
  </r>
  <r>
    <x v="471"/>
    <x v="8"/>
    <x v="12"/>
    <n v="40"/>
    <n v="160"/>
    <x v="20"/>
    <d v="2025-01-22T00:00:00"/>
    <x v="3"/>
    <x v="0"/>
    <x v="2"/>
    <x v="0"/>
    <x v="3"/>
    <x v="3"/>
    <x v="3"/>
    <x v="3"/>
  </r>
  <r>
    <x v="472"/>
    <x v="5"/>
    <x v="1"/>
    <n v="38.5"/>
    <n v="77"/>
    <x v="20"/>
    <d v="2025-01-24T00:00:00"/>
    <x v="1"/>
    <x v="1"/>
    <x v="2"/>
    <x v="0"/>
    <x v="3"/>
    <x v="2"/>
    <x v="3"/>
    <x v="1"/>
  </r>
  <r>
    <x v="473"/>
    <x v="2"/>
    <x v="1"/>
    <n v="57.8"/>
    <n v="115.6"/>
    <x v="20"/>
    <d v="2025-01-22T00:00:00"/>
    <x v="0"/>
    <x v="0"/>
    <x v="0"/>
    <x v="0"/>
    <x v="3"/>
    <x v="3"/>
    <x v="3"/>
    <x v="0"/>
  </r>
  <r>
    <x v="474"/>
    <x v="8"/>
    <x v="0"/>
    <n v="19.2"/>
    <n v="19.2"/>
    <x v="20"/>
    <d v="2025-01-22T00:00:00"/>
    <x v="2"/>
    <x v="0"/>
    <x v="4"/>
    <x v="0"/>
    <x v="3"/>
    <x v="3"/>
    <x v="3"/>
    <x v="2"/>
  </r>
  <r>
    <x v="475"/>
    <x v="6"/>
    <x v="13"/>
    <n v="114.8"/>
    <n v="688.8"/>
    <x v="20"/>
    <d v="2025-01-24T00:00:00"/>
    <x v="1"/>
    <x v="1"/>
    <x v="1"/>
    <x v="0"/>
    <x v="3"/>
    <x v="2"/>
    <x v="3"/>
    <x v="1"/>
  </r>
  <r>
    <x v="476"/>
    <x v="10"/>
    <x v="3"/>
    <n v="48.4"/>
    <n v="338.8"/>
    <x v="20"/>
    <d v="2025-01-24T00:00:00"/>
    <x v="2"/>
    <x v="3"/>
    <x v="1"/>
    <x v="0"/>
    <x v="3"/>
    <x v="2"/>
    <x v="3"/>
    <x v="2"/>
  </r>
  <r>
    <x v="477"/>
    <x v="9"/>
    <x v="9"/>
    <n v="73.2"/>
    <n v="366"/>
    <x v="20"/>
    <d v="2025-01-22T00:00:00"/>
    <x v="2"/>
    <x v="1"/>
    <x v="4"/>
    <x v="0"/>
    <x v="3"/>
    <x v="3"/>
    <x v="3"/>
    <x v="2"/>
  </r>
  <r>
    <x v="478"/>
    <x v="15"/>
    <x v="1"/>
    <n v="48.6"/>
    <n v="97.2"/>
    <x v="20"/>
    <d v="2025-01-25T00:00:00"/>
    <x v="2"/>
    <x v="3"/>
    <x v="0"/>
    <x v="0"/>
    <x v="3"/>
    <x v="5"/>
    <x v="3"/>
    <x v="2"/>
  </r>
  <r>
    <x v="479"/>
    <x v="0"/>
    <x v="13"/>
    <n v="48.7"/>
    <n v="292.20000000000005"/>
    <x v="20"/>
    <d v="2025-01-22T00:00:00"/>
    <x v="1"/>
    <x v="0"/>
    <x v="0"/>
    <x v="0"/>
    <x v="3"/>
    <x v="3"/>
    <x v="3"/>
    <x v="1"/>
  </r>
  <r>
    <x v="480"/>
    <x v="4"/>
    <x v="1"/>
    <n v="32.200000000000003"/>
    <n v="64.400000000000006"/>
    <x v="20"/>
    <d v="2025-01-24T00:00:00"/>
    <x v="1"/>
    <x v="2"/>
    <x v="2"/>
    <x v="0"/>
    <x v="3"/>
    <x v="2"/>
    <x v="3"/>
    <x v="1"/>
  </r>
  <r>
    <x v="481"/>
    <x v="15"/>
    <x v="8"/>
    <n v="25.8"/>
    <n v="206.4"/>
    <x v="20"/>
    <d v="2025-01-22T00:00:00"/>
    <x v="1"/>
    <x v="0"/>
    <x v="0"/>
    <x v="0"/>
    <x v="37"/>
    <x v="3"/>
    <x v="3"/>
    <x v="1"/>
  </r>
  <r>
    <x v="482"/>
    <x v="6"/>
    <x v="1"/>
    <n v="94.8"/>
    <n v="189.6"/>
    <x v="21"/>
    <d v="2025-01-25T00:00:00"/>
    <x v="2"/>
    <x v="1"/>
    <x v="1"/>
    <x v="0"/>
    <x v="25"/>
    <x v="2"/>
    <x v="3"/>
    <x v="2"/>
  </r>
  <r>
    <x v="483"/>
    <x v="15"/>
    <x v="30"/>
    <n v="56.8"/>
    <n v="1420"/>
    <x v="21"/>
    <d v="2025-01-25T00:00:00"/>
    <x v="1"/>
    <x v="0"/>
    <x v="0"/>
    <x v="0"/>
    <x v="25"/>
    <x v="2"/>
    <x v="3"/>
    <x v="1"/>
  </r>
  <r>
    <x v="484"/>
    <x v="8"/>
    <x v="27"/>
    <n v="18.3"/>
    <n v="292.8"/>
    <x v="21"/>
    <d v="2025-01-29T00:00:00"/>
    <x v="2"/>
    <x v="2"/>
    <x v="2"/>
    <x v="0"/>
    <x v="23"/>
    <x v="6"/>
    <x v="3"/>
    <x v="2"/>
  </r>
  <r>
    <x v="485"/>
    <x v="0"/>
    <x v="2"/>
    <n v="16.8"/>
    <n v="50.400000000000006"/>
    <x v="21"/>
    <d v="2025-01-27T00:00:00"/>
    <x v="2"/>
    <x v="2"/>
    <x v="2"/>
    <x v="0"/>
    <x v="8"/>
    <x v="0"/>
    <x v="3"/>
    <x v="2"/>
  </r>
  <r>
    <x v="486"/>
    <x v="5"/>
    <x v="5"/>
    <n v="35.799999999999997"/>
    <n v="393.79999999999995"/>
    <x v="21"/>
    <d v="2025-01-23T00:00:00"/>
    <x v="1"/>
    <x v="1"/>
    <x v="0"/>
    <x v="0"/>
    <x v="17"/>
    <x v="3"/>
    <x v="3"/>
    <x v="1"/>
  </r>
  <r>
    <x v="487"/>
    <x v="18"/>
    <x v="0"/>
    <n v="64.900000000000006"/>
    <n v="64.900000000000006"/>
    <x v="21"/>
    <d v="2025-01-23T00:00:00"/>
    <x v="1"/>
    <x v="0"/>
    <x v="1"/>
    <x v="0"/>
    <x v="17"/>
    <x v="3"/>
    <x v="3"/>
    <x v="1"/>
  </r>
  <r>
    <x v="488"/>
    <x v="18"/>
    <x v="0"/>
    <n v="28.5"/>
    <n v="28.5"/>
    <x v="21"/>
    <d v="2025-01-24T00:00:00"/>
    <x v="0"/>
    <x v="1"/>
    <x v="0"/>
    <x v="0"/>
    <x v="9"/>
    <x v="1"/>
    <x v="3"/>
    <x v="0"/>
  </r>
  <r>
    <x v="489"/>
    <x v="18"/>
    <x v="1"/>
    <n v="103.5"/>
    <n v="207"/>
    <x v="21"/>
    <d v="2025-01-24T00:00:00"/>
    <x v="2"/>
    <x v="1"/>
    <x v="0"/>
    <x v="0"/>
    <x v="10"/>
    <x v="1"/>
    <x v="3"/>
    <x v="2"/>
  </r>
  <r>
    <x v="490"/>
    <x v="4"/>
    <x v="1"/>
    <n v="41.2"/>
    <n v="82.4"/>
    <x v="21"/>
    <d v="2025-01-23T00:00:00"/>
    <x v="2"/>
    <x v="1"/>
    <x v="0"/>
    <x v="0"/>
    <x v="10"/>
    <x v="3"/>
    <x v="3"/>
    <x v="2"/>
  </r>
  <r>
    <x v="491"/>
    <x v="9"/>
    <x v="0"/>
    <n v="37.799999999999997"/>
    <n v="37.799999999999997"/>
    <x v="21"/>
    <d v="2025-01-24T00:00:00"/>
    <x v="2"/>
    <x v="3"/>
    <x v="3"/>
    <x v="0"/>
    <x v="11"/>
    <x v="1"/>
    <x v="3"/>
    <x v="2"/>
  </r>
  <r>
    <x v="492"/>
    <x v="8"/>
    <x v="1"/>
    <n v="42.6"/>
    <n v="85.2"/>
    <x v="21"/>
    <d v="2025-01-24T00:00:00"/>
    <x v="2"/>
    <x v="4"/>
    <x v="0"/>
    <x v="0"/>
    <x v="11"/>
    <x v="1"/>
    <x v="3"/>
    <x v="2"/>
  </r>
  <r>
    <x v="493"/>
    <x v="8"/>
    <x v="7"/>
    <n v="15.2"/>
    <n v="152"/>
    <x v="21"/>
    <d v="2025-01-24T00:00:00"/>
    <x v="2"/>
    <x v="2"/>
    <x v="0"/>
    <x v="0"/>
    <x v="11"/>
    <x v="1"/>
    <x v="3"/>
    <x v="2"/>
  </r>
  <r>
    <x v="494"/>
    <x v="7"/>
    <x v="12"/>
    <n v="83.4"/>
    <n v="333.6"/>
    <x v="21"/>
    <d v="2025-01-23T00:00:00"/>
    <x v="2"/>
    <x v="2"/>
    <x v="1"/>
    <x v="0"/>
    <x v="18"/>
    <x v="3"/>
    <x v="3"/>
    <x v="2"/>
  </r>
  <r>
    <x v="495"/>
    <x v="19"/>
    <x v="1"/>
    <n v="27.7"/>
    <n v="55.4"/>
    <x v="21"/>
    <d v="2025-01-23T00:00:00"/>
    <x v="2"/>
    <x v="0"/>
    <x v="1"/>
    <x v="0"/>
    <x v="13"/>
    <x v="3"/>
    <x v="3"/>
    <x v="2"/>
  </r>
  <r>
    <x v="496"/>
    <x v="10"/>
    <x v="4"/>
    <n v="20.8"/>
    <n v="249.60000000000002"/>
    <x v="21"/>
    <d v="2025-01-23T00:00:00"/>
    <x v="1"/>
    <x v="3"/>
    <x v="0"/>
    <x v="0"/>
    <x v="13"/>
    <x v="3"/>
    <x v="3"/>
    <x v="1"/>
  </r>
  <r>
    <x v="497"/>
    <x v="11"/>
    <x v="1"/>
    <n v="72.7"/>
    <n v="145.4"/>
    <x v="21"/>
    <d v="2025-01-26T00:00:00"/>
    <x v="2"/>
    <x v="4"/>
    <x v="2"/>
    <x v="0"/>
    <x v="44"/>
    <x v="5"/>
    <x v="3"/>
    <x v="2"/>
  </r>
  <r>
    <x v="498"/>
    <x v="10"/>
    <x v="12"/>
    <n v="38.6"/>
    <n v="154.4"/>
    <x v="21"/>
    <d v="2025-01-23T00:00:00"/>
    <x v="1"/>
    <x v="0"/>
    <x v="2"/>
    <x v="0"/>
    <x v="22"/>
    <x v="3"/>
    <x v="3"/>
    <x v="1"/>
  </r>
  <r>
    <x v="499"/>
    <x v="8"/>
    <x v="3"/>
    <n v="33.1"/>
    <n v="231.70000000000002"/>
    <x v="21"/>
    <d v="2025-01-23T00:00:00"/>
    <x v="3"/>
    <x v="4"/>
    <x v="3"/>
    <x v="0"/>
    <x v="3"/>
    <x v="3"/>
    <x v="3"/>
    <x v="3"/>
  </r>
  <r>
    <x v="500"/>
    <x v="10"/>
    <x v="1"/>
    <n v="30.5"/>
    <n v="61"/>
    <x v="21"/>
    <d v="2025-01-22T00:00:00"/>
    <x v="0"/>
    <x v="1"/>
    <x v="1"/>
    <x v="0"/>
    <x v="3"/>
    <x v="7"/>
    <x v="3"/>
    <x v="0"/>
  </r>
  <r>
    <x v="501"/>
    <x v="9"/>
    <x v="1"/>
    <n v="69.599999999999994"/>
    <n v="139.19999999999999"/>
    <x v="21"/>
    <d v="2025-01-23T00:00:00"/>
    <x v="1"/>
    <x v="0"/>
    <x v="1"/>
    <x v="0"/>
    <x v="3"/>
    <x v="3"/>
    <x v="3"/>
    <x v="1"/>
  </r>
  <r>
    <x v="502"/>
    <x v="11"/>
    <x v="0"/>
    <n v="42.4"/>
    <n v="42.4"/>
    <x v="21"/>
    <d v="2025-01-26T00:00:00"/>
    <x v="2"/>
    <x v="1"/>
    <x v="0"/>
    <x v="0"/>
    <x v="3"/>
    <x v="5"/>
    <x v="3"/>
    <x v="2"/>
  </r>
  <r>
    <x v="503"/>
    <x v="17"/>
    <x v="0"/>
    <n v="32.200000000000003"/>
    <n v="32.200000000000003"/>
    <x v="21"/>
    <d v="2025-01-25T00:00:00"/>
    <x v="2"/>
    <x v="2"/>
    <x v="1"/>
    <x v="0"/>
    <x v="3"/>
    <x v="2"/>
    <x v="3"/>
    <x v="2"/>
  </r>
  <r>
    <x v="504"/>
    <x v="6"/>
    <x v="1"/>
    <n v="41.5"/>
    <n v="83"/>
    <x v="21"/>
    <d v="2025-01-25T00:00:00"/>
    <x v="2"/>
    <x v="0"/>
    <x v="2"/>
    <x v="0"/>
    <x v="3"/>
    <x v="2"/>
    <x v="3"/>
    <x v="2"/>
  </r>
  <r>
    <x v="505"/>
    <x v="16"/>
    <x v="11"/>
    <n v="58.9"/>
    <n v="530.1"/>
    <x v="21"/>
    <d v="2025-01-26T00:00:00"/>
    <x v="2"/>
    <x v="3"/>
    <x v="0"/>
    <x v="0"/>
    <x v="3"/>
    <x v="5"/>
    <x v="3"/>
    <x v="2"/>
  </r>
  <r>
    <x v="506"/>
    <x v="2"/>
    <x v="0"/>
    <n v="57.1"/>
    <n v="57.1"/>
    <x v="21"/>
    <d v="2025-01-25T00:00:00"/>
    <x v="2"/>
    <x v="1"/>
    <x v="0"/>
    <x v="0"/>
    <x v="3"/>
    <x v="2"/>
    <x v="3"/>
    <x v="2"/>
  </r>
  <r>
    <x v="507"/>
    <x v="6"/>
    <x v="0"/>
    <n v="57.2"/>
    <n v="57.2"/>
    <x v="21"/>
    <d v="2025-01-24T00:00:00"/>
    <x v="1"/>
    <x v="1"/>
    <x v="0"/>
    <x v="0"/>
    <x v="3"/>
    <x v="1"/>
    <x v="3"/>
    <x v="1"/>
  </r>
  <r>
    <x v="508"/>
    <x v="8"/>
    <x v="1"/>
    <n v="35.1"/>
    <n v="70.2"/>
    <x v="21"/>
    <d v="2025-01-23T00:00:00"/>
    <x v="1"/>
    <x v="1"/>
    <x v="0"/>
    <x v="0"/>
    <x v="6"/>
    <x v="3"/>
    <x v="3"/>
    <x v="1"/>
  </r>
  <r>
    <x v="509"/>
    <x v="1"/>
    <x v="0"/>
    <n v="52.1"/>
    <n v="52.1"/>
    <x v="21"/>
    <d v="2025-01-24T00:00:00"/>
    <x v="2"/>
    <x v="4"/>
    <x v="1"/>
    <x v="0"/>
    <x v="8"/>
    <x v="1"/>
    <x v="3"/>
    <x v="2"/>
  </r>
  <r>
    <x v="510"/>
    <x v="13"/>
    <x v="2"/>
    <n v="59.8"/>
    <n v="179.39999999999998"/>
    <x v="21"/>
    <d v="2025-01-24T00:00:00"/>
    <x v="2"/>
    <x v="4"/>
    <x v="1"/>
    <x v="0"/>
    <x v="8"/>
    <x v="1"/>
    <x v="3"/>
    <x v="2"/>
  </r>
  <r>
    <x v="511"/>
    <x v="3"/>
    <x v="12"/>
    <n v="83.3"/>
    <n v="333.2"/>
    <x v="21"/>
    <d v="2025-01-22T00:00:00"/>
    <x v="0"/>
    <x v="2"/>
    <x v="0"/>
    <x v="0"/>
    <x v="8"/>
    <x v="7"/>
    <x v="3"/>
    <x v="0"/>
  </r>
  <r>
    <x v="512"/>
    <x v="15"/>
    <x v="4"/>
    <n v="41.3"/>
    <n v="495.59999999999997"/>
    <x v="21"/>
    <d v="2025-01-23T00:00:00"/>
    <x v="2"/>
    <x v="1"/>
    <x v="0"/>
    <x v="0"/>
    <x v="8"/>
    <x v="3"/>
    <x v="3"/>
    <x v="2"/>
  </r>
  <r>
    <x v="513"/>
    <x v="8"/>
    <x v="9"/>
    <n v="16"/>
    <n v="80"/>
    <x v="21"/>
    <d v="2025-01-24T00:00:00"/>
    <x v="1"/>
    <x v="4"/>
    <x v="1"/>
    <x v="0"/>
    <x v="9"/>
    <x v="1"/>
    <x v="3"/>
    <x v="1"/>
  </r>
  <r>
    <x v="514"/>
    <x v="10"/>
    <x v="1"/>
    <n v="20.8"/>
    <n v="41.6"/>
    <x v="22"/>
    <d v="2025-01-25T00:00:00"/>
    <x v="1"/>
    <x v="0"/>
    <x v="2"/>
    <x v="0"/>
    <x v="11"/>
    <x v="1"/>
    <x v="3"/>
    <x v="1"/>
  </r>
  <r>
    <x v="515"/>
    <x v="8"/>
    <x v="31"/>
    <n v="27.1"/>
    <n v="758.80000000000007"/>
    <x v="22"/>
    <d v="2025-01-24T00:00:00"/>
    <x v="0"/>
    <x v="3"/>
    <x v="2"/>
    <x v="0"/>
    <x v="11"/>
    <x v="3"/>
    <x v="3"/>
    <x v="0"/>
  </r>
  <r>
    <x v="516"/>
    <x v="10"/>
    <x v="1"/>
    <n v="38.9"/>
    <n v="77.8"/>
    <x v="22"/>
    <d v="2025-01-25T00:00:00"/>
    <x v="2"/>
    <x v="0"/>
    <x v="0"/>
    <x v="0"/>
    <x v="18"/>
    <x v="1"/>
    <x v="3"/>
    <x v="2"/>
  </r>
  <r>
    <x v="517"/>
    <x v="0"/>
    <x v="1"/>
    <n v="10.8"/>
    <n v="21.6"/>
    <x v="22"/>
    <d v="2025-01-26T00:00:00"/>
    <x v="2"/>
    <x v="1"/>
    <x v="2"/>
    <x v="0"/>
    <x v="45"/>
    <x v="2"/>
    <x v="3"/>
    <x v="2"/>
  </r>
  <r>
    <x v="518"/>
    <x v="4"/>
    <x v="15"/>
    <n v="48.4"/>
    <n v="629.19999999999993"/>
    <x v="22"/>
    <d v="2025-01-27T00:00:00"/>
    <x v="2"/>
    <x v="0"/>
    <x v="0"/>
    <x v="0"/>
    <x v="21"/>
    <x v="5"/>
    <x v="3"/>
    <x v="2"/>
  </r>
  <r>
    <x v="519"/>
    <x v="4"/>
    <x v="2"/>
    <n v="29.2"/>
    <n v="87.6"/>
    <x v="22"/>
    <d v="2025-01-26T00:00:00"/>
    <x v="2"/>
    <x v="1"/>
    <x v="1"/>
    <x v="0"/>
    <x v="2"/>
    <x v="2"/>
    <x v="3"/>
    <x v="2"/>
  </r>
  <r>
    <x v="520"/>
    <x v="4"/>
    <x v="1"/>
    <n v="25.1"/>
    <n v="50.2"/>
    <x v="22"/>
    <d v="2025-01-24T00:00:00"/>
    <x v="1"/>
    <x v="0"/>
    <x v="1"/>
    <x v="0"/>
    <x v="2"/>
    <x v="3"/>
    <x v="3"/>
    <x v="1"/>
  </r>
  <r>
    <x v="521"/>
    <x v="7"/>
    <x v="2"/>
    <n v="65.599999999999994"/>
    <n v="196.79999999999998"/>
    <x v="22"/>
    <d v="2025-01-23T00:00:00"/>
    <x v="2"/>
    <x v="2"/>
    <x v="1"/>
    <x v="0"/>
    <x v="3"/>
    <x v="7"/>
    <x v="3"/>
    <x v="2"/>
  </r>
  <r>
    <x v="522"/>
    <x v="2"/>
    <x v="1"/>
    <n v="57.3"/>
    <n v="114.6"/>
    <x v="22"/>
    <d v="2025-01-23T00:00:00"/>
    <x v="0"/>
    <x v="0"/>
    <x v="0"/>
    <x v="0"/>
    <x v="3"/>
    <x v="7"/>
    <x v="3"/>
    <x v="0"/>
  </r>
  <r>
    <x v="523"/>
    <x v="9"/>
    <x v="12"/>
    <n v="22.4"/>
    <n v="89.6"/>
    <x v="22"/>
    <d v="2025-01-24T00:00:00"/>
    <x v="2"/>
    <x v="2"/>
    <x v="2"/>
    <x v="0"/>
    <x v="3"/>
    <x v="3"/>
    <x v="3"/>
    <x v="2"/>
  </r>
  <r>
    <x v="524"/>
    <x v="12"/>
    <x v="11"/>
    <n v="45.7"/>
    <n v="411.3"/>
    <x v="22"/>
    <d v="2025-01-24T00:00:00"/>
    <x v="2"/>
    <x v="0"/>
    <x v="0"/>
    <x v="0"/>
    <x v="3"/>
    <x v="3"/>
    <x v="3"/>
    <x v="2"/>
  </r>
  <r>
    <x v="525"/>
    <x v="8"/>
    <x v="1"/>
    <n v="29.3"/>
    <n v="58.6"/>
    <x v="22"/>
    <d v="2025-01-24T00:00:00"/>
    <x v="1"/>
    <x v="1"/>
    <x v="0"/>
    <x v="0"/>
    <x v="3"/>
    <x v="3"/>
    <x v="3"/>
    <x v="1"/>
  </r>
  <r>
    <x v="526"/>
    <x v="18"/>
    <x v="32"/>
    <n v="74"/>
    <n v="1628"/>
    <x v="22"/>
    <d v="2025-01-24T00:00:00"/>
    <x v="1"/>
    <x v="0"/>
    <x v="2"/>
    <x v="0"/>
    <x v="3"/>
    <x v="3"/>
    <x v="3"/>
    <x v="1"/>
  </r>
  <r>
    <x v="527"/>
    <x v="14"/>
    <x v="1"/>
    <n v="39.200000000000003"/>
    <n v="78.400000000000006"/>
    <x v="22"/>
    <d v="2025-01-25T00:00:00"/>
    <x v="2"/>
    <x v="1"/>
    <x v="0"/>
    <x v="0"/>
    <x v="3"/>
    <x v="1"/>
    <x v="3"/>
    <x v="2"/>
  </r>
  <r>
    <x v="528"/>
    <x v="4"/>
    <x v="14"/>
    <n v="62.7"/>
    <n v="1065.9000000000001"/>
    <x v="22"/>
    <d v="2025-01-24T00:00:00"/>
    <x v="2"/>
    <x v="2"/>
    <x v="1"/>
    <x v="0"/>
    <x v="3"/>
    <x v="3"/>
    <x v="3"/>
    <x v="2"/>
  </r>
  <r>
    <x v="529"/>
    <x v="10"/>
    <x v="1"/>
    <n v="60.1"/>
    <n v="120.2"/>
    <x v="22"/>
    <d v="2025-01-24T00:00:00"/>
    <x v="2"/>
    <x v="3"/>
    <x v="0"/>
    <x v="0"/>
    <x v="3"/>
    <x v="3"/>
    <x v="3"/>
    <x v="2"/>
  </r>
  <r>
    <x v="530"/>
    <x v="0"/>
    <x v="12"/>
    <n v="11.2"/>
    <n v="44.8"/>
    <x v="22"/>
    <d v="2025-01-24T00:00:00"/>
    <x v="2"/>
    <x v="3"/>
    <x v="1"/>
    <x v="0"/>
    <x v="3"/>
    <x v="3"/>
    <x v="3"/>
    <x v="2"/>
  </r>
  <r>
    <x v="531"/>
    <x v="8"/>
    <x v="1"/>
    <n v="22.9"/>
    <n v="45.8"/>
    <x v="22"/>
    <d v="2025-01-24T00:00:00"/>
    <x v="2"/>
    <x v="0"/>
    <x v="0"/>
    <x v="0"/>
    <x v="6"/>
    <x v="3"/>
    <x v="3"/>
    <x v="2"/>
  </r>
  <r>
    <x v="532"/>
    <x v="1"/>
    <x v="1"/>
    <n v="37.6"/>
    <n v="75.2"/>
    <x v="22"/>
    <d v="2025-01-26T00:00:00"/>
    <x v="2"/>
    <x v="0"/>
    <x v="0"/>
    <x v="0"/>
    <x v="6"/>
    <x v="2"/>
    <x v="3"/>
    <x v="2"/>
  </r>
  <r>
    <x v="533"/>
    <x v="6"/>
    <x v="0"/>
    <n v="42.4"/>
    <n v="42.4"/>
    <x v="22"/>
    <d v="2025-01-24T00:00:00"/>
    <x v="2"/>
    <x v="3"/>
    <x v="2"/>
    <x v="0"/>
    <x v="6"/>
    <x v="3"/>
    <x v="3"/>
    <x v="2"/>
  </r>
  <r>
    <x v="534"/>
    <x v="8"/>
    <x v="1"/>
    <n v="19.600000000000001"/>
    <n v="39.200000000000003"/>
    <x v="22"/>
    <d v="2025-01-27T00:00:00"/>
    <x v="2"/>
    <x v="2"/>
    <x v="0"/>
    <x v="0"/>
    <x v="7"/>
    <x v="5"/>
    <x v="3"/>
    <x v="2"/>
  </r>
  <r>
    <x v="535"/>
    <x v="9"/>
    <x v="0"/>
    <n v="90.5"/>
    <n v="90.5"/>
    <x v="22"/>
    <d v="2025-01-26T00:00:00"/>
    <x v="2"/>
    <x v="2"/>
    <x v="0"/>
    <x v="0"/>
    <x v="7"/>
    <x v="2"/>
    <x v="3"/>
    <x v="2"/>
  </r>
  <r>
    <x v="536"/>
    <x v="16"/>
    <x v="5"/>
    <n v="33.9"/>
    <n v="372.9"/>
    <x v="22"/>
    <d v="2025-01-24T00:00:00"/>
    <x v="1"/>
    <x v="2"/>
    <x v="1"/>
    <x v="0"/>
    <x v="7"/>
    <x v="3"/>
    <x v="3"/>
    <x v="1"/>
  </r>
  <r>
    <x v="537"/>
    <x v="0"/>
    <x v="1"/>
    <n v="32.799999999999997"/>
    <n v="65.599999999999994"/>
    <x v="22"/>
    <d v="2025-01-25T00:00:00"/>
    <x v="2"/>
    <x v="4"/>
    <x v="4"/>
    <x v="0"/>
    <x v="8"/>
    <x v="1"/>
    <x v="3"/>
    <x v="2"/>
  </r>
  <r>
    <x v="538"/>
    <x v="15"/>
    <x v="0"/>
    <n v="49.9"/>
    <n v="49.9"/>
    <x v="22"/>
    <d v="2025-01-24T00:00:00"/>
    <x v="1"/>
    <x v="3"/>
    <x v="1"/>
    <x v="0"/>
    <x v="8"/>
    <x v="3"/>
    <x v="3"/>
    <x v="1"/>
  </r>
  <r>
    <x v="539"/>
    <x v="7"/>
    <x v="9"/>
    <n v="79.2"/>
    <n v="396"/>
    <x v="22"/>
    <d v="2025-01-24T00:00:00"/>
    <x v="2"/>
    <x v="4"/>
    <x v="0"/>
    <x v="0"/>
    <x v="8"/>
    <x v="3"/>
    <x v="3"/>
    <x v="2"/>
  </r>
  <r>
    <x v="540"/>
    <x v="8"/>
    <x v="27"/>
    <n v="19.5"/>
    <n v="312"/>
    <x v="22"/>
    <d v="2025-01-25T00:00:00"/>
    <x v="1"/>
    <x v="3"/>
    <x v="2"/>
    <x v="0"/>
    <x v="8"/>
    <x v="1"/>
    <x v="3"/>
    <x v="1"/>
  </r>
  <r>
    <x v="541"/>
    <x v="8"/>
    <x v="12"/>
    <n v="18"/>
    <n v="72"/>
    <x v="22"/>
    <d v="2025-01-24T00:00:00"/>
    <x v="1"/>
    <x v="1"/>
    <x v="0"/>
    <x v="0"/>
    <x v="10"/>
    <x v="3"/>
    <x v="3"/>
    <x v="1"/>
  </r>
  <r>
    <x v="542"/>
    <x v="9"/>
    <x v="2"/>
    <n v="45.9"/>
    <n v="137.69999999999999"/>
    <x v="22"/>
    <d v="2025-01-25T00:00:00"/>
    <x v="2"/>
    <x v="1"/>
    <x v="1"/>
    <x v="0"/>
    <x v="10"/>
    <x v="1"/>
    <x v="3"/>
    <x v="2"/>
  </r>
  <r>
    <x v="543"/>
    <x v="11"/>
    <x v="0"/>
    <n v="41.2"/>
    <n v="41.2"/>
    <x v="22"/>
    <d v="2025-01-25T00:00:00"/>
    <x v="2"/>
    <x v="1"/>
    <x v="2"/>
    <x v="0"/>
    <x v="11"/>
    <x v="1"/>
    <x v="3"/>
    <x v="2"/>
  </r>
  <r>
    <x v="544"/>
    <x v="2"/>
    <x v="7"/>
    <n v="167.2"/>
    <n v="1672"/>
    <x v="22"/>
    <d v="2025-01-25T00:00:00"/>
    <x v="2"/>
    <x v="2"/>
    <x v="2"/>
    <x v="0"/>
    <x v="32"/>
    <x v="1"/>
    <x v="3"/>
    <x v="2"/>
  </r>
  <r>
    <x v="545"/>
    <x v="6"/>
    <x v="17"/>
    <n v="74.5"/>
    <n v="2235"/>
    <x v="23"/>
    <d v="2025-01-27T00:00:00"/>
    <x v="2"/>
    <x v="1"/>
    <x v="2"/>
    <x v="0"/>
    <x v="38"/>
    <x v="2"/>
    <x v="3"/>
    <x v="2"/>
  </r>
  <r>
    <x v="546"/>
    <x v="7"/>
    <x v="12"/>
    <n v="39.299999999999997"/>
    <n v="157.19999999999999"/>
    <x v="23"/>
    <d v="2025-01-25T00:00:00"/>
    <x v="0"/>
    <x v="2"/>
    <x v="0"/>
    <x v="0"/>
    <x v="19"/>
    <x v="3"/>
    <x v="3"/>
    <x v="0"/>
  </r>
  <r>
    <x v="547"/>
    <x v="9"/>
    <x v="0"/>
    <n v="68.5"/>
    <n v="68.5"/>
    <x v="23"/>
    <d v="2025-01-27T00:00:00"/>
    <x v="1"/>
    <x v="1"/>
    <x v="2"/>
    <x v="0"/>
    <x v="12"/>
    <x v="2"/>
    <x v="3"/>
    <x v="1"/>
  </r>
  <r>
    <x v="548"/>
    <x v="0"/>
    <x v="2"/>
    <n v="22.5"/>
    <n v="67.5"/>
    <x v="23"/>
    <d v="2025-01-24T00:00:00"/>
    <x v="2"/>
    <x v="4"/>
    <x v="0"/>
    <x v="0"/>
    <x v="13"/>
    <x v="7"/>
    <x v="3"/>
    <x v="2"/>
  </r>
  <r>
    <x v="549"/>
    <x v="1"/>
    <x v="0"/>
    <n v="48"/>
    <n v="48"/>
    <x v="23"/>
    <d v="2025-01-25T00:00:00"/>
    <x v="3"/>
    <x v="4"/>
    <x v="1"/>
    <x v="0"/>
    <x v="46"/>
    <x v="3"/>
    <x v="3"/>
    <x v="3"/>
  </r>
  <r>
    <x v="550"/>
    <x v="6"/>
    <x v="0"/>
    <n v="94"/>
    <n v="94"/>
    <x v="23"/>
    <d v="2025-01-25T00:00:00"/>
    <x v="1"/>
    <x v="3"/>
    <x v="1"/>
    <x v="0"/>
    <x v="1"/>
    <x v="3"/>
    <x v="3"/>
    <x v="1"/>
  </r>
  <r>
    <x v="551"/>
    <x v="8"/>
    <x v="2"/>
    <n v="21.9"/>
    <n v="65.699999999999989"/>
    <x v="23"/>
    <d v="2025-01-25T00:00:00"/>
    <x v="2"/>
    <x v="0"/>
    <x v="0"/>
    <x v="0"/>
    <x v="44"/>
    <x v="3"/>
    <x v="3"/>
    <x v="2"/>
  </r>
  <r>
    <x v="552"/>
    <x v="6"/>
    <x v="3"/>
    <n v="64.900000000000006"/>
    <n v="454.30000000000007"/>
    <x v="23"/>
    <d v="2025-01-25T00:00:00"/>
    <x v="2"/>
    <x v="0"/>
    <x v="0"/>
    <x v="0"/>
    <x v="3"/>
    <x v="3"/>
    <x v="3"/>
    <x v="2"/>
  </r>
  <r>
    <x v="553"/>
    <x v="12"/>
    <x v="0"/>
    <n v="52.9"/>
    <n v="52.9"/>
    <x v="23"/>
    <d v="2025-01-24T00:00:00"/>
    <x v="2"/>
    <x v="1"/>
    <x v="1"/>
    <x v="0"/>
    <x v="3"/>
    <x v="7"/>
    <x v="3"/>
    <x v="2"/>
  </r>
  <r>
    <x v="554"/>
    <x v="8"/>
    <x v="2"/>
    <n v="25.5"/>
    <n v="76.5"/>
    <x v="23"/>
    <d v="2025-01-25T00:00:00"/>
    <x v="2"/>
    <x v="1"/>
    <x v="2"/>
    <x v="0"/>
    <x v="3"/>
    <x v="3"/>
    <x v="3"/>
    <x v="2"/>
  </r>
  <r>
    <x v="555"/>
    <x v="6"/>
    <x v="2"/>
    <n v="51.9"/>
    <n v="155.69999999999999"/>
    <x v="23"/>
    <d v="2025-01-25T00:00:00"/>
    <x v="2"/>
    <x v="3"/>
    <x v="0"/>
    <x v="0"/>
    <x v="3"/>
    <x v="3"/>
    <x v="3"/>
    <x v="2"/>
  </r>
  <r>
    <x v="556"/>
    <x v="5"/>
    <x v="0"/>
    <n v="46.3"/>
    <n v="46.3"/>
    <x v="23"/>
    <d v="2025-01-27T00:00:00"/>
    <x v="2"/>
    <x v="4"/>
    <x v="0"/>
    <x v="0"/>
    <x v="3"/>
    <x v="2"/>
    <x v="3"/>
    <x v="2"/>
  </r>
  <r>
    <x v="557"/>
    <x v="6"/>
    <x v="1"/>
    <n v="68.2"/>
    <n v="136.4"/>
    <x v="23"/>
    <d v="2025-01-26T00:00:00"/>
    <x v="2"/>
    <x v="3"/>
    <x v="0"/>
    <x v="0"/>
    <x v="3"/>
    <x v="1"/>
    <x v="3"/>
    <x v="2"/>
  </r>
  <r>
    <x v="558"/>
    <x v="1"/>
    <x v="0"/>
    <n v="40.299999999999997"/>
    <n v="40.299999999999997"/>
    <x v="23"/>
    <d v="2025-01-25T00:00:00"/>
    <x v="1"/>
    <x v="0"/>
    <x v="1"/>
    <x v="0"/>
    <x v="3"/>
    <x v="3"/>
    <x v="3"/>
    <x v="1"/>
  </r>
  <r>
    <x v="559"/>
    <x v="2"/>
    <x v="2"/>
    <n v="91.3"/>
    <n v="273.89999999999998"/>
    <x v="23"/>
    <d v="2025-01-29T00:00:00"/>
    <x v="1"/>
    <x v="0"/>
    <x v="2"/>
    <x v="0"/>
    <x v="6"/>
    <x v="0"/>
    <x v="3"/>
    <x v="1"/>
  </r>
  <r>
    <x v="560"/>
    <x v="0"/>
    <x v="2"/>
    <n v="11.9"/>
    <n v="35.700000000000003"/>
    <x v="23"/>
    <d v="2025-01-25T00:00:00"/>
    <x v="2"/>
    <x v="0"/>
    <x v="1"/>
    <x v="0"/>
    <x v="6"/>
    <x v="3"/>
    <x v="3"/>
    <x v="2"/>
  </r>
  <r>
    <x v="561"/>
    <x v="2"/>
    <x v="1"/>
    <n v="63.5"/>
    <n v="127"/>
    <x v="23"/>
    <d v="2025-01-26T00:00:00"/>
    <x v="1"/>
    <x v="1"/>
    <x v="0"/>
    <x v="0"/>
    <x v="6"/>
    <x v="1"/>
    <x v="3"/>
    <x v="1"/>
  </r>
  <r>
    <x v="562"/>
    <x v="4"/>
    <x v="1"/>
    <n v="27.1"/>
    <n v="54.2"/>
    <x v="23"/>
    <d v="2025-01-27T00:00:00"/>
    <x v="1"/>
    <x v="2"/>
    <x v="2"/>
    <x v="0"/>
    <x v="6"/>
    <x v="2"/>
    <x v="3"/>
    <x v="1"/>
  </r>
  <r>
    <x v="563"/>
    <x v="1"/>
    <x v="1"/>
    <n v="82.1"/>
    <n v="164.2"/>
    <x v="24"/>
    <d v="2025-01-28T00:00:00"/>
    <x v="1"/>
    <x v="1"/>
    <x v="1"/>
    <x v="0"/>
    <x v="7"/>
    <x v="2"/>
    <x v="3"/>
    <x v="1"/>
  </r>
  <r>
    <x v="564"/>
    <x v="3"/>
    <x v="9"/>
    <n v="42.9"/>
    <n v="214.5"/>
    <x v="24"/>
    <d v="2025-01-27T00:00:00"/>
    <x v="2"/>
    <x v="1"/>
    <x v="0"/>
    <x v="0"/>
    <x v="8"/>
    <x v="1"/>
    <x v="3"/>
    <x v="2"/>
  </r>
  <r>
    <x v="565"/>
    <x v="8"/>
    <x v="5"/>
    <n v="37.9"/>
    <n v="416.9"/>
    <x v="24"/>
    <d v="2025-02-01T00:00:00"/>
    <x v="1"/>
    <x v="0"/>
    <x v="0"/>
    <x v="0"/>
    <x v="8"/>
    <x v="6"/>
    <x v="3"/>
    <x v="1"/>
  </r>
  <r>
    <x v="566"/>
    <x v="0"/>
    <x v="0"/>
    <n v="22.4"/>
    <n v="22.4"/>
    <x v="24"/>
    <d v="2025-01-26T00:00:00"/>
    <x v="2"/>
    <x v="0"/>
    <x v="1"/>
    <x v="0"/>
    <x v="17"/>
    <x v="3"/>
    <x v="3"/>
    <x v="2"/>
  </r>
  <r>
    <x v="567"/>
    <x v="2"/>
    <x v="15"/>
    <n v="79.900000000000006"/>
    <n v="1038.7"/>
    <x v="24"/>
    <d v="2025-02-07T00:00:00"/>
    <x v="2"/>
    <x v="3"/>
    <x v="1"/>
    <x v="0"/>
    <x v="11"/>
    <x v="10"/>
    <x v="3"/>
    <x v="2"/>
  </r>
  <r>
    <x v="568"/>
    <x v="1"/>
    <x v="0"/>
    <n v="70.599999999999994"/>
    <n v="70.599999999999994"/>
    <x v="24"/>
    <d v="2025-01-28T00:00:00"/>
    <x v="2"/>
    <x v="0"/>
    <x v="1"/>
    <x v="0"/>
    <x v="11"/>
    <x v="2"/>
    <x v="3"/>
    <x v="2"/>
  </r>
  <r>
    <x v="569"/>
    <x v="6"/>
    <x v="0"/>
    <n v="49.5"/>
    <n v="49.5"/>
    <x v="24"/>
    <d v="2025-01-27T00:00:00"/>
    <x v="1"/>
    <x v="0"/>
    <x v="0"/>
    <x v="0"/>
    <x v="13"/>
    <x v="1"/>
    <x v="3"/>
    <x v="1"/>
  </r>
  <r>
    <x v="570"/>
    <x v="2"/>
    <x v="1"/>
    <n v="96.6"/>
    <n v="193.2"/>
    <x v="24"/>
    <d v="2025-01-27T00:00:00"/>
    <x v="1"/>
    <x v="0"/>
    <x v="0"/>
    <x v="0"/>
    <x v="21"/>
    <x v="1"/>
    <x v="3"/>
    <x v="1"/>
  </r>
  <r>
    <x v="571"/>
    <x v="6"/>
    <x v="1"/>
    <n v="52.8"/>
    <n v="105.6"/>
    <x v="24"/>
    <d v="2025-01-26T00:00:00"/>
    <x v="2"/>
    <x v="1"/>
    <x v="1"/>
    <x v="0"/>
    <x v="21"/>
    <x v="3"/>
    <x v="3"/>
    <x v="2"/>
  </r>
  <r>
    <x v="572"/>
    <x v="2"/>
    <x v="0"/>
    <n v="101.7"/>
    <n v="101.7"/>
    <x v="24"/>
    <d v="2025-01-26T00:00:00"/>
    <x v="1"/>
    <x v="0"/>
    <x v="0"/>
    <x v="0"/>
    <x v="1"/>
    <x v="3"/>
    <x v="3"/>
    <x v="1"/>
  </r>
  <r>
    <x v="573"/>
    <x v="4"/>
    <x v="9"/>
    <n v="26.9"/>
    <n v="134.5"/>
    <x v="24"/>
    <d v="2025-01-30T00:00:00"/>
    <x v="2"/>
    <x v="1"/>
    <x v="1"/>
    <x v="0"/>
    <x v="22"/>
    <x v="0"/>
    <x v="3"/>
    <x v="2"/>
  </r>
  <r>
    <x v="574"/>
    <x v="2"/>
    <x v="12"/>
    <n v="211"/>
    <n v="844"/>
    <x v="24"/>
    <d v="2025-01-25T00:00:00"/>
    <x v="2"/>
    <x v="1"/>
    <x v="1"/>
    <x v="0"/>
    <x v="3"/>
    <x v="7"/>
    <x v="3"/>
    <x v="2"/>
  </r>
  <r>
    <x v="575"/>
    <x v="0"/>
    <x v="12"/>
    <n v="21.1"/>
    <n v="84.4"/>
    <x v="24"/>
    <d v="2025-01-28T00:00:00"/>
    <x v="1"/>
    <x v="4"/>
    <x v="0"/>
    <x v="0"/>
    <x v="3"/>
    <x v="2"/>
    <x v="3"/>
    <x v="1"/>
  </r>
  <r>
    <x v="576"/>
    <x v="10"/>
    <x v="0"/>
    <n v="26.6"/>
    <n v="26.6"/>
    <x v="24"/>
    <d v="2025-01-27T00:00:00"/>
    <x v="1"/>
    <x v="0"/>
    <x v="4"/>
    <x v="0"/>
    <x v="3"/>
    <x v="1"/>
    <x v="3"/>
    <x v="1"/>
  </r>
  <r>
    <x v="577"/>
    <x v="12"/>
    <x v="12"/>
    <n v="51.2"/>
    <n v="204.8"/>
    <x v="24"/>
    <d v="2025-01-26T00:00:00"/>
    <x v="2"/>
    <x v="3"/>
    <x v="0"/>
    <x v="0"/>
    <x v="47"/>
    <x v="3"/>
    <x v="3"/>
    <x v="2"/>
  </r>
  <r>
    <x v="578"/>
    <x v="0"/>
    <x v="9"/>
    <n v="10.6"/>
    <n v="53"/>
    <x v="24"/>
    <d v="2025-01-29T00:00:00"/>
    <x v="2"/>
    <x v="0"/>
    <x v="0"/>
    <x v="0"/>
    <x v="8"/>
    <x v="5"/>
    <x v="3"/>
    <x v="2"/>
  </r>
  <r>
    <x v="579"/>
    <x v="6"/>
    <x v="2"/>
    <n v="43.4"/>
    <n v="130.19999999999999"/>
    <x v="24"/>
    <d v="2025-01-28T00:00:00"/>
    <x v="2"/>
    <x v="4"/>
    <x v="0"/>
    <x v="0"/>
    <x v="8"/>
    <x v="2"/>
    <x v="3"/>
    <x v="2"/>
  </r>
  <r>
    <x v="580"/>
    <x v="12"/>
    <x v="0"/>
    <n v="80"/>
    <n v="80"/>
    <x v="24"/>
    <d v="2025-01-25T00:00:00"/>
    <x v="2"/>
    <x v="0"/>
    <x v="2"/>
    <x v="0"/>
    <x v="8"/>
    <x v="7"/>
    <x v="3"/>
    <x v="2"/>
  </r>
  <r>
    <x v="581"/>
    <x v="10"/>
    <x v="12"/>
    <n v="64.7"/>
    <n v="258.8"/>
    <x v="24"/>
    <d v="2025-01-27T00:00:00"/>
    <x v="2"/>
    <x v="1"/>
    <x v="4"/>
    <x v="0"/>
    <x v="8"/>
    <x v="1"/>
    <x v="3"/>
    <x v="2"/>
  </r>
  <r>
    <x v="582"/>
    <x v="8"/>
    <x v="5"/>
    <n v="26.3"/>
    <n v="289.3"/>
    <x v="25"/>
    <d v="2025-01-26T00:00:00"/>
    <x v="2"/>
    <x v="4"/>
    <x v="1"/>
    <x v="0"/>
    <x v="26"/>
    <x v="7"/>
    <x v="4"/>
    <x v="2"/>
  </r>
  <r>
    <x v="583"/>
    <x v="10"/>
    <x v="0"/>
    <n v="28.5"/>
    <n v="28.5"/>
    <x v="25"/>
    <d v="2025-01-26T00:00:00"/>
    <x v="1"/>
    <x v="0"/>
    <x v="1"/>
    <x v="0"/>
    <x v="9"/>
    <x v="7"/>
    <x v="4"/>
    <x v="1"/>
  </r>
  <r>
    <x v="584"/>
    <x v="17"/>
    <x v="0"/>
    <n v="47.8"/>
    <n v="47.8"/>
    <x v="25"/>
    <d v="2025-01-28T00:00:00"/>
    <x v="2"/>
    <x v="0"/>
    <x v="1"/>
    <x v="0"/>
    <x v="9"/>
    <x v="1"/>
    <x v="4"/>
    <x v="2"/>
  </r>
  <r>
    <x v="585"/>
    <x v="10"/>
    <x v="2"/>
    <n v="42.8"/>
    <n v="128.39999999999998"/>
    <x v="25"/>
    <d v="2025-01-29T00:00:00"/>
    <x v="2"/>
    <x v="4"/>
    <x v="1"/>
    <x v="0"/>
    <x v="11"/>
    <x v="2"/>
    <x v="4"/>
    <x v="2"/>
  </r>
  <r>
    <x v="586"/>
    <x v="6"/>
    <x v="9"/>
    <n v="46.8"/>
    <n v="234"/>
    <x v="25"/>
    <d v="2025-01-31T00:00:00"/>
    <x v="2"/>
    <x v="1"/>
    <x v="2"/>
    <x v="0"/>
    <x v="11"/>
    <x v="0"/>
    <x v="4"/>
    <x v="2"/>
  </r>
  <r>
    <x v="587"/>
    <x v="1"/>
    <x v="7"/>
    <n v="64.099999999999994"/>
    <n v="641"/>
    <x v="25"/>
    <d v="2025-01-27T00:00:00"/>
    <x v="1"/>
    <x v="1"/>
    <x v="0"/>
    <x v="0"/>
    <x v="11"/>
    <x v="3"/>
    <x v="4"/>
    <x v="1"/>
  </r>
  <r>
    <x v="588"/>
    <x v="2"/>
    <x v="0"/>
    <n v="89.1"/>
    <n v="89.1"/>
    <x v="25"/>
    <d v="2025-01-27T00:00:00"/>
    <x v="2"/>
    <x v="0"/>
    <x v="1"/>
    <x v="0"/>
    <x v="20"/>
    <x v="3"/>
    <x v="4"/>
    <x v="2"/>
  </r>
  <r>
    <x v="589"/>
    <x v="2"/>
    <x v="2"/>
    <n v="83.1"/>
    <n v="249.29999999999998"/>
    <x v="25"/>
    <d v="2025-01-27T00:00:00"/>
    <x v="2"/>
    <x v="2"/>
    <x v="1"/>
    <x v="0"/>
    <x v="13"/>
    <x v="3"/>
    <x v="4"/>
    <x v="2"/>
  </r>
  <r>
    <x v="590"/>
    <x v="8"/>
    <x v="2"/>
    <n v="40.9"/>
    <n v="122.69999999999999"/>
    <x v="25"/>
    <d v="2025-01-27T00:00:00"/>
    <x v="1"/>
    <x v="0"/>
    <x v="0"/>
    <x v="0"/>
    <x v="1"/>
    <x v="3"/>
    <x v="4"/>
    <x v="1"/>
  </r>
  <r>
    <x v="591"/>
    <x v="2"/>
    <x v="1"/>
    <n v="125.7"/>
    <n v="251.4"/>
    <x v="25"/>
    <d v="2025-01-27T00:00:00"/>
    <x v="2"/>
    <x v="3"/>
    <x v="0"/>
    <x v="0"/>
    <x v="2"/>
    <x v="3"/>
    <x v="4"/>
    <x v="2"/>
  </r>
  <r>
    <x v="592"/>
    <x v="3"/>
    <x v="1"/>
    <n v="30.9"/>
    <n v="61.8"/>
    <x v="25"/>
    <d v="2025-01-26T00:00:00"/>
    <x v="2"/>
    <x v="2"/>
    <x v="2"/>
    <x v="0"/>
    <x v="22"/>
    <x v="7"/>
    <x v="4"/>
    <x v="2"/>
  </r>
  <r>
    <x v="593"/>
    <x v="8"/>
    <x v="1"/>
    <n v="18.3"/>
    <n v="36.6"/>
    <x v="25"/>
    <d v="2025-01-27T00:00:00"/>
    <x v="2"/>
    <x v="1"/>
    <x v="0"/>
    <x v="0"/>
    <x v="3"/>
    <x v="3"/>
    <x v="4"/>
    <x v="2"/>
  </r>
  <r>
    <x v="594"/>
    <x v="4"/>
    <x v="1"/>
    <n v="56.5"/>
    <n v="113"/>
    <x v="25"/>
    <d v="2025-01-30T00:00:00"/>
    <x v="1"/>
    <x v="2"/>
    <x v="2"/>
    <x v="0"/>
    <x v="3"/>
    <x v="5"/>
    <x v="4"/>
    <x v="1"/>
  </r>
  <r>
    <x v="595"/>
    <x v="10"/>
    <x v="3"/>
    <n v="29.9"/>
    <n v="209.29999999999998"/>
    <x v="25"/>
    <d v="2025-01-28T00:00:00"/>
    <x v="1"/>
    <x v="4"/>
    <x v="2"/>
    <x v="0"/>
    <x v="3"/>
    <x v="1"/>
    <x v="4"/>
    <x v="1"/>
  </r>
  <r>
    <x v="596"/>
    <x v="5"/>
    <x v="1"/>
    <n v="50.4"/>
    <n v="100.8"/>
    <x v="25"/>
    <d v="2025-01-27T00:00:00"/>
    <x v="2"/>
    <x v="2"/>
    <x v="0"/>
    <x v="0"/>
    <x v="3"/>
    <x v="3"/>
    <x v="4"/>
    <x v="2"/>
  </r>
  <r>
    <x v="597"/>
    <x v="2"/>
    <x v="0"/>
    <n v="85.8"/>
    <n v="85.8"/>
    <x v="25"/>
    <d v="2025-01-26T00:00:00"/>
    <x v="2"/>
    <x v="2"/>
    <x v="2"/>
    <x v="0"/>
    <x v="3"/>
    <x v="7"/>
    <x v="4"/>
    <x v="2"/>
  </r>
  <r>
    <x v="598"/>
    <x v="4"/>
    <x v="27"/>
    <n v="66.599999999999994"/>
    <n v="1065.5999999999999"/>
    <x v="25"/>
    <d v="2025-01-28T00:00:00"/>
    <x v="1"/>
    <x v="1"/>
    <x v="0"/>
    <x v="0"/>
    <x v="3"/>
    <x v="1"/>
    <x v="4"/>
    <x v="1"/>
  </r>
  <r>
    <x v="599"/>
    <x v="6"/>
    <x v="12"/>
    <n v="70.3"/>
    <n v="281.2"/>
    <x v="25"/>
    <d v="2025-01-27T00:00:00"/>
    <x v="2"/>
    <x v="0"/>
    <x v="1"/>
    <x v="0"/>
    <x v="3"/>
    <x v="3"/>
    <x v="4"/>
    <x v="2"/>
  </r>
  <r>
    <x v="600"/>
    <x v="8"/>
    <x v="12"/>
    <n v="31"/>
    <n v="124"/>
    <x v="25"/>
    <d v="2025-01-29T00:00:00"/>
    <x v="1"/>
    <x v="0"/>
    <x v="2"/>
    <x v="0"/>
    <x v="3"/>
    <x v="2"/>
    <x v="4"/>
    <x v="1"/>
  </r>
  <r>
    <x v="601"/>
    <x v="7"/>
    <x v="13"/>
    <n v="81.599999999999994"/>
    <n v="489.59999999999997"/>
    <x v="25"/>
    <d v="2025-01-27T00:00:00"/>
    <x v="2"/>
    <x v="1"/>
    <x v="1"/>
    <x v="0"/>
    <x v="37"/>
    <x v="3"/>
    <x v="4"/>
    <x v="2"/>
  </r>
  <r>
    <x v="602"/>
    <x v="1"/>
    <x v="30"/>
    <n v="58.3"/>
    <n v="1457.5"/>
    <x v="25"/>
    <d v="2025-01-27T00:00:00"/>
    <x v="2"/>
    <x v="0"/>
    <x v="0"/>
    <x v="0"/>
    <x v="16"/>
    <x v="3"/>
    <x v="4"/>
    <x v="2"/>
  </r>
  <r>
    <x v="603"/>
    <x v="1"/>
    <x v="12"/>
    <n v="35.1"/>
    <n v="140.4"/>
    <x v="25"/>
    <d v="2025-01-28T00:00:00"/>
    <x v="1"/>
    <x v="0"/>
    <x v="2"/>
    <x v="0"/>
    <x v="8"/>
    <x v="1"/>
    <x v="4"/>
    <x v="1"/>
  </r>
  <r>
    <x v="604"/>
    <x v="2"/>
    <x v="0"/>
    <n v="80.2"/>
    <n v="80.2"/>
    <x v="25"/>
    <d v="2025-01-27T00:00:00"/>
    <x v="1"/>
    <x v="3"/>
    <x v="2"/>
    <x v="0"/>
    <x v="8"/>
    <x v="3"/>
    <x v="4"/>
    <x v="1"/>
  </r>
  <r>
    <x v="605"/>
    <x v="14"/>
    <x v="2"/>
    <n v="39.200000000000003"/>
    <n v="117.60000000000001"/>
    <x v="25"/>
    <d v="2025-01-28T00:00:00"/>
    <x v="2"/>
    <x v="1"/>
    <x v="0"/>
    <x v="0"/>
    <x v="9"/>
    <x v="1"/>
    <x v="4"/>
    <x v="2"/>
  </r>
  <r>
    <x v="606"/>
    <x v="0"/>
    <x v="1"/>
    <n v="15.4"/>
    <n v="30.8"/>
    <x v="25"/>
    <d v="2025-01-26T00:00:00"/>
    <x v="2"/>
    <x v="3"/>
    <x v="0"/>
    <x v="0"/>
    <x v="48"/>
    <x v="7"/>
    <x v="4"/>
    <x v="2"/>
  </r>
  <r>
    <x v="607"/>
    <x v="3"/>
    <x v="2"/>
    <n v="65.400000000000006"/>
    <n v="196.20000000000002"/>
    <x v="25"/>
    <d v="2025-01-29T00:00:00"/>
    <x v="1"/>
    <x v="3"/>
    <x v="0"/>
    <x v="0"/>
    <x v="18"/>
    <x v="2"/>
    <x v="4"/>
    <x v="1"/>
  </r>
  <r>
    <x v="608"/>
    <x v="1"/>
    <x v="8"/>
    <n v="63.2"/>
    <n v="505.6"/>
    <x v="25"/>
    <d v="2025-01-28T00:00:00"/>
    <x v="2"/>
    <x v="1"/>
    <x v="0"/>
    <x v="0"/>
    <x v="19"/>
    <x v="1"/>
    <x v="4"/>
    <x v="2"/>
  </r>
  <r>
    <x v="609"/>
    <x v="1"/>
    <x v="13"/>
    <n v="35.700000000000003"/>
    <n v="214.20000000000002"/>
    <x v="25"/>
    <d v="2025-01-30T00:00:00"/>
    <x v="2"/>
    <x v="4"/>
    <x v="1"/>
    <x v="0"/>
    <x v="19"/>
    <x v="5"/>
    <x v="4"/>
    <x v="2"/>
  </r>
  <r>
    <x v="610"/>
    <x v="0"/>
    <x v="28"/>
    <n v="26.2"/>
    <n v="524"/>
    <x v="25"/>
    <d v="2025-01-27T00:00:00"/>
    <x v="2"/>
    <x v="3"/>
    <x v="0"/>
    <x v="0"/>
    <x v="21"/>
    <x v="3"/>
    <x v="4"/>
    <x v="2"/>
  </r>
  <r>
    <x v="611"/>
    <x v="7"/>
    <x v="1"/>
    <n v="31"/>
    <n v="62"/>
    <x v="25"/>
    <d v="2025-01-27T00:00:00"/>
    <x v="2"/>
    <x v="0"/>
    <x v="2"/>
    <x v="0"/>
    <x v="1"/>
    <x v="3"/>
    <x v="4"/>
    <x v="2"/>
  </r>
  <r>
    <x v="612"/>
    <x v="8"/>
    <x v="12"/>
    <n v="37.700000000000003"/>
    <n v="150.80000000000001"/>
    <x v="25"/>
    <d v="2025-01-27T00:00:00"/>
    <x v="2"/>
    <x v="1"/>
    <x v="0"/>
    <x v="0"/>
    <x v="22"/>
    <x v="3"/>
    <x v="4"/>
    <x v="2"/>
  </r>
  <r>
    <x v="613"/>
    <x v="10"/>
    <x v="33"/>
    <n v="43.6"/>
    <n v="1482.4"/>
    <x v="25"/>
    <d v="2025-01-28T00:00:00"/>
    <x v="2"/>
    <x v="4"/>
    <x v="1"/>
    <x v="0"/>
    <x v="3"/>
    <x v="1"/>
    <x v="4"/>
    <x v="2"/>
  </r>
  <r>
    <x v="614"/>
    <x v="9"/>
    <x v="12"/>
    <n v="26.5"/>
    <n v="106"/>
    <x v="25"/>
    <d v="2025-01-28T00:00:00"/>
    <x v="1"/>
    <x v="0"/>
    <x v="4"/>
    <x v="0"/>
    <x v="3"/>
    <x v="1"/>
    <x v="4"/>
    <x v="1"/>
  </r>
  <r>
    <x v="615"/>
    <x v="0"/>
    <x v="1"/>
    <n v="34.6"/>
    <n v="69.2"/>
    <x v="25"/>
    <d v="2025-01-27T00:00:00"/>
    <x v="1"/>
    <x v="4"/>
    <x v="1"/>
    <x v="0"/>
    <x v="3"/>
    <x v="3"/>
    <x v="4"/>
    <x v="1"/>
  </r>
  <r>
    <x v="616"/>
    <x v="8"/>
    <x v="1"/>
    <n v="58.2"/>
    <n v="116.4"/>
    <x v="25"/>
    <d v="2025-01-27T00:00:00"/>
    <x v="1"/>
    <x v="2"/>
    <x v="2"/>
    <x v="0"/>
    <x v="3"/>
    <x v="3"/>
    <x v="4"/>
    <x v="1"/>
  </r>
  <r>
    <x v="617"/>
    <x v="7"/>
    <x v="0"/>
    <n v="30.2"/>
    <n v="30.2"/>
    <x v="26"/>
    <d v="2025-01-28T00:00:00"/>
    <x v="2"/>
    <x v="2"/>
    <x v="1"/>
    <x v="0"/>
    <x v="3"/>
    <x v="3"/>
    <x v="4"/>
    <x v="2"/>
  </r>
  <r>
    <x v="618"/>
    <x v="1"/>
    <x v="7"/>
    <n v="53.2"/>
    <n v="532"/>
    <x v="26"/>
    <d v="2025-01-28T00:00:00"/>
    <x v="1"/>
    <x v="0"/>
    <x v="2"/>
    <x v="0"/>
    <x v="5"/>
    <x v="3"/>
    <x v="4"/>
    <x v="1"/>
  </r>
  <r>
    <x v="619"/>
    <x v="12"/>
    <x v="13"/>
    <n v="51.1"/>
    <n v="306.60000000000002"/>
    <x v="26"/>
    <d v="2025-01-27T00:00:00"/>
    <x v="1"/>
    <x v="1"/>
    <x v="2"/>
    <x v="0"/>
    <x v="5"/>
    <x v="7"/>
    <x v="4"/>
    <x v="1"/>
  </r>
  <r>
    <x v="620"/>
    <x v="1"/>
    <x v="0"/>
    <n v="105.4"/>
    <n v="105.4"/>
    <x v="26"/>
    <d v="2025-01-31T00:00:00"/>
    <x v="2"/>
    <x v="1"/>
    <x v="2"/>
    <x v="0"/>
    <x v="23"/>
    <x v="5"/>
    <x v="4"/>
    <x v="2"/>
  </r>
  <r>
    <x v="621"/>
    <x v="7"/>
    <x v="0"/>
    <n v="57.7"/>
    <n v="57.7"/>
    <x v="26"/>
    <d v="2025-01-27T00:00:00"/>
    <x v="1"/>
    <x v="0"/>
    <x v="4"/>
    <x v="0"/>
    <x v="8"/>
    <x v="7"/>
    <x v="4"/>
    <x v="1"/>
  </r>
  <r>
    <x v="622"/>
    <x v="15"/>
    <x v="1"/>
    <n v="72.400000000000006"/>
    <n v="144.80000000000001"/>
    <x v="26"/>
    <d v="2025-02-01T00:00:00"/>
    <x v="2"/>
    <x v="0"/>
    <x v="0"/>
    <x v="0"/>
    <x v="17"/>
    <x v="0"/>
    <x v="4"/>
    <x v="2"/>
  </r>
  <r>
    <x v="623"/>
    <x v="6"/>
    <x v="1"/>
    <n v="62.5"/>
    <n v="125"/>
    <x v="26"/>
    <d v="2025-01-28T00:00:00"/>
    <x v="0"/>
    <x v="0"/>
    <x v="2"/>
    <x v="0"/>
    <x v="11"/>
    <x v="3"/>
    <x v="4"/>
    <x v="0"/>
  </r>
  <r>
    <x v="624"/>
    <x v="0"/>
    <x v="32"/>
    <n v="11.6"/>
    <n v="255.2"/>
    <x v="26"/>
    <d v="2025-01-29T00:00:00"/>
    <x v="2"/>
    <x v="3"/>
    <x v="2"/>
    <x v="0"/>
    <x v="18"/>
    <x v="1"/>
    <x v="4"/>
    <x v="2"/>
  </r>
  <r>
    <x v="625"/>
    <x v="10"/>
    <x v="7"/>
    <n v="39.6"/>
    <n v="396"/>
    <x v="26"/>
    <d v="2025-01-29T00:00:00"/>
    <x v="2"/>
    <x v="2"/>
    <x v="2"/>
    <x v="0"/>
    <x v="18"/>
    <x v="1"/>
    <x v="4"/>
    <x v="2"/>
  </r>
  <r>
    <x v="626"/>
    <x v="8"/>
    <x v="1"/>
    <n v="40.1"/>
    <n v="80.2"/>
    <x v="26"/>
    <d v="2025-01-28T00:00:00"/>
    <x v="2"/>
    <x v="2"/>
    <x v="0"/>
    <x v="0"/>
    <x v="18"/>
    <x v="3"/>
    <x v="4"/>
    <x v="2"/>
  </r>
  <r>
    <x v="627"/>
    <x v="8"/>
    <x v="2"/>
    <n v="18.600000000000001"/>
    <n v="55.800000000000004"/>
    <x v="26"/>
    <d v="2025-01-28T00:00:00"/>
    <x v="2"/>
    <x v="2"/>
    <x v="0"/>
    <x v="0"/>
    <x v="21"/>
    <x v="3"/>
    <x v="4"/>
    <x v="2"/>
  </r>
  <r>
    <x v="628"/>
    <x v="4"/>
    <x v="0"/>
    <n v="58.8"/>
    <n v="58.8"/>
    <x v="26"/>
    <d v="2025-01-29T00:00:00"/>
    <x v="2"/>
    <x v="0"/>
    <x v="1"/>
    <x v="0"/>
    <x v="21"/>
    <x v="1"/>
    <x v="4"/>
    <x v="2"/>
  </r>
  <r>
    <x v="629"/>
    <x v="8"/>
    <x v="1"/>
    <n v="22.1"/>
    <n v="44.2"/>
    <x v="26"/>
    <d v="2025-01-30T00:00:00"/>
    <x v="1"/>
    <x v="1"/>
    <x v="2"/>
    <x v="0"/>
    <x v="21"/>
    <x v="2"/>
    <x v="4"/>
    <x v="1"/>
  </r>
  <r>
    <x v="630"/>
    <x v="2"/>
    <x v="0"/>
    <n v="114.9"/>
    <n v="114.9"/>
    <x v="27"/>
    <d v="2025-01-29T00:00:00"/>
    <x v="2"/>
    <x v="1"/>
    <x v="1"/>
    <x v="0"/>
    <x v="22"/>
    <x v="3"/>
    <x v="4"/>
    <x v="2"/>
  </r>
  <r>
    <x v="631"/>
    <x v="9"/>
    <x v="9"/>
    <n v="75.8"/>
    <n v="379"/>
    <x v="27"/>
    <d v="2025-01-29T00:00:00"/>
    <x v="1"/>
    <x v="0"/>
    <x v="2"/>
    <x v="0"/>
    <x v="3"/>
    <x v="3"/>
    <x v="4"/>
    <x v="1"/>
  </r>
  <r>
    <x v="632"/>
    <x v="14"/>
    <x v="9"/>
    <n v="20.6"/>
    <n v="103"/>
    <x v="27"/>
    <d v="2025-01-29T00:00:00"/>
    <x v="1"/>
    <x v="2"/>
    <x v="2"/>
    <x v="0"/>
    <x v="3"/>
    <x v="3"/>
    <x v="4"/>
    <x v="1"/>
  </r>
  <r>
    <x v="633"/>
    <x v="17"/>
    <x v="2"/>
    <n v="67.900000000000006"/>
    <n v="203.70000000000002"/>
    <x v="27"/>
    <d v="2025-01-29T00:00:00"/>
    <x v="2"/>
    <x v="1"/>
    <x v="1"/>
    <x v="0"/>
    <x v="3"/>
    <x v="3"/>
    <x v="4"/>
    <x v="2"/>
  </r>
  <r>
    <x v="634"/>
    <x v="0"/>
    <x v="9"/>
    <n v="27"/>
    <n v="135"/>
    <x v="27"/>
    <d v="2025-02-04T00:00:00"/>
    <x v="2"/>
    <x v="0"/>
    <x v="2"/>
    <x v="0"/>
    <x v="3"/>
    <x v="6"/>
    <x v="4"/>
    <x v="2"/>
  </r>
  <r>
    <x v="635"/>
    <x v="13"/>
    <x v="0"/>
    <n v="50.6"/>
    <n v="50.6"/>
    <x v="27"/>
    <d v="2025-01-28T00:00:00"/>
    <x v="1"/>
    <x v="0"/>
    <x v="1"/>
    <x v="0"/>
    <x v="3"/>
    <x v="7"/>
    <x v="4"/>
    <x v="1"/>
  </r>
  <r>
    <x v="636"/>
    <x v="4"/>
    <x v="9"/>
    <n v="22.1"/>
    <n v="110.5"/>
    <x v="27"/>
    <d v="2025-02-02T00:00:00"/>
    <x v="1"/>
    <x v="0"/>
    <x v="0"/>
    <x v="0"/>
    <x v="3"/>
    <x v="0"/>
    <x v="4"/>
    <x v="1"/>
  </r>
  <r>
    <x v="637"/>
    <x v="8"/>
    <x v="2"/>
    <n v="42.9"/>
    <n v="128.69999999999999"/>
    <x v="27"/>
    <d v="2025-01-30T00:00:00"/>
    <x v="2"/>
    <x v="0"/>
    <x v="0"/>
    <x v="0"/>
    <x v="3"/>
    <x v="1"/>
    <x v="4"/>
    <x v="2"/>
  </r>
  <r>
    <x v="638"/>
    <x v="1"/>
    <x v="5"/>
    <n v="62.4"/>
    <n v="686.4"/>
    <x v="27"/>
    <d v="2025-01-30T00:00:00"/>
    <x v="2"/>
    <x v="2"/>
    <x v="0"/>
    <x v="0"/>
    <x v="3"/>
    <x v="1"/>
    <x v="4"/>
    <x v="2"/>
  </r>
  <r>
    <x v="639"/>
    <x v="13"/>
    <x v="11"/>
    <n v="36.4"/>
    <n v="327.59999999999997"/>
    <x v="27"/>
    <d v="2025-01-30T00:00:00"/>
    <x v="2"/>
    <x v="0"/>
    <x v="2"/>
    <x v="0"/>
    <x v="3"/>
    <x v="1"/>
    <x v="4"/>
    <x v="2"/>
  </r>
  <r>
    <x v="640"/>
    <x v="0"/>
    <x v="1"/>
    <n v="22.5"/>
    <n v="45"/>
    <x v="27"/>
    <d v="2025-01-31T00:00:00"/>
    <x v="1"/>
    <x v="0"/>
    <x v="0"/>
    <x v="0"/>
    <x v="3"/>
    <x v="2"/>
    <x v="4"/>
    <x v="1"/>
  </r>
  <r>
    <x v="641"/>
    <x v="6"/>
    <x v="12"/>
    <n v="70.8"/>
    <n v="283.2"/>
    <x v="27"/>
    <d v="2025-01-30T00:00:00"/>
    <x v="2"/>
    <x v="4"/>
    <x v="0"/>
    <x v="0"/>
    <x v="3"/>
    <x v="1"/>
    <x v="4"/>
    <x v="2"/>
  </r>
  <r>
    <x v="642"/>
    <x v="6"/>
    <x v="9"/>
    <n v="56.6"/>
    <n v="283"/>
    <x v="27"/>
    <d v="2025-01-30T00:00:00"/>
    <x v="1"/>
    <x v="0"/>
    <x v="1"/>
    <x v="0"/>
    <x v="4"/>
    <x v="1"/>
    <x v="4"/>
    <x v="1"/>
  </r>
  <r>
    <x v="643"/>
    <x v="6"/>
    <x v="1"/>
    <n v="47.9"/>
    <n v="95.8"/>
    <x v="27"/>
    <d v="2025-01-29T00:00:00"/>
    <x v="2"/>
    <x v="0"/>
    <x v="0"/>
    <x v="0"/>
    <x v="6"/>
    <x v="3"/>
    <x v="4"/>
    <x v="2"/>
  </r>
  <r>
    <x v="644"/>
    <x v="6"/>
    <x v="8"/>
    <n v="78.400000000000006"/>
    <n v="627.20000000000005"/>
    <x v="27"/>
    <d v="2025-01-30T00:00:00"/>
    <x v="2"/>
    <x v="1"/>
    <x v="0"/>
    <x v="0"/>
    <x v="6"/>
    <x v="1"/>
    <x v="4"/>
    <x v="2"/>
  </r>
  <r>
    <x v="645"/>
    <x v="2"/>
    <x v="21"/>
    <n v="122.1"/>
    <n v="1709.3999999999999"/>
    <x v="27"/>
    <d v="2025-02-02T00:00:00"/>
    <x v="2"/>
    <x v="0"/>
    <x v="2"/>
    <x v="0"/>
    <x v="6"/>
    <x v="0"/>
    <x v="4"/>
    <x v="2"/>
  </r>
  <r>
    <x v="646"/>
    <x v="2"/>
    <x v="1"/>
    <n v="83.7"/>
    <n v="167.4"/>
    <x v="28"/>
    <d v="2025-01-29T00:00:00"/>
    <x v="0"/>
    <x v="1"/>
    <x v="2"/>
    <x v="0"/>
    <x v="7"/>
    <x v="7"/>
    <x v="4"/>
    <x v="0"/>
  </r>
  <r>
    <x v="647"/>
    <x v="3"/>
    <x v="12"/>
    <n v="97.9"/>
    <n v="391.6"/>
    <x v="28"/>
    <d v="2025-02-02T00:00:00"/>
    <x v="2"/>
    <x v="3"/>
    <x v="2"/>
    <x v="0"/>
    <x v="7"/>
    <x v="5"/>
    <x v="4"/>
    <x v="2"/>
  </r>
  <r>
    <x v="648"/>
    <x v="14"/>
    <x v="0"/>
    <n v="15"/>
    <n v="15"/>
    <x v="28"/>
    <d v="2025-02-03T00:00:00"/>
    <x v="2"/>
    <x v="3"/>
    <x v="0"/>
    <x v="0"/>
    <x v="8"/>
    <x v="0"/>
    <x v="4"/>
    <x v="2"/>
  </r>
  <r>
    <x v="649"/>
    <x v="12"/>
    <x v="2"/>
    <n v="94.6"/>
    <n v="283.79999999999995"/>
    <x v="28"/>
    <d v="2025-01-30T00:00:00"/>
    <x v="1"/>
    <x v="2"/>
    <x v="1"/>
    <x v="0"/>
    <x v="8"/>
    <x v="3"/>
    <x v="4"/>
    <x v="1"/>
  </r>
  <r>
    <x v="650"/>
    <x v="0"/>
    <x v="13"/>
    <n v="19.7"/>
    <n v="118.19999999999999"/>
    <x v="28"/>
    <d v="2025-02-09T00:00:00"/>
    <x v="2"/>
    <x v="0"/>
    <x v="2"/>
    <x v="0"/>
    <x v="8"/>
    <x v="11"/>
    <x v="4"/>
    <x v="2"/>
  </r>
  <r>
    <x v="651"/>
    <x v="7"/>
    <x v="0"/>
    <n v="46.7"/>
    <n v="46.7"/>
    <x v="28"/>
    <d v="2025-02-01T00:00:00"/>
    <x v="2"/>
    <x v="2"/>
    <x v="0"/>
    <x v="0"/>
    <x v="17"/>
    <x v="2"/>
    <x v="4"/>
    <x v="2"/>
  </r>
  <r>
    <x v="652"/>
    <x v="1"/>
    <x v="12"/>
    <n v="43"/>
    <n v="172"/>
    <x v="28"/>
    <d v="2025-01-30T00:00:00"/>
    <x v="1"/>
    <x v="2"/>
    <x v="2"/>
    <x v="0"/>
    <x v="17"/>
    <x v="3"/>
    <x v="4"/>
    <x v="1"/>
  </r>
  <r>
    <x v="653"/>
    <x v="6"/>
    <x v="2"/>
    <n v="68.2"/>
    <n v="204.60000000000002"/>
    <x v="28"/>
    <d v="2025-02-04T00:00:00"/>
    <x v="2"/>
    <x v="0"/>
    <x v="0"/>
    <x v="0"/>
    <x v="9"/>
    <x v="4"/>
    <x v="4"/>
    <x v="2"/>
  </r>
  <r>
    <x v="654"/>
    <x v="10"/>
    <x v="7"/>
    <n v="24.3"/>
    <n v="243"/>
    <x v="28"/>
    <d v="2025-01-30T00:00:00"/>
    <x v="1"/>
    <x v="0"/>
    <x v="2"/>
    <x v="0"/>
    <x v="10"/>
    <x v="3"/>
    <x v="4"/>
    <x v="1"/>
  </r>
  <r>
    <x v="655"/>
    <x v="7"/>
    <x v="1"/>
    <n v="86.8"/>
    <n v="173.6"/>
    <x v="28"/>
    <d v="2025-02-02T00:00:00"/>
    <x v="2"/>
    <x v="4"/>
    <x v="2"/>
    <x v="0"/>
    <x v="11"/>
    <x v="5"/>
    <x v="4"/>
    <x v="2"/>
  </r>
  <r>
    <x v="656"/>
    <x v="0"/>
    <x v="1"/>
    <n v="15.8"/>
    <n v="31.6"/>
    <x v="28"/>
    <d v="2025-01-31T00:00:00"/>
    <x v="1"/>
    <x v="1"/>
    <x v="0"/>
    <x v="0"/>
    <x v="11"/>
    <x v="1"/>
    <x v="4"/>
    <x v="1"/>
  </r>
  <r>
    <x v="657"/>
    <x v="2"/>
    <x v="12"/>
    <n v="61.6"/>
    <n v="246.4"/>
    <x v="28"/>
    <d v="2025-01-30T00:00:00"/>
    <x v="1"/>
    <x v="2"/>
    <x v="0"/>
    <x v="0"/>
    <x v="11"/>
    <x v="3"/>
    <x v="4"/>
    <x v="1"/>
  </r>
  <r>
    <x v="658"/>
    <x v="6"/>
    <x v="2"/>
    <n v="48.7"/>
    <n v="146.10000000000002"/>
    <x v="28"/>
    <d v="2025-02-04T00:00:00"/>
    <x v="2"/>
    <x v="1"/>
    <x v="2"/>
    <x v="0"/>
    <x v="45"/>
    <x v="4"/>
    <x v="4"/>
    <x v="2"/>
  </r>
  <r>
    <x v="659"/>
    <x v="8"/>
    <x v="12"/>
    <n v="24.3"/>
    <n v="97.2"/>
    <x v="28"/>
    <d v="2025-01-31T00:00:00"/>
    <x v="2"/>
    <x v="1"/>
    <x v="2"/>
    <x v="0"/>
    <x v="21"/>
    <x v="1"/>
    <x v="4"/>
    <x v="2"/>
  </r>
  <r>
    <x v="660"/>
    <x v="2"/>
    <x v="1"/>
    <n v="130.69999999999999"/>
    <n v="261.39999999999998"/>
    <x v="28"/>
    <d v="2025-01-30T00:00:00"/>
    <x v="2"/>
    <x v="2"/>
    <x v="0"/>
    <x v="0"/>
    <x v="44"/>
    <x v="3"/>
    <x v="4"/>
    <x v="2"/>
  </r>
  <r>
    <x v="661"/>
    <x v="10"/>
    <x v="0"/>
    <n v="26"/>
    <n v="26"/>
    <x v="28"/>
    <d v="2025-01-31T00:00:00"/>
    <x v="1"/>
    <x v="0"/>
    <x v="0"/>
    <x v="0"/>
    <x v="3"/>
    <x v="1"/>
    <x v="4"/>
    <x v="1"/>
  </r>
  <r>
    <x v="662"/>
    <x v="2"/>
    <x v="9"/>
    <n v="94.4"/>
    <n v="472"/>
    <x v="28"/>
    <d v="2025-01-30T00:00:00"/>
    <x v="2"/>
    <x v="0"/>
    <x v="0"/>
    <x v="0"/>
    <x v="3"/>
    <x v="3"/>
    <x v="4"/>
    <x v="2"/>
  </r>
  <r>
    <x v="663"/>
    <x v="0"/>
    <x v="13"/>
    <n v="23.7"/>
    <n v="142.19999999999999"/>
    <x v="28"/>
    <d v="2025-01-31T00:00:00"/>
    <x v="1"/>
    <x v="2"/>
    <x v="2"/>
    <x v="0"/>
    <x v="3"/>
    <x v="1"/>
    <x v="4"/>
    <x v="1"/>
  </r>
  <r>
    <x v="664"/>
    <x v="9"/>
    <x v="4"/>
    <n v="37.4"/>
    <n v="448.79999999999995"/>
    <x v="28"/>
    <d v="2025-01-31T00:00:00"/>
    <x v="1"/>
    <x v="2"/>
    <x v="0"/>
    <x v="0"/>
    <x v="3"/>
    <x v="1"/>
    <x v="4"/>
    <x v="1"/>
  </r>
  <r>
    <x v="665"/>
    <x v="1"/>
    <x v="34"/>
    <n v="55.2"/>
    <n v="1987.2"/>
    <x v="28"/>
    <d v="2025-01-29T00:00:00"/>
    <x v="2"/>
    <x v="3"/>
    <x v="1"/>
    <x v="0"/>
    <x v="3"/>
    <x v="7"/>
    <x v="4"/>
    <x v="2"/>
  </r>
  <r>
    <x v="666"/>
    <x v="2"/>
    <x v="11"/>
    <n v="57.1"/>
    <n v="513.9"/>
    <x v="28"/>
    <d v="2025-01-31T00:00:00"/>
    <x v="1"/>
    <x v="0"/>
    <x v="2"/>
    <x v="0"/>
    <x v="3"/>
    <x v="1"/>
    <x v="4"/>
    <x v="1"/>
  </r>
  <r>
    <x v="667"/>
    <x v="12"/>
    <x v="0"/>
    <n v="55.3"/>
    <n v="55.3"/>
    <x v="28"/>
    <d v="2025-01-30T00:00:00"/>
    <x v="2"/>
    <x v="2"/>
    <x v="2"/>
    <x v="0"/>
    <x v="3"/>
    <x v="3"/>
    <x v="4"/>
    <x v="2"/>
  </r>
  <r>
    <x v="668"/>
    <x v="15"/>
    <x v="3"/>
    <n v="23.9"/>
    <n v="167.29999999999998"/>
    <x v="28"/>
    <d v="2025-01-30T00:00:00"/>
    <x v="2"/>
    <x v="4"/>
    <x v="1"/>
    <x v="0"/>
    <x v="3"/>
    <x v="3"/>
    <x v="4"/>
    <x v="2"/>
  </r>
  <r>
    <x v="669"/>
    <x v="0"/>
    <x v="0"/>
    <n v="34.1"/>
    <n v="34.1"/>
    <x v="28"/>
    <d v="2025-02-05T00:00:00"/>
    <x v="2"/>
    <x v="2"/>
    <x v="0"/>
    <x v="0"/>
    <x v="3"/>
    <x v="6"/>
    <x v="4"/>
    <x v="2"/>
  </r>
  <r>
    <x v="670"/>
    <x v="12"/>
    <x v="12"/>
    <n v="38.5"/>
    <n v="154"/>
    <x v="28"/>
    <d v="2025-02-09T00:00:00"/>
    <x v="2"/>
    <x v="0"/>
    <x v="0"/>
    <x v="0"/>
    <x v="3"/>
    <x v="11"/>
    <x v="4"/>
    <x v="2"/>
  </r>
  <r>
    <x v="671"/>
    <x v="7"/>
    <x v="1"/>
    <n v="105"/>
    <n v="210"/>
    <x v="28"/>
    <d v="2025-02-04T00:00:00"/>
    <x v="2"/>
    <x v="0"/>
    <x v="2"/>
    <x v="0"/>
    <x v="3"/>
    <x v="4"/>
    <x v="4"/>
    <x v="2"/>
  </r>
  <r>
    <x v="672"/>
    <x v="8"/>
    <x v="9"/>
    <n v="45.2"/>
    <n v="226"/>
    <x v="28"/>
    <d v="2025-01-31T00:00:00"/>
    <x v="2"/>
    <x v="0"/>
    <x v="2"/>
    <x v="0"/>
    <x v="3"/>
    <x v="1"/>
    <x v="4"/>
    <x v="2"/>
  </r>
  <r>
    <x v="673"/>
    <x v="17"/>
    <x v="2"/>
    <n v="24.8"/>
    <n v="74.400000000000006"/>
    <x v="28"/>
    <d v="2025-01-29T00:00:00"/>
    <x v="0"/>
    <x v="0"/>
    <x v="1"/>
    <x v="0"/>
    <x v="3"/>
    <x v="7"/>
    <x v="4"/>
    <x v="0"/>
  </r>
  <r>
    <x v="674"/>
    <x v="11"/>
    <x v="12"/>
    <n v="43.8"/>
    <n v="175.2"/>
    <x v="28"/>
    <d v="2025-02-05T00:00:00"/>
    <x v="2"/>
    <x v="1"/>
    <x v="2"/>
    <x v="0"/>
    <x v="6"/>
    <x v="6"/>
    <x v="4"/>
    <x v="2"/>
  </r>
  <r>
    <x v="675"/>
    <x v="1"/>
    <x v="0"/>
    <n v="75"/>
    <n v="75"/>
    <x v="28"/>
    <d v="2025-01-31T00:00:00"/>
    <x v="2"/>
    <x v="4"/>
    <x v="1"/>
    <x v="0"/>
    <x v="6"/>
    <x v="1"/>
    <x v="4"/>
    <x v="2"/>
  </r>
  <r>
    <x v="676"/>
    <x v="2"/>
    <x v="0"/>
    <n v="169.9"/>
    <n v="169.9"/>
    <x v="28"/>
    <d v="2025-01-30T00:00:00"/>
    <x v="1"/>
    <x v="2"/>
    <x v="0"/>
    <x v="0"/>
    <x v="6"/>
    <x v="3"/>
    <x v="4"/>
    <x v="1"/>
  </r>
  <r>
    <x v="677"/>
    <x v="9"/>
    <x v="1"/>
    <n v="72.2"/>
    <n v="144.4"/>
    <x v="28"/>
    <d v="2025-01-31T00:00:00"/>
    <x v="2"/>
    <x v="4"/>
    <x v="1"/>
    <x v="0"/>
    <x v="6"/>
    <x v="1"/>
    <x v="4"/>
    <x v="2"/>
  </r>
  <r>
    <x v="678"/>
    <x v="0"/>
    <x v="0"/>
    <n v="20"/>
    <n v="20"/>
    <x v="29"/>
    <d v="2025-02-02T00:00:00"/>
    <x v="2"/>
    <x v="2"/>
    <x v="1"/>
    <x v="0"/>
    <x v="7"/>
    <x v="2"/>
    <x v="4"/>
    <x v="2"/>
  </r>
  <r>
    <x v="679"/>
    <x v="9"/>
    <x v="1"/>
    <n v="40.799999999999997"/>
    <n v="81.599999999999994"/>
    <x v="29"/>
    <d v="2025-02-01T00:00:00"/>
    <x v="2"/>
    <x v="3"/>
    <x v="2"/>
    <x v="0"/>
    <x v="8"/>
    <x v="1"/>
    <x v="4"/>
    <x v="2"/>
  </r>
  <r>
    <x v="680"/>
    <x v="10"/>
    <x v="12"/>
    <n v="58"/>
    <n v="232"/>
    <x v="29"/>
    <d v="2025-02-03T00:00:00"/>
    <x v="2"/>
    <x v="0"/>
    <x v="0"/>
    <x v="0"/>
    <x v="8"/>
    <x v="5"/>
    <x v="4"/>
    <x v="2"/>
  </r>
  <r>
    <x v="681"/>
    <x v="12"/>
    <x v="1"/>
    <n v="43.1"/>
    <n v="86.2"/>
    <x v="29"/>
    <d v="2025-01-31T00:00:00"/>
    <x v="2"/>
    <x v="1"/>
    <x v="2"/>
    <x v="0"/>
    <x v="8"/>
    <x v="3"/>
    <x v="4"/>
    <x v="2"/>
  </r>
  <r>
    <x v="682"/>
    <x v="6"/>
    <x v="11"/>
    <n v="74.7"/>
    <n v="672.30000000000007"/>
    <x v="29"/>
    <d v="2025-02-01T00:00:00"/>
    <x v="1"/>
    <x v="0"/>
    <x v="2"/>
    <x v="0"/>
    <x v="8"/>
    <x v="1"/>
    <x v="4"/>
    <x v="1"/>
  </r>
  <r>
    <x v="683"/>
    <x v="6"/>
    <x v="0"/>
    <n v="128.19999999999999"/>
    <n v="128.19999999999999"/>
    <x v="29"/>
    <d v="2025-01-30T00:00:00"/>
    <x v="1"/>
    <x v="1"/>
    <x v="0"/>
    <x v="0"/>
    <x v="8"/>
    <x v="7"/>
    <x v="4"/>
    <x v="1"/>
  </r>
  <r>
    <x v="684"/>
    <x v="14"/>
    <x v="12"/>
    <n v="26.7"/>
    <n v="106.8"/>
    <x v="29"/>
    <d v="2025-01-31T00:00:00"/>
    <x v="1"/>
    <x v="1"/>
    <x v="0"/>
    <x v="0"/>
    <x v="8"/>
    <x v="3"/>
    <x v="4"/>
    <x v="1"/>
  </r>
  <r>
    <x v="685"/>
    <x v="17"/>
    <x v="13"/>
    <n v="31.5"/>
    <n v="189"/>
    <x v="29"/>
    <d v="2025-01-31T00:00:00"/>
    <x v="2"/>
    <x v="2"/>
    <x v="0"/>
    <x v="0"/>
    <x v="17"/>
    <x v="3"/>
    <x v="4"/>
    <x v="2"/>
  </r>
  <r>
    <x v="686"/>
    <x v="3"/>
    <x v="3"/>
    <n v="64.7"/>
    <n v="452.90000000000003"/>
    <x v="29"/>
    <d v="2025-01-31T00:00:00"/>
    <x v="2"/>
    <x v="0"/>
    <x v="2"/>
    <x v="0"/>
    <x v="9"/>
    <x v="3"/>
    <x v="4"/>
    <x v="2"/>
  </r>
  <r>
    <x v="687"/>
    <x v="5"/>
    <x v="1"/>
    <n v="55.6"/>
    <n v="111.2"/>
    <x v="29"/>
    <d v="2025-02-02T00:00:00"/>
    <x v="2"/>
    <x v="3"/>
    <x v="0"/>
    <x v="0"/>
    <x v="11"/>
    <x v="2"/>
    <x v="4"/>
    <x v="2"/>
  </r>
  <r>
    <x v="688"/>
    <x v="3"/>
    <x v="1"/>
    <n v="36.200000000000003"/>
    <n v="72.400000000000006"/>
    <x v="29"/>
    <d v="2025-01-31T00:00:00"/>
    <x v="2"/>
    <x v="3"/>
    <x v="0"/>
    <x v="0"/>
    <x v="11"/>
    <x v="3"/>
    <x v="4"/>
    <x v="2"/>
  </r>
  <r>
    <x v="689"/>
    <x v="0"/>
    <x v="0"/>
    <n v="26.6"/>
    <n v="26.6"/>
    <x v="29"/>
    <d v="2025-01-31T00:00:00"/>
    <x v="0"/>
    <x v="1"/>
    <x v="1"/>
    <x v="0"/>
    <x v="19"/>
    <x v="3"/>
    <x v="4"/>
    <x v="0"/>
  </r>
  <r>
    <x v="690"/>
    <x v="10"/>
    <x v="12"/>
    <n v="31.5"/>
    <n v="126"/>
    <x v="29"/>
    <d v="2025-02-01T00:00:00"/>
    <x v="1"/>
    <x v="0"/>
    <x v="0"/>
    <x v="0"/>
    <x v="31"/>
    <x v="1"/>
    <x v="4"/>
    <x v="1"/>
  </r>
  <r>
    <x v="691"/>
    <x v="10"/>
    <x v="0"/>
    <n v="27"/>
    <n v="27"/>
    <x v="29"/>
    <d v="2025-02-01T00:00:00"/>
    <x v="2"/>
    <x v="1"/>
    <x v="2"/>
    <x v="0"/>
    <x v="13"/>
    <x v="1"/>
    <x v="4"/>
    <x v="2"/>
  </r>
  <r>
    <x v="692"/>
    <x v="4"/>
    <x v="0"/>
    <n v="32"/>
    <n v="32"/>
    <x v="29"/>
    <d v="2025-02-02T00:00:00"/>
    <x v="1"/>
    <x v="3"/>
    <x v="0"/>
    <x v="0"/>
    <x v="21"/>
    <x v="2"/>
    <x v="4"/>
    <x v="1"/>
  </r>
  <r>
    <x v="693"/>
    <x v="1"/>
    <x v="2"/>
    <n v="48.1"/>
    <n v="144.30000000000001"/>
    <x v="29"/>
    <d v="2025-02-01T00:00:00"/>
    <x v="1"/>
    <x v="2"/>
    <x v="1"/>
    <x v="0"/>
    <x v="1"/>
    <x v="1"/>
    <x v="4"/>
    <x v="1"/>
  </r>
  <r>
    <x v="694"/>
    <x v="9"/>
    <x v="1"/>
    <n v="43.4"/>
    <n v="86.8"/>
    <x v="29"/>
    <d v="2025-01-31T00:00:00"/>
    <x v="1"/>
    <x v="1"/>
    <x v="1"/>
    <x v="0"/>
    <x v="22"/>
    <x v="3"/>
    <x v="4"/>
    <x v="1"/>
  </r>
  <r>
    <x v="695"/>
    <x v="6"/>
    <x v="1"/>
    <n v="42.6"/>
    <n v="85.2"/>
    <x v="29"/>
    <d v="2025-02-02T00:00:00"/>
    <x v="2"/>
    <x v="3"/>
    <x v="0"/>
    <x v="0"/>
    <x v="22"/>
    <x v="2"/>
    <x v="4"/>
    <x v="2"/>
  </r>
  <r>
    <x v="696"/>
    <x v="8"/>
    <x v="1"/>
    <n v="15.9"/>
    <n v="31.8"/>
    <x v="29"/>
    <d v="2025-01-31T00:00:00"/>
    <x v="2"/>
    <x v="0"/>
    <x v="0"/>
    <x v="0"/>
    <x v="34"/>
    <x v="3"/>
    <x v="4"/>
    <x v="2"/>
  </r>
  <r>
    <x v="697"/>
    <x v="9"/>
    <x v="1"/>
    <n v="63.2"/>
    <n v="126.4"/>
    <x v="29"/>
    <d v="2025-01-31T00:00:00"/>
    <x v="1"/>
    <x v="1"/>
    <x v="0"/>
    <x v="0"/>
    <x v="3"/>
    <x v="3"/>
    <x v="4"/>
    <x v="1"/>
  </r>
  <r>
    <x v="698"/>
    <x v="7"/>
    <x v="12"/>
    <n v="64.8"/>
    <n v="259.2"/>
    <x v="29"/>
    <d v="2025-02-01T00:00:00"/>
    <x v="0"/>
    <x v="4"/>
    <x v="1"/>
    <x v="0"/>
    <x v="3"/>
    <x v="1"/>
    <x v="4"/>
    <x v="0"/>
  </r>
  <r>
    <x v="699"/>
    <x v="7"/>
    <x v="2"/>
    <n v="79.8"/>
    <n v="239.39999999999998"/>
    <x v="29"/>
    <d v="2025-01-31T00:00:00"/>
    <x v="1"/>
    <x v="0"/>
    <x v="0"/>
    <x v="0"/>
    <x v="3"/>
    <x v="3"/>
    <x v="4"/>
    <x v="1"/>
  </r>
  <r>
    <x v="700"/>
    <x v="9"/>
    <x v="0"/>
    <n v="54.4"/>
    <n v="54.4"/>
    <x v="29"/>
    <d v="2025-02-01T00:00:00"/>
    <x v="2"/>
    <x v="4"/>
    <x v="2"/>
    <x v="0"/>
    <x v="3"/>
    <x v="1"/>
    <x v="4"/>
    <x v="2"/>
  </r>
  <r>
    <x v="701"/>
    <x v="6"/>
    <x v="0"/>
    <n v="87.3"/>
    <n v="87.3"/>
    <x v="29"/>
    <d v="2025-01-31T00:00:00"/>
    <x v="1"/>
    <x v="1"/>
    <x v="0"/>
    <x v="0"/>
    <x v="3"/>
    <x v="3"/>
    <x v="4"/>
    <x v="1"/>
  </r>
  <r>
    <x v="702"/>
    <x v="8"/>
    <x v="12"/>
    <n v="32.4"/>
    <n v="129.6"/>
    <x v="29"/>
    <d v="2025-01-30T00:00:00"/>
    <x v="1"/>
    <x v="1"/>
    <x v="0"/>
    <x v="0"/>
    <x v="3"/>
    <x v="7"/>
    <x v="4"/>
    <x v="1"/>
  </r>
  <r>
    <x v="703"/>
    <x v="2"/>
    <x v="0"/>
    <n v="177.4"/>
    <n v="177.4"/>
    <x v="29"/>
    <d v="2025-02-03T00:00:00"/>
    <x v="1"/>
    <x v="0"/>
    <x v="2"/>
    <x v="0"/>
    <x v="3"/>
    <x v="5"/>
    <x v="4"/>
    <x v="1"/>
  </r>
  <r>
    <x v="704"/>
    <x v="7"/>
    <x v="1"/>
    <n v="70.099999999999994"/>
    <n v="140.19999999999999"/>
    <x v="29"/>
    <d v="2025-01-31T00:00:00"/>
    <x v="1"/>
    <x v="3"/>
    <x v="1"/>
    <x v="0"/>
    <x v="3"/>
    <x v="3"/>
    <x v="4"/>
    <x v="1"/>
  </r>
  <r>
    <x v="705"/>
    <x v="9"/>
    <x v="13"/>
    <n v="51.1"/>
    <n v="306.60000000000002"/>
    <x v="29"/>
    <d v="2025-01-31T00:00:00"/>
    <x v="2"/>
    <x v="0"/>
    <x v="0"/>
    <x v="0"/>
    <x v="3"/>
    <x v="3"/>
    <x v="4"/>
    <x v="2"/>
  </r>
  <r>
    <x v="706"/>
    <x v="2"/>
    <x v="9"/>
    <n v="79.900000000000006"/>
    <n v="399.5"/>
    <x v="29"/>
    <d v="2025-02-01T00:00:00"/>
    <x v="1"/>
    <x v="3"/>
    <x v="2"/>
    <x v="0"/>
    <x v="24"/>
    <x v="1"/>
    <x v="4"/>
    <x v="1"/>
  </r>
  <r>
    <x v="707"/>
    <x v="6"/>
    <x v="0"/>
    <n v="57.6"/>
    <n v="57.6"/>
    <x v="30"/>
    <d v="2025-02-05T00:00:00"/>
    <x v="1"/>
    <x v="0"/>
    <x v="2"/>
    <x v="0"/>
    <x v="49"/>
    <x v="0"/>
    <x v="4"/>
    <x v="1"/>
  </r>
  <r>
    <x v="708"/>
    <x v="8"/>
    <x v="7"/>
    <n v="59.7"/>
    <n v="597"/>
    <x v="30"/>
    <d v="2025-02-04T00:00:00"/>
    <x v="1"/>
    <x v="2"/>
    <x v="0"/>
    <x v="0"/>
    <x v="25"/>
    <x v="5"/>
    <x v="4"/>
    <x v="1"/>
  </r>
  <r>
    <x v="709"/>
    <x v="8"/>
    <x v="9"/>
    <n v="30"/>
    <n v="150"/>
    <x v="30"/>
    <d v="2025-02-02T00:00:00"/>
    <x v="1"/>
    <x v="1"/>
    <x v="0"/>
    <x v="0"/>
    <x v="6"/>
    <x v="1"/>
    <x v="4"/>
    <x v="1"/>
  </r>
  <r>
    <x v="710"/>
    <x v="10"/>
    <x v="1"/>
    <n v="69.2"/>
    <n v="138.4"/>
    <x v="30"/>
    <d v="2025-02-02T00:00:00"/>
    <x v="0"/>
    <x v="2"/>
    <x v="1"/>
    <x v="0"/>
    <x v="6"/>
    <x v="1"/>
    <x v="4"/>
    <x v="0"/>
  </r>
  <r>
    <x v="711"/>
    <x v="0"/>
    <x v="8"/>
    <n v="10.9"/>
    <n v="87.2"/>
    <x v="30"/>
    <d v="2025-02-01T00:00:00"/>
    <x v="2"/>
    <x v="0"/>
    <x v="2"/>
    <x v="0"/>
    <x v="6"/>
    <x v="3"/>
    <x v="4"/>
    <x v="2"/>
  </r>
  <r>
    <x v="712"/>
    <x v="16"/>
    <x v="1"/>
    <n v="48.6"/>
    <n v="97.2"/>
    <x v="30"/>
    <d v="2025-02-04T00:00:00"/>
    <x v="1"/>
    <x v="1"/>
    <x v="2"/>
    <x v="0"/>
    <x v="6"/>
    <x v="5"/>
    <x v="4"/>
    <x v="1"/>
  </r>
  <r>
    <x v="713"/>
    <x v="2"/>
    <x v="1"/>
    <n v="61.1"/>
    <n v="122.2"/>
    <x v="30"/>
    <d v="2025-02-03T00:00:00"/>
    <x v="2"/>
    <x v="1"/>
    <x v="2"/>
    <x v="0"/>
    <x v="7"/>
    <x v="2"/>
    <x v="4"/>
    <x v="2"/>
  </r>
  <r>
    <x v="714"/>
    <x v="8"/>
    <x v="1"/>
    <n v="23.2"/>
    <n v="46.4"/>
    <x v="30"/>
    <d v="2025-02-01T00:00:00"/>
    <x v="1"/>
    <x v="3"/>
    <x v="2"/>
    <x v="0"/>
    <x v="8"/>
    <x v="3"/>
    <x v="4"/>
    <x v="1"/>
  </r>
  <r>
    <x v="715"/>
    <x v="12"/>
    <x v="12"/>
    <n v="55.8"/>
    <n v="223.2"/>
    <x v="30"/>
    <d v="2025-02-01T00:00:00"/>
    <x v="1"/>
    <x v="0"/>
    <x v="0"/>
    <x v="0"/>
    <x v="8"/>
    <x v="3"/>
    <x v="4"/>
    <x v="1"/>
  </r>
  <r>
    <x v="716"/>
    <x v="9"/>
    <x v="12"/>
    <n v="24.8"/>
    <n v="99.2"/>
    <x v="30"/>
    <d v="2025-02-01T00:00:00"/>
    <x v="2"/>
    <x v="0"/>
    <x v="2"/>
    <x v="0"/>
    <x v="8"/>
    <x v="3"/>
    <x v="4"/>
    <x v="2"/>
  </r>
  <r>
    <x v="717"/>
    <x v="10"/>
    <x v="1"/>
    <n v="27.9"/>
    <n v="55.8"/>
    <x v="30"/>
    <d v="2025-01-31T00:00:00"/>
    <x v="1"/>
    <x v="2"/>
    <x v="2"/>
    <x v="0"/>
    <x v="8"/>
    <x v="7"/>
    <x v="4"/>
    <x v="1"/>
  </r>
  <r>
    <x v="718"/>
    <x v="10"/>
    <x v="13"/>
    <n v="51.1"/>
    <n v="306.60000000000002"/>
    <x v="30"/>
    <d v="2025-01-31T00:00:00"/>
    <x v="2"/>
    <x v="3"/>
    <x v="0"/>
    <x v="0"/>
    <x v="8"/>
    <x v="7"/>
    <x v="4"/>
    <x v="2"/>
  </r>
  <r>
    <x v="719"/>
    <x v="17"/>
    <x v="5"/>
    <n v="32.700000000000003"/>
    <n v="359.70000000000005"/>
    <x v="30"/>
    <d v="2025-02-01T00:00:00"/>
    <x v="1"/>
    <x v="4"/>
    <x v="2"/>
    <x v="0"/>
    <x v="17"/>
    <x v="3"/>
    <x v="4"/>
    <x v="1"/>
  </r>
  <r>
    <x v="720"/>
    <x v="8"/>
    <x v="12"/>
    <n v="22.5"/>
    <n v="90"/>
    <x v="30"/>
    <d v="2025-01-31T00:00:00"/>
    <x v="1"/>
    <x v="0"/>
    <x v="2"/>
    <x v="0"/>
    <x v="26"/>
    <x v="7"/>
    <x v="4"/>
    <x v="1"/>
  </r>
  <r>
    <x v="721"/>
    <x v="0"/>
    <x v="3"/>
    <n v="14.6"/>
    <n v="102.2"/>
    <x v="30"/>
    <d v="2025-02-01T00:00:00"/>
    <x v="2"/>
    <x v="2"/>
    <x v="0"/>
    <x v="0"/>
    <x v="41"/>
    <x v="3"/>
    <x v="4"/>
    <x v="2"/>
  </r>
  <r>
    <x v="722"/>
    <x v="5"/>
    <x v="2"/>
    <n v="32.5"/>
    <n v="97.5"/>
    <x v="30"/>
    <d v="2025-02-03T00:00:00"/>
    <x v="1"/>
    <x v="0"/>
    <x v="0"/>
    <x v="0"/>
    <x v="10"/>
    <x v="2"/>
    <x v="4"/>
    <x v="1"/>
  </r>
  <r>
    <x v="723"/>
    <x v="18"/>
    <x v="0"/>
    <n v="78.099999999999994"/>
    <n v="78.099999999999994"/>
    <x v="30"/>
    <d v="2025-02-03T00:00:00"/>
    <x v="1"/>
    <x v="0"/>
    <x v="2"/>
    <x v="0"/>
    <x v="11"/>
    <x v="2"/>
    <x v="4"/>
    <x v="1"/>
  </r>
  <r>
    <x v="724"/>
    <x v="12"/>
    <x v="13"/>
    <n v="110.2"/>
    <n v="661.2"/>
    <x v="30"/>
    <d v="2025-01-31T00:00:00"/>
    <x v="1"/>
    <x v="1"/>
    <x v="4"/>
    <x v="0"/>
    <x v="13"/>
    <x v="7"/>
    <x v="4"/>
    <x v="1"/>
  </r>
  <r>
    <x v="725"/>
    <x v="6"/>
    <x v="2"/>
    <n v="86.3"/>
    <n v="258.89999999999998"/>
    <x v="30"/>
    <d v="2025-02-02T00:00:00"/>
    <x v="2"/>
    <x v="3"/>
    <x v="0"/>
    <x v="0"/>
    <x v="21"/>
    <x v="1"/>
    <x v="4"/>
    <x v="2"/>
  </r>
  <r>
    <x v="726"/>
    <x v="1"/>
    <x v="13"/>
    <n v="73.599999999999994"/>
    <n v="441.59999999999997"/>
    <x v="30"/>
    <d v="2025-02-02T00:00:00"/>
    <x v="3"/>
    <x v="3"/>
    <x v="4"/>
    <x v="0"/>
    <x v="44"/>
    <x v="1"/>
    <x v="4"/>
    <x v="3"/>
  </r>
  <r>
    <x v="727"/>
    <x v="6"/>
    <x v="15"/>
    <n v="67.7"/>
    <n v="880.1"/>
    <x v="30"/>
    <d v="2025-02-02T00:00:00"/>
    <x v="2"/>
    <x v="0"/>
    <x v="2"/>
    <x v="0"/>
    <x v="3"/>
    <x v="1"/>
    <x v="4"/>
    <x v="2"/>
  </r>
  <r>
    <x v="728"/>
    <x v="7"/>
    <x v="13"/>
    <n v="142.19999999999999"/>
    <n v="853.19999999999993"/>
    <x v="30"/>
    <d v="2025-02-01T00:00:00"/>
    <x v="2"/>
    <x v="2"/>
    <x v="4"/>
    <x v="0"/>
    <x v="3"/>
    <x v="3"/>
    <x v="4"/>
    <x v="2"/>
  </r>
  <r>
    <x v="729"/>
    <x v="1"/>
    <x v="11"/>
    <n v="45.8"/>
    <n v="412.2"/>
    <x v="30"/>
    <d v="2025-02-02T00:00:00"/>
    <x v="2"/>
    <x v="1"/>
    <x v="2"/>
    <x v="0"/>
    <x v="3"/>
    <x v="1"/>
    <x v="4"/>
    <x v="2"/>
  </r>
  <r>
    <x v="730"/>
    <x v="10"/>
    <x v="1"/>
    <n v="24.2"/>
    <n v="48.4"/>
    <x v="31"/>
    <d v="2025-02-04T00:00:00"/>
    <x v="2"/>
    <x v="3"/>
    <x v="2"/>
    <x v="0"/>
    <x v="3"/>
    <x v="2"/>
    <x v="4"/>
    <x v="2"/>
  </r>
  <r>
    <x v="731"/>
    <x v="2"/>
    <x v="2"/>
    <n v="144.9"/>
    <n v="434.70000000000005"/>
    <x v="31"/>
    <d v="2025-02-02T00:00:00"/>
    <x v="3"/>
    <x v="2"/>
    <x v="2"/>
    <x v="0"/>
    <x v="3"/>
    <x v="3"/>
    <x v="4"/>
    <x v="3"/>
  </r>
  <r>
    <x v="732"/>
    <x v="11"/>
    <x v="9"/>
    <n v="32.799999999999997"/>
    <n v="164"/>
    <x v="31"/>
    <d v="2025-02-04T00:00:00"/>
    <x v="2"/>
    <x v="2"/>
    <x v="0"/>
    <x v="0"/>
    <x v="23"/>
    <x v="2"/>
    <x v="4"/>
    <x v="2"/>
  </r>
  <r>
    <x v="733"/>
    <x v="7"/>
    <x v="7"/>
    <n v="35.700000000000003"/>
    <n v="357"/>
    <x v="31"/>
    <d v="2025-02-01T00:00:00"/>
    <x v="2"/>
    <x v="0"/>
    <x v="1"/>
    <x v="0"/>
    <x v="6"/>
    <x v="7"/>
    <x v="4"/>
    <x v="2"/>
  </r>
  <r>
    <x v="734"/>
    <x v="9"/>
    <x v="1"/>
    <n v="54.6"/>
    <n v="109.2"/>
    <x v="31"/>
    <d v="2025-02-02T00:00:00"/>
    <x v="2"/>
    <x v="2"/>
    <x v="0"/>
    <x v="0"/>
    <x v="6"/>
    <x v="3"/>
    <x v="4"/>
    <x v="2"/>
  </r>
  <r>
    <x v="735"/>
    <x v="8"/>
    <x v="1"/>
    <n v="35.700000000000003"/>
    <n v="71.400000000000006"/>
    <x v="31"/>
    <d v="2025-02-04T00:00:00"/>
    <x v="0"/>
    <x v="0"/>
    <x v="1"/>
    <x v="0"/>
    <x v="6"/>
    <x v="2"/>
    <x v="4"/>
    <x v="0"/>
  </r>
  <r>
    <x v="736"/>
    <x v="10"/>
    <x v="1"/>
    <n v="52.4"/>
    <n v="104.8"/>
    <x v="31"/>
    <d v="2025-02-01T00:00:00"/>
    <x v="2"/>
    <x v="0"/>
    <x v="3"/>
    <x v="0"/>
    <x v="6"/>
    <x v="7"/>
    <x v="4"/>
    <x v="2"/>
  </r>
  <r>
    <x v="737"/>
    <x v="8"/>
    <x v="21"/>
    <n v="16.2"/>
    <n v="226.79999999999998"/>
    <x v="31"/>
    <d v="2025-02-02T00:00:00"/>
    <x v="0"/>
    <x v="0"/>
    <x v="1"/>
    <x v="0"/>
    <x v="8"/>
    <x v="3"/>
    <x v="4"/>
    <x v="0"/>
  </r>
  <r>
    <x v="738"/>
    <x v="6"/>
    <x v="35"/>
    <n v="42.8"/>
    <n v="2011.6"/>
    <x v="31"/>
    <d v="2025-02-02T00:00:00"/>
    <x v="2"/>
    <x v="0"/>
    <x v="0"/>
    <x v="0"/>
    <x v="8"/>
    <x v="3"/>
    <x v="4"/>
    <x v="2"/>
  </r>
  <r>
    <x v="739"/>
    <x v="6"/>
    <x v="11"/>
    <n v="144.4"/>
    <n v="1299.6000000000001"/>
    <x v="31"/>
    <d v="2025-02-04T00:00:00"/>
    <x v="2"/>
    <x v="4"/>
    <x v="0"/>
    <x v="0"/>
    <x v="8"/>
    <x v="2"/>
    <x v="4"/>
    <x v="2"/>
  </r>
  <r>
    <x v="740"/>
    <x v="3"/>
    <x v="34"/>
    <n v="30.6"/>
    <n v="1101.6000000000001"/>
    <x v="31"/>
    <d v="2025-02-05T00:00:00"/>
    <x v="2"/>
    <x v="2"/>
    <x v="2"/>
    <x v="0"/>
    <x v="11"/>
    <x v="5"/>
    <x v="4"/>
    <x v="2"/>
  </r>
  <r>
    <x v="741"/>
    <x v="2"/>
    <x v="1"/>
    <n v="117.5"/>
    <n v="235"/>
    <x v="31"/>
    <d v="2025-02-02T00:00:00"/>
    <x v="1"/>
    <x v="0"/>
    <x v="0"/>
    <x v="0"/>
    <x v="19"/>
    <x v="3"/>
    <x v="4"/>
    <x v="1"/>
  </r>
  <r>
    <x v="742"/>
    <x v="6"/>
    <x v="1"/>
    <n v="105.7"/>
    <n v="211.4"/>
    <x v="31"/>
    <d v="2025-02-02T00:00:00"/>
    <x v="2"/>
    <x v="2"/>
    <x v="2"/>
    <x v="0"/>
    <x v="21"/>
    <x v="3"/>
    <x v="4"/>
    <x v="2"/>
  </r>
  <r>
    <x v="743"/>
    <x v="3"/>
    <x v="2"/>
    <n v="133.69999999999999"/>
    <n v="401.09999999999997"/>
    <x v="31"/>
    <d v="2025-02-02T00:00:00"/>
    <x v="0"/>
    <x v="4"/>
    <x v="2"/>
    <x v="0"/>
    <x v="21"/>
    <x v="3"/>
    <x v="4"/>
    <x v="0"/>
  </r>
  <r>
    <x v="744"/>
    <x v="4"/>
    <x v="9"/>
    <n v="46.8"/>
    <n v="234"/>
    <x v="32"/>
    <d v="2025-02-10T00:00:00"/>
    <x v="2"/>
    <x v="0"/>
    <x v="1"/>
    <x v="0"/>
    <x v="21"/>
    <x v="9"/>
    <x v="5"/>
    <x v="2"/>
  </r>
  <r>
    <x v="745"/>
    <x v="10"/>
    <x v="2"/>
    <n v="58.4"/>
    <n v="175.2"/>
    <x v="32"/>
    <d v="2025-02-04T00:00:00"/>
    <x v="2"/>
    <x v="0"/>
    <x v="0"/>
    <x v="0"/>
    <x v="1"/>
    <x v="1"/>
    <x v="5"/>
    <x v="2"/>
  </r>
  <r>
    <x v="746"/>
    <x v="6"/>
    <x v="11"/>
    <n v="65.099999999999994"/>
    <n v="585.9"/>
    <x v="32"/>
    <d v="2025-02-06T00:00:00"/>
    <x v="1"/>
    <x v="1"/>
    <x v="2"/>
    <x v="0"/>
    <x v="22"/>
    <x v="5"/>
    <x v="5"/>
    <x v="1"/>
  </r>
  <r>
    <x v="747"/>
    <x v="8"/>
    <x v="0"/>
    <n v="18.600000000000001"/>
    <n v="18.600000000000001"/>
    <x v="32"/>
    <d v="2025-02-05T00:00:00"/>
    <x v="2"/>
    <x v="0"/>
    <x v="4"/>
    <x v="0"/>
    <x v="22"/>
    <x v="2"/>
    <x v="5"/>
    <x v="2"/>
  </r>
  <r>
    <x v="748"/>
    <x v="1"/>
    <x v="5"/>
    <n v="92.3"/>
    <n v="1015.3"/>
    <x v="32"/>
    <d v="2025-02-04T00:00:00"/>
    <x v="1"/>
    <x v="1"/>
    <x v="0"/>
    <x v="0"/>
    <x v="3"/>
    <x v="1"/>
    <x v="5"/>
    <x v="1"/>
  </r>
  <r>
    <x v="749"/>
    <x v="6"/>
    <x v="2"/>
    <n v="81.7"/>
    <n v="245.10000000000002"/>
    <x v="32"/>
    <d v="2025-02-03T00:00:00"/>
    <x v="0"/>
    <x v="4"/>
    <x v="4"/>
    <x v="0"/>
    <x v="3"/>
    <x v="3"/>
    <x v="5"/>
    <x v="0"/>
  </r>
  <r>
    <x v="750"/>
    <x v="8"/>
    <x v="1"/>
    <n v="40.9"/>
    <n v="81.8"/>
    <x v="32"/>
    <d v="2025-02-04T00:00:00"/>
    <x v="1"/>
    <x v="0"/>
    <x v="1"/>
    <x v="0"/>
    <x v="3"/>
    <x v="1"/>
    <x v="5"/>
    <x v="1"/>
  </r>
  <r>
    <x v="751"/>
    <x v="6"/>
    <x v="12"/>
    <n v="43.2"/>
    <n v="172.8"/>
    <x v="32"/>
    <d v="2025-02-08T00:00:00"/>
    <x v="2"/>
    <x v="0"/>
    <x v="1"/>
    <x v="0"/>
    <x v="3"/>
    <x v="4"/>
    <x v="5"/>
    <x v="2"/>
  </r>
  <r>
    <x v="752"/>
    <x v="8"/>
    <x v="5"/>
    <n v="25.8"/>
    <n v="283.8"/>
    <x v="32"/>
    <d v="2025-02-05T00:00:00"/>
    <x v="1"/>
    <x v="2"/>
    <x v="1"/>
    <x v="0"/>
    <x v="3"/>
    <x v="2"/>
    <x v="5"/>
    <x v="1"/>
  </r>
  <r>
    <x v="753"/>
    <x v="15"/>
    <x v="12"/>
    <n v="36.4"/>
    <n v="145.6"/>
    <x v="32"/>
    <d v="2025-02-03T00:00:00"/>
    <x v="1"/>
    <x v="0"/>
    <x v="0"/>
    <x v="0"/>
    <x v="3"/>
    <x v="3"/>
    <x v="5"/>
    <x v="1"/>
  </r>
  <r>
    <x v="754"/>
    <x v="10"/>
    <x v="0"/>
    <n v="59.1"/>
    <n v="59.1"/>
    <x v="32"/>
    <d v="2025-02-03T00:00:00"/>
    <x v="2"/>
    <x v="2"/>
    <x v="0"/>
    <x v="0"/>
    <x v="7"/>
    <x v="3"/>
    <x v="5"/>
    <x v="2"/>
  </r>
  <r>
    <x v="755"/>
    <x v="2"/>
    <x v="14"/>
    <n v="74.5"/>
    <n v="1266.5"/>
    <x v="32"/>
    <d v="2025-02-04T00:00:00"/>
    <x v="1"/>
    <x v="4"/>
    <x v="0"/>
    <x v="0"/>
    <x v="18"/>
    <x v="1"/>
    <x v="5"/>
    <x v="1"/>
  </r>
  <r>
    <x v="756"/>
    <x v="5"/>
    <x v="0"/>
    <n v="72.8"/>
    <n v="72.8"/>
    <x v="32"/>
    <d v="2025-02-03T00:00:00"/>
    <x v="2"/>
    <x v="0"/>
    <x v="1"/>
    <x v="0"/>
    <x v="19"/>
    <x v="3"/>
    <x v="5"/>
    <x v="2"/>
  </r>
  <r>
    <x v="757"/>
    <x v="6"/>
    <x v="12"/>
    <n v="137.30000000000001"/>
    <n v="549.20000000000005"/>
    <x v="32"/>
    <d v="2025-02-05T00:00:00"/>
    <x v="2"/>
    <x v="0"/>
    <x v="0"/>
    <x v="0"/>
    <x v="13"/>
    <x v="2"/>
    <x v="5"/>
    <x v="2"/>
  </r>
  <r>
    <x v="758"/>
    <x v="1"/>
    <x v="2"/>
    <n v="48.7"/>
    <n v="146.10000000000002"/>
    <x v="32"/>
    <d v="2025-02-07T00:00:00"/>
    <x v="2"/>
    <x v="0"/>
    <x v="1"/>
    <x v="0"/>
    <x v="21"/>
    <x v="0"/>
    <x v="5"/>
    <x v="2"/>
  </r>
  <r>
    <x v="759"/>
    <x v="6"/>
    <x v="12"/>
    <n v="53.7"/>
    <n v="214.8"/>
    <x v="32"/>
    <d v="2025-02-06T00:00:00"/>
    <x v="1"/>
    <x v="1"/>
    <x v="4"/>
    <x v="0"/>
    <x v="2"/>
    <x v="5"/>
    <x v="5"/>
    <x v="1"/>
  </r>
  <r>
    <x v="760"/>
    <x v="2"/>
    <x v="3"/>
    <n v="100.9"/>
    <n v="706.30000000000007"/>
    <x v="32"/>
    <d v="2025-02-04T00:00:00"/>
    <x v="2"/>
    <x v="0"/>
    <x v="1"/>
    <x v="0"/>
    <x v="2"/>
    <x v="1"/>
    <x v="5"/>
    <x v="2"/>
  </r>
  <r>
    <x v="761"/>
    <x v="10"/>
    <x v="1"/>
    <n v="41.8"/>
    <n v="83.6"/>
    <x v="32"/>
    <d v="2025-02-06T00:00:00"/>
    <x v="1"/>
    <x v="3"/>
    <x v="2"/>
    <x v="0"/>
    <x v="22"/>
    <x v="5"/>
    <x v="5"/>
    <x v="1"/>
  </r>
  <r>
    <x v="762"/>
    <x v="4"/>
    <x v="8"/>
    <n v="28.5"/>
    <n v="228"/>
    <x v="32"/>
    <d v="2025-02-04T00:00:00"/>
    <x v="1"/>
    <x v="2"/>
    <x v="1"/>
    <x v="0"/>
    <x v="3"/>
    <x v="1"/>
    <x v="5"/>
    <x v="1"/>
  </r>
  <r>
    <x v="763"/>
    <x v="7"/>
    <x v="12"/>
    <n v="88.9"/>
    <n v="355.6"/>
    <x v="32"/>
    <d v="2025-02-05T00:00:00"/>
    <x v="2"/>
    <x v="0"/>
    <x v="2"/>
    <x v="0"/>
    <x v="3"/>
    <x v="2"/>
    <x v="5"/>
    <x v="2"/>
  </r>
  <r>
    <x v="764"/>
    <x v="6"/>
    <x v="0"/>
    <n v="62.5"/>
    <n v="62.5"/>
    <x v="32"/>
    <d v="2025-02-11T00:00:00"/>
    <x v="2"/>
    <x v="0"/>
    <x v="2"/>
    <x v="0"/>
    <x v="3"/>
    <x v="8"/>
    <x v="5"/>
    <x v="2"/>
  </r>
  <r>
    <x v="765"/>
    <x v="1"/>
    <x v="2"/>
    <n v="46.9"/>
    <n v="140.69999999999999"/>
    <x v="32"/>
    <d v="2025-02-03T00:00:00"/>
    <x v="1"/>
    <x v="0"/>
    <x v="2"/>
    <x v="0"/>
    <x v="3"/>
    <x v="3"/>
    <x v="5"/>
    <x v="1"/>
  </r>
  <r>
    <x v="766"/>
    <x v="8"/>
    <x v="2"/>
    <n v="45"/>
    <n v="135"/>
    <x v="32"/>
    <d v="2025-02-16T00:00:00"/>
    <x v="1"/>
    <x v="1"/>
    <x v="0"/>
    <x v="0"/>
    <x v="3"/>
    <x v="12"/>
    <x v="5"/>
    <x v="1"/>
  </r>
  <r>
    <x v="767"/>
    <x v="6"/>
    <x v="2"/>
    <n v="45.2"/>
    <n v="135.60000000000002"/>
    <x v="32"/>
    <d v="2025-02-04T00:00:00"/>
    <x v="1"/>
    <x v="4"/>
    <x v="2"/>
    <x v="0"/>
    <x v="3"/>
    <x v="1"/>
    <x v="5"/>
    <x v="1"/>
  </r>
  <r>
    <x v="768"/>
    <x v="4"/>
    <x v="1"/>
    <n v="60.1"/>
    <n v="120.2"/>
    <x v="32"/>
    <d v="2025-02-03T00:00:00"/>
    <x v="2"/>
    <x v="0"/>
    <x v="2"/>
    <x v="0"/>
    <x v="3"/>
    <x v="3"/>
    <x v="5"/>
    <x v="2"/>
  </r>
  <r>
    <x v="769"/>
    <x v="12"/>
    <x v="12"/>
    <n v="118.7"/>
    <n v="474.8"/>
    <x v="32"/>
    <d v="2025-02-04T00:00:00"/>
    <x v="2"/>
    <x v="0"/>
    <x v="0"/>
    <x v="0"/>
    <x v="3"/>
    <x v="1"/>
    <x v="5"/>
    <x v="2"/>
  </r>
  <r>
    <x v="770"/>
    <x v="9"/>
    <x v="0"/>
    <n v="57.8"/>
    <n v="57.8"/>
    <x v="32"/>
    <d v="2025-02-11T00:00:00"/>
    <x v="2"/>
    <x v="1"/>
    <x v="0"/>
    <x v="0"/>
    <x v="3"/>
    <x v="8"/>
    <x v="5"/>
    <x v="2"/>
  </r>
  <r>
    <x v="771"/>
    <x v="4"/>
    <x v="0"/>
    <n v="19.5"/>
    <n v="19.5"/>
    <x v="32"/>
    <d v="2025-02-03T00:00:00"/>
    <x v="1"/>
    <x v="1"/>
    <x v="1"/>
    <x v="0"/>
    <x v="3"/>
    <x v="3"/>
    <x v="5"/>
    <x v="1"/>
  </r>
  <r>
    <x v="772"/>
    <x v="12"/>
    <x v="0"/>
    <n v="42.6"/>
    <n v="42.6"/>
    <x v="32"/>
    <d v="2025-02-03T00:00:00"/>
    <x v="1"/>
    <x v="0"/>
    <x v="1"/>
    <x v="0"/>
    <x v="3"/>
    <x v="3"/>
    <x v="5"/>
    <x v="1"/>
  </r>
  <r>
    <x v="773"/>
    <x v="6"/>
    <x v="1"/>
    <n v="74.8"/>
    <n v="149.6"/>
    <x v="32"/>
    <d v="2025-02-03T00:00:00"/>
    <x v="2"/>
    <x v="3"/>
    <x v="2"/>
    <x v="0"/>
    <x v="37"/>
    <x v="3"/>
    <x v="5"/>
    <x v="2"/>
  </r>
  <r>
    <x v="774"/>
    <x v="8"/>
    <x v="2"/>
    <n v="32.5"/>
    <n v="97.5"/>
    <x v="32"/>
    <d v="2025-02-03T00:00:00"/>
    <x v="1"/>
    <x v="2"/>
    <x v="4"/>
    <x v="0"/>
    <x v="16"/>
    <x v="3"/>
    <x v="5"/>
    <x v="1"/>
  </r>
  <r>
    <x v="775"/>
    <x v="2"/>
    <x v="2"/>
    <n v="60.5"/>
    <n v="181.5"/>
    <x v="32"/>
    <d v="2025-02-02T00:00:00"/>
    <x v="2"/>
    <x v="1"/>
    <x v="2"/>
    <x v="0"/>
    <x v="25"/>
    <x v="7"/>
    <x v="5"/>
    <x v="2"/>
  </r>
  <r>
    <x v="776"/>
    <x v="1"/>
    <x v="3"/>
    <n v="57.2"/>
    <n v="400.40000000000003"/>
    <x v="32"/>
    <d v="2025-02-04T00:00:00"/>
    <x v="0"/>
    <x v="2"/>
    <x v="0"/>
    <x v="0"/>
    <x v="25"/>
    <x v="1"/>
    <x v="5"/>
    <x v="0"/>
  </r>
  <r>
    <x v="777"/>
    <x v="16"/>
    <x v="1"/>
    <n v="112"/>
    <n v="224"/>
    <x v="32"/>
    <d v="2025-02-03T00:00:00"/>
    <x v="2"/>
    <x v="1"/>
    <x v="1"/>
    <x v="0"/>
    <x v="5"/>
    <x v="3"/>
    <x v="5"/>
    <x v="2"/>
  </r>
  <r>
    <x v="778"/>
    <x v="7"/>
    <x v="7"/>
    <n v="49"/>
    <n v="490"/>
    <x v="32"/>
    <d v="2025-02-03T00:00:00"/>
    <x v="3"/>
    <x v="2"/>
    <x v="1"/>
    <x v="0"/>
    <x v="6"/>
    <x v="3"/>
    <x v="5"/>
    <x v="3"/>
  </r>
  <r>
    <x v="779"/>
    <x v="0"/>
    <x v="1"/>
    <n v="33.700000000000003"/>
    <n v="67.400000000000006"/>
    <x v="32"/>
    <d v="2025-02-06T00:00:00"/>
    <x v="2"/>
    <x v="3"/>
    <x v="0"/>
    <x v="0"/>
    <x v="6"/>
    <x v="5"/>
    <x v="5"/>
    <x v="2"/>
  </r>
  <r>
    <x v="780"/>
    <x v="4"/>
    <x v="2"/>
    <n v="35.6"/>
    <n v="106.80000000000001"/>
    <x v="32"/>
    <d v="2025-02-05T00:00:00"/>
    <x v="2"/>
    <x v="0"/>
    <x v="2"/>
    <x v="0"/>
    <x v="6"/>
    <x v="2"/>
    <x v="5"/>
    <x v="2"/>
  </r>
  <r>
    <x v="781"/>
    <x v="4"/>
    <x v="36"/>
    <n v="30.4"/>
    <n v="1064"/>
    <x v="33"/>
    <d v="2025-02-03T00:00:00"/>
    <x v="2"/>
    <x v="0"/>
    <x v="1"/>
    <x v="0"/>
    <x v="7"/>
    <x v="7"/>
    <x v="5"/>
    <x v="2"/>
  </r>
  <r>
    <x v="782"/>
    <x v="10"/>
    <x v="4"/>
    <n v="50.2"/>
    <n v="602.40000000000009"/>
    <x v="33"/>
    <d v="2025-02-04T00:00:00"/>
    <x v="1"/>
    <x v="4"/>
    <x v="0"/>
    <x v="0"/>
    <x v="8"/>
    <x v="3"/>
    <x v="5"/>
    <x v="1"/>
  </r>
  <r>
    <x v="783"/>
    <x v="1"/>
    <x v="1"/>
    <n v="43.7"/>
    <n v="87.4"/>
    <x v="33"/>
    <d v="2025-02-05T00:00:00"/>
    <x v="2"/>
    <x v="0"/>
    <x v="0"/>
    <x v="0"/>
    <x v="8"/>
    <x v="1"/>
    <x v="5"/>
    <x v="2"/>
  </r>
  <r>
    <x v="784"/>
    <x v="10"/>
    <x v="0"/>
    <n v="33.299999999999997"/>
    <n v="33.299999999999997"/>
    <x v="33"/>
    <d v="2025-02-04T00:00:00"/>
    <x v="2"/>
    <x v="2"/>
    <x v="1"/>
    <x v="0"/>
    <x v="8"/>
    <x v="3"/>
    <x v="5"/>
    <x v="2"/>
  </r>
  <r>
    <x v="785"/>
    <x v="8"/>
    <x v="12"/>
    <n v="15.1"/>
    <n v="60.4"/>
    <x v="33"/>
    <d v="2025-02-05T00:00:00"/>
    <x v="2"/>
    <x v="4"/>
    <x v="2"/>
    <x v="0"/>
    <x v="8"/>
    <x v="1"/>
    <x v="5"/>
    <x v="2"/>
  </r>
  <r>
    <x v="786"/>
    <x v="6"/>
    <x v="9"/>
    <n v="118.2"/>
    <n v="591"/>
    <x v="33"/>
    <d v="2025-02-04T00:00:00"/>
    <x v="2"/>
    <x v="3"/>
    <x v="4"/>
    <x v="0"/>
    <x v="8"/>
    <x v="3"/>
    <x v="5"/>
    <x v="2"/>
  </r>
  <r>
    <x v="787"/>
    <x v="10"/>
    <x v="2"/>
    <n v="28.9"/>
    <n v="86.699999999999989"/>
    <x v="33"/>
    <d v="2025-02-05T00:00:00"/>
    <x v="2"/>
    <x v="2"/>
    <x v="1"/>
    <x v="0"/>
    <x v="8"/>
    <x v="1"/>
    <x v="5"/>
    <x v="2"/>
  </r>
  <r>
    <x v="788"/>
    <x v="4"/>
    <x v="2"/>
    <n v="55.6"/>
    <n v="166.8"/>
    <x v="33"/>
    <d v="2025-02-04T00:00:00"/>
    <x v="1"/>
    <x v="0"/>
    <x v="1"/>
    <x v="0"/>
    <x v="8"/>
    <x v="3"/>
    <x v="5"/>
    <x v="1"/>
  </r>
  <r>
    <x v="789"/>
    <x v="9"/>
    <x v="12"/>
    <n v="25.6"/>
    <n v="102.4"/>
    <x v="33"/>
    <d v="2025-02-05T00:00:00"/>
    <x v="2"/>
    <x v="0"/>
    <x v="1"/>
    <x v="0"/>
    <x v="8"/>
    <x v="1"/>
    <x v="5"/>
    <x v="2"/>
  </r>
  <r>
    <x v="790"/>
    <x v="7"/>
    <x v="2"/>
    <n v="31.3"/>
    <n v="93.9"/>
    <x v="33"/>
    <d v="2025-02-04T00:00:00"/>
    <x v="1"/>
    <x v="0"/>
    <x v="0"/>
    <x v="0"/>
    <x v="17"/>
    <x v="3"/>
    <x v="5"/>
    <x v="1"/>
  </r>
  <r>
    <x v="791"/>
    <x v="0"/>
    <x v="2"/>
    <n v="22.1"/>
    <n v="66.300000000000011"/>
    <x v="33"/>
    <d v="2025-02-07T00:00:00"/>
    <x v="1"/>
    <x v="0"/>
    <x v="0"/>
    <x v="0"/>
    <x v="17"/>
    <x v="5"/>
    <x v="5"/>
    <x v="1"/>
  </r>
  <r>
    <x v="792"/>
    <x v="2"/>
    <x v="21"/>
    <n v="99.4"/>
    <n v="1391.6000000000001"/>
    <x v="33"/>
    <d v="2025-02-04T00:00:00"/>
    <x v="1"/>
    <x v="1"/>
    <x v="0"/>
    <x v="0"/>
    <x v="11"/>
    <x v="3"/>
    <x v="5"/>
    <x v="1"/>
  </r>
  <r>
    <x v="793"/>
    <x v="7"/>
    <x v="13"/>
    <n v="66.599999999999994"/>
    <n v="399.59999999999997"/>
    <x v="33"/>
    <d v="2025-02-04T00:00:00"/>
    <x v="2"/>
    <x v="0"/>
    <x v="0"/>
    <x v="0"/>
    <x v="11"/>
    <x v="3"/>
    <x v="5"/>
    <x v="2"/>
  </r>
  <r>
    <x v="794"/>
    <x v="8"/>
    <x v="1"/>
    <n v="22.6"/>
    <n v="45.2"/>
    <x v="33"/>
    <d v="2025-02-06T00:00:00"/>
    <x v="1"/>
    <x v="0"/>
    <x v="0"/>
    <x v="0"/>
    <x v="11"/>
    <x v="2"/>
    <x v="5"/>
    <x v="1"/>
  </r>
  <r>
    <x v="795"/>
    <x v="2"/>
    <x v="16"/>
    <n v="66.8"/>
    <n v="1202.3999999999999"/>
    <x v="33"/>
    <d v="2025-02-04T00:00:00"/>
    <x v="2"/>
    <x v="0"/>
    <x v="4"/>
    <x v="0"/>
    <x v="13"/>
    <x v="3"/>
    <x v="5"/>
    <x v="2"/>
  </r>
  <r>
    <x v="796"/>
    <x v="0"/>
    <x v="12"/>
    <n v="20.8"/>
    <n v="83.2"/>
    <x v="33"/>
    <d v="2025-02-10T00:00:00"/>
    <x v="1"/>
    <x v="1"/>
    <x v="4"/>
    <x v="0"/>
    <x v="1"/>
    <x v="6"/>
    <x v="5"/>
    <x v="1"/>
  </r>
  <r>
    <x v="797"/>
    <x v="2"/>
    <x v="3"/>
    <n v="102.5"/>
    <n v="717.5"/>
    <x v="33"/>
    <d v="2025-02-04T00:00:00"/>
    <x v="2"/>
    <x v="4"/>
    <x v="2"/>
    <x v="0"/>
    <x v="3"/>
    <x v="3"/>
    <x v="5"/>
    <x v="2"/>
  </r>
  <r>
    <x v="798"/>
    <x v="0"/>
    <x v="16"/>
    <n v="24.8"/>
    <n v="446.40000000000003"/>
    <x v="33"/>
    <d v="2025-02-07T00:00:00"/>
    <x v="2"/>
    <x v="0"/>
    <x v="0"/>
    <x v="0"/>
    <x v="3"/>
    <x v="5"/>
    <x v="5"/>
    <x v="2"/>
  </r>
  <r>
    <x v="799"/>
    <x v="4"/>
    <x v="37"/>
    <n v="31.4"/>
    <n v="973.4"/>
    <x v="33"/>
    <d v="2025-02-04T00:00:00"/>
    <x v="2"/>
    <x v="3"/>
    <x v="0"/>
    <x v="0"/>
    <x v="3"/>
    <x v="3"/>
    <x v="5"/>
    <x v="2"/>
  </r>
  <r>
    <x v="800"/>
    <x v="9"/>
    <x v="9"/>
    <n v="59.3"/>
    <n v="296.5"/>
    <x v="33"/>
    <d v="2025-02-06T00:00:00"/>
    <x v="1"/>
    <x v="1"/>
    <x v="2"/>
    <x v="0"/>
    <x v="43"/>
    <x v="2"/>
    <x v="5"/>
    <x v="1"/>
  </r>
  <r>
    <x v="801"/>
    <x v="11"/>
    <x v="13"/>
    <n v="39"/>
    <n v="234"/>
    <x v="33"/>
    <d v="2025-02-06T00:00:00"/>
    <x v="1"/>
    <x v="1"/>
    <x v="0"/>
    <x v="0"/>
    <x v="6"/>
    <x v="2"/>
    <x v="5"/>
    <x v="1"/>
  </r>
  <r>
    <x v="802"/>
    <x v="5"/>
    <x v="13"/>
    <n v="98.6"/>
    <n v="591.59999999999991"/>
    <x v="33"/>
    <d v="2025-02-05T00:00:00"/>
    <x v="2"/>
    <x v="1"/>
    <x v="0"/>
    <x v="0"/>
    <x v="6"/>
    <x v="1"/>
    <x v="5"/>
    <x v="2"/>
  </r>
  <r>
    <x v="803"/>
    <x v="8"/>
    <x v="0"/>
    <n v="20"/>
    <n v="20"/>
    <x v="34"/>
    <d v="2025-02-05T00:00:00"/>
    <x v="1"/>
    <x v="3"/>
    <x v="2"/>
    <x v="0"/>
    <x v="8"/>
    <x v="3"/>
    <x v="5"/>
    <x v="1"/>
  </r>
  <r>
    <x v="804"/>
    <x v="1"/>
    <x v="1"/>
    <n v="42.9"/>
    <n v="85.8"/>
    <x v="34"/>
    <d v="2025-02-06T00:00:00"/>
    <x v="2"/>
    <x v="0"/>
    <x v="2"/>
    <x v="0"/>
    <x v="8"/>
    <x v="1"/>
    <x v="5"/>
    <x v="2"/>
  </r>
  <r>
    <x v="805"/>
    <x v="7"/>
    <x v="3"/>
    <n v="55.6"/>
    <n v="389.2"/>
    <x v="34"/>
    <d v="2025-02-06T00:00:00"/>
    <x v="2"/>
    <x v="2"/>
    <x v="1"/>
    <x v="0"/>
    <x v="8"/>
    <x v="1"/>
    <x v="5"/>
    <x v="2"/>
  </r>
  <r>
    <x v="806"/>
    <x v="8"/>
    <x v="12"/>
    <n v="19.2"/>
    <n v="76.8"/>
    <x v="34"/>
    <d v="2025-02-09T00:00:00"/>
    <x v="2"/>
    <x v="0"/>
    <x v="0"/>
    <x v="0"/>
    <x v="41"/>
    <x v="0"/>
    <x v="5"/>
    <x v="2"/>
  </r>
  <r>
    <x v="807"/>
    <x v="5"/>
    <x v="1"/>
    <n v="28.8"/>
    <n v="57.6"/>
    <x v="34"/>
    <d v="2025-02-06T00:00:00"/>
    <x v="1"/>
    <x v="1"/>
    <x v="0"/>
    <x v="0"/>
    <x v="18"/>
    <x v="1"/>
    <x v="5"/>
    <x v="1"/>
  </r>
  <r>
    <x v="808"/>
    <x v="4"/>
    <x v="0"/>
    <n v="29.7"/>
    <n v="29.7"/>
    <x v="34"/>
    <d v="2025-02-06T00:00:00"/>
    <x v="2"/>
    <x v="2"/>
    <x v="4"/>
    <x v="0"/>
    <x v="20"/>
    <x v="1"/>
    <x v="5"/>
    <x v="2"/>
  </r>
  <r>
    <x v="809"/>
    <x v="6"/>
    <x v="13"/>
    <n v="63.3"/>
    <n v="379.79999999999995"/>
    <x v="34"/>
    <d v="2025-02-05T00:00:00"/>
    <x v="0"/>
    <x v="0"/>
    <x v="2"/>
    <x v="0"/>
    <x v="21"/>
    <x v="3"/>
    <x v="5"/>
    <x v="0"/>
  </r>
  <r>
    <x v="810"/>
    <x v="4"/>
    <x v="0"/>
    <n v="46"/>
    <n v="46"/>
    <x v="34"/>
    <d v="2025-02-05T00:00:00"/>
    <x v="2"/>
    <x v="0"/>
    <x v="2"/>
    <x v="0"/>
    <x v="21"/>
    <x v="3"/>
    <x v="5"/>
    <x v="2"/>
  </r>
  <r>
    <x v="811"/>
    <x v="11"/>
    <x v="2"/>
    <n v="38"/>
    <n v="114"/>
    <x v="34"/>
    <d v="2025-02-06T00:00:00"/>
    <x v="2"/>
    <x v="1"/>
    <x v="2"/>
    <x v="0"/>
    <x v="21"/>
    <x v="1"/>
    <x v="5"/>
    <x v="2"/>
  </r>
  <r>
    <x v="812"/>
    <x v="10"/>
    <x v="15"/>
    <n v="34.6"/>
    <n v="449.8"/>
    <x v="34"/>
    <d v="2025-02-06T00:00:00"/>
    <x v="2"/>
    <x v="0"/>
    <x v="1"/>
    <x v="0"/>
    <x v="21"/>
    <x v="1"/>
    <x v="5"/>
    <x v="2"/>
  </r>
  <r>
    <x v="813"/>
    <x v="3"/>
    <x v="7"/>
    <n v="79.7"/>
    <n v="797"/>
    <x v="34"/>
    <d v="2025-02-05T00:00:00"/>
    <x v="2"/>
    <x v="4"/>
    <x v="1"/>
    <x v="0"/>
    <x v="21"/>
    <x v="3"/>
    <x v="5"/>
    <x v="2"/>
  </r>
  <r>
    <x v="814"/>
    <x v="8"/>
    <x v="8"/>
    <n v="30.5"/>
    <n v="244"/>
    <x v="34"/>
    <d v="2025-02-08T00:00:00"/>
    <x v="1"/>
    <x v="3"/>
    <x v="0"/>
    <x v="0"/>
    <x v="1"/>
    <x v="5"/>
    <x v="5"/>
    <x v="1"/>
  </r>
  <r>
    <x v="815"/>
    <x v="0"/>
    <x v="1"/>
    <n v="20.8"/>
    <n v="41.6"/>
    <x v="34"/>
    <d v="2025-02-05T00:00:00"/>
    <x v="2"/>
    <x v="0"/>
    <x v="0"/>
    <x v="0"/>
    <x v="2"/>
    <x v="3"/>
    <x v="5"/>
    <x v="2"/>
  </r>
  <r>
    <x v="816"/>
    <x v="11"/>
    <x v="3"/>
    <n v="48.5"/>
    <n v="339.5"/>
    <x v="34"/>
    <d v="2025-02-08T00:00:00"/>
    <x v="2"/>
    <x v="2"/>
    <x v="2"/>
    <x v="0"/>
    <x v="2"/>
    <x v="5"/>
    <x v="5"/>
    <x v="2"/>
  </r>
  <r>
    <x v="817"/>
    <x v="2"/>
    <x v="12"/>
    <n v="61.8"/>
    <n v="247.2"/>
    <x v="34"/>
    <d v="2025-02-08T00:00:00"/>
    <x v="2"/>
    <x v="4"/>
    <x v="0"/>
    <x v="0"/>
    <x v="22"/>
    <x v="5"/>
    <x v="5"/>
    <x v="2"/>
  </r>
  <r>
    <x v="818"/>
    <x v="10"/>
    <x v="0"/>
    <n v="46.1"/>
    <n v="46.1"/>
    <x v="34"/>
    <d v="2025-02-05T00:00:00"/>
    <x v="3"/>
    <x v="2"/>
    <x v="0"/>
    <x v="0"/>
    <x v="3"/>
    <x v="3"/>
    <x v="5"/>
    <x v="3"/>
  </r>
  <r>
    <x v="819"/>
    <x v="4"/>
    <x v="13"/>
    <n v="44"/>
    <n v="264"/>
    <x v="34"/>
    <d v="2025-02-05T00:00:00"/>
    <x v="2"/>
    <x v="0"/>
    <x v="0"/>
    <x v="0"/>
    <x v="3"/>
    <x v="3"/>
    <x v="5"/>
    <x v="2"/>
  </r>
  <r>
    <x v="820"/>
    <x v="18"/>
    <x v="1"/>
    <n v="95.7"/>
    <n v="191.4"/>
    <x v="34"/>
    <d v="2025-02-10T00:00:00"/>
    <x v="2"/>
    <x v="3"/>
    <x v="2"/>
    <x v="0"/>
    <x v="3"/>
    <x v="4"/>
    <x v="5"/>
    <x v="2"/>
  </r>
  <r>
    <x v="821"/>
    <x v="7"/>
    <x v="9"/>
    <n v="46.4"/>
    <n v="232"/>
    <x v="34"/>
    <d v="2025-02-07T00:00:00"/>
    <x v="2"/>
    <x v="0"/>
    <x v="0"/>
    <x v="0"/>
    <x v="3"/>
    <x v="2"/>
    <x v="5"/>
    <x v="2"/>
  </r>
  <r>
    <x v="822"/>
    <x v="6"/>
    <x v="1"/>
    <n v="47.2"/>
    <n v="94.4"/>
    <x v="34"/>
    <d v="2025-02-06T00:00:00"/>
    <x v="2"/>
    <x v="0"/>
    <x v="2"/>
    <x v="0"/>
    <x v="3"/>
    <x v="1"/>
    <x v="5"/>
    <x v="2"/>
  </r>
  <r>
    <x v="823"/>
    <x v="7"/>
    <x v="1"/>
    <n v="58.6"/>
    <n v="117.2"/>
    <x v="34"/>
    <d v="2025-02-05T00:00:00"/>
    <x v="2"/>
    <x v="2"/>
    <x v="1"/>
    <x v="0"/>
    <x v="3"/>
    <x v="3"/>
    <x v="5"/>
    <x v="2"/>
  </r>
  <r>
    <x v="824"/>
    <x v="4"/>
    <x v="2"/>
    <n v="57"/>
    <n v="171"/>
    <x v="34"/>
    <d v="2025-02-05T00:00:00"/>
    <x v="1"/>
    <x v="0"/>
    <x v="2"/>
    <x v="0"/>
    <x v="3"/>
    <x v="3"/>
    <x v="5"/>
    <x v="1"/>
  </r>
  <r>
    <x v="825"/>
    <x v="8"/>
    <x v="12"/>
    <n v="28.9"/>
    <n v="115.6"/>
    <x v="34"/>
    <d v="2025-02-08T00:00:00"/>
    <x v="1"/>
    <x v="2"/>
    <x v="0"/>
    <x v="0"/>
    <x v="3"/>
    <x v="5"/>
    <x v="5"/>
    <x v="1"/>
  </r>
  <r>
    <x v="826"/>
    <x v="12"/>
    <x v="9"/>
    <n v="60.7"/>
    <n v="303.5"/>
    <x v="34"/>
    <d v="2025-02-08T00:00:00"/>
    <x v="0"/>
    <x v="1"/>
    <x v="1"/>
    <x v="0"/>
    <x v="3"/>
    <x v="5"/>
    <x v="5"/>
    <x v="0"/>
  </r>
  <r>
    <x v="827"/>
    <x v="6"/>
    <x v="9"/>
    <n v="60.8"/>
    <n v="304"/>
    <x v="34"/>
    <d v="2025-02-08T00:00:00"/>
    <x v="1"/>
    <x v="0"/>
    <x v="1"/>
    <x v="0"/>
    <x v="3"/>
    <x v="5"/>
    <x v="5"/>
    <x v="1"/>
  </r>
  <r>
    <x v="828"/>
    <x v="6"/>
    <x v="9"/>
    <n v="64.599999999999994"/>
    <n v="323"/>
    <x v="34"/>
    <d v="2025-02-05T00:00:00"/>
    <x v="2"/>
    <x v="3"/>
    <x v="0"/>
    <x v="0"/>
    <x v="3"/>
    <x v="3"/>
    <x v="5"/>
    <x v="2"/>
  </r>
  <r>
    <x v="829"/>
    <x v="8"/>
    <x v="0"/>
    <n v="21.9"/>
    <n v="21.9"/>
    <x v="34"/>
    <d v="2025-02-07T00:00:00"/>
    <x v="1"/>
    <x v="1"/>
    <x v="2"/>
    <x v="0"/>
    <x v="4"/>
    <x v="2"/>
    <x v="5"/>
    <x v="1"/>
  </r>
  <r>
    <x v="830"/>
    <x v="4"/>
    <x v="4"/>
    <n v="33.4"/>
    <n v="400.79999999999995"/>
    <x v="34"/>
    <d v="2025-02-06T00:00:00"/>
    <x v="2"/>
    <x v="0"/>
    <x v="0"/>
    <x v="0"/>
    <x v="23"/>
    <x v="1"/>
    <x v="5"/>
    <x v="2"/>
  </r>
  <r>
    <x v="831"/>
    <x v="2"/>
    <x v="0"/>
    <n v="51.7"/>
    <n v="51.7"/>
    <x v="34"/>
    <d v="2025-02-05T00:00:00"/>
    <x v="0"/>
    <x v="0"/>
    <x v="0"/>
    <x v="0"/>
    <x v="6"/>
    <x v="3"/>
    <x v="5"/>
    <x v="0"/>
  </r>
  <r>
    <x v="832"/>
    <x v="1"/>
    <x v="12"/>
    <n v="84.9"/>
    <n v="339.6"/>
    <x v="34"/>
    <d v="2025-02-05T00:00:00"/>
    <x v="2"/>
    <x v="1"/>
    <x v="1"/>
    <x v="0"/>
    <x v="6"/>
    <x v="3"/>
    <x v="5"/>
    <x v="2"/>
  </r>
  <r>
    <x v="833"/>
    <x v="1"/>
    <x v="5"/>
    <n v="62.3"/>
    <n v="685.3"/>
    <x v="34"/>
    <d v="2025-02-05T00:00:00"/>
    <x v="2"/>
    <x v="2"/>
    <x v="2"/>
    <x v="0"/>
    <x v="7"/>
    <x v="3"/>
    <x v="5"/>
    <x v="2"/>
  </r>
  <r>
    <x v="834"/>
    <x v="4"/>
    <x v="0"/>
    <n v="50.7"/>
    <n v="50.7"/>
    <x v="34"/>
    <d v="2025-02-06T00:00:00"/>
    <x v="1"/>
    <x v="2"/>
    <x v="2"/>
    <x v="0"/>
    <x v="8"/>
    <x v="1"/>
    <x v="5"/>
    <x v="1"/>
  </r>
  <r>
    <x v="835"/>
    <x v="18"/>
    <x v="0"/>
    <n v="39.5"/>
    <n v="39.5"/>
    <x v="34"/>
    <d v="2025-02-05T00:00:00"/>
    <x v="1"/>
    <x v="4"/>
    <x v="1"/>
    <x v="0"/>
    <x v="8"/>
    <x v="3"/>
    <x v="5"/>
    <x v="1"/>
  </r>
  <r>
    <x v="836"/>
    <x v="12"/>
    <x v="2"/>
    <n v="30.9"/>
    <n v="92.699999999999989"/>
    <x v="34"/>
    <d v="2025-02-05T00:00:00"/>
    <x v="0"/>
    <x v="4"/>
    <x v="2"/>
    <x v="0"/>
    <x v="8"/>
    <x v="3"/>
    <x v="5"/>
    <x v="0"/>
  </r>
  <r>
    <x v="837"/>
    <x v="1"/>
    <x v="3"/>
    <n v="36.4"/>
    <n v="254.79999999999998"/>
    <x v="34"/>
    <d v="2025-02-07T00:00:00"/>
    <x v="2"/>
    <x v="0"/>
    <x v="2"/>
    <x v="0"/>
    <x v="8"/>
    <x v="2"/>
    <x v="5"/>
    <x v="2"/>
  </r>
  <r>
    <x v="838"/>
    <x v="6"/>
    <x v="8"/>
    <n v="105.6"/>
    <n v="844.8"/>
    <x v="34"/>
    <d v="2025-02-14T00:00:00"/>
    <x v="2"/>
    <x v="0"/>
    <x v="0"/>
    <x v="0"/>
    <x v="8"/>
    <x v="14"/>
    <x v="5"/>
    <x v="2"/>
  </r>
  <r>
    <x v="839"/>
    <x v="8"/>
    <x v="1"/>
    <n v="22.1"/>
    <n v="44.2"/>
    <x v="34"/>
    <d v="2025-02-05T00:00:00"/>
    <x v="2"/>
    <x v="0"/>
    <x v="2"/>
    <x v="0"/>
    <x v="17"/>
    <x v="3"/>
    <x v="5"/>
    <x v="2"/>
  </r>
  <r>
    <x v="840"/>
    <x v="0"/>
    <x v="2"/>
    <n v="22.6"/>
    <n v="67.800000000000011"/>
    <x v="34"/>
    <d v="2025-02-05T00:00:00"/>
    <x v="2"/>
    <x v="2"/>
    <x v="0"/>
    <x v="0"/>
    <x v="17"/>
    <x v="3"/>
    <x v="5"/>
    <x v="2"/>
  </r>
  <r>
    <x v="841"/>
    <x v="10"/>
    <x v="13"/>
    <n v="26.3"/>
    <n v="157.80000000000001"/>
    <x v="34"/>
    <d v="2025-02-04T00:00:00"/>
    <x v="2"/>
    <x v="2"/>
    <x v="0"/>
    <x v="0"/>
    <x v="9"/>
    <x v="7"/>
    <x v="5"/>
    <x v="2"/>
  </r>
  <r>
    <x v="842"/>
    <x v="1"/>
    <x v="12"/>
    <n v="37.799999999999997"/>
    <n v="151.19999999999999"/>
    <x v="34"/>
    <d v="2025-02-05T00:00:00"/>
    <x v="2"/>
    <x v="0"/>
    <x v="2"/>
    <x v="0"/>
    <x v="11"/>
    <x v="3"/>
    <x v="5"/>
    <x v="2"/>
  </r>
  <r>
    <x v="843"/>
    <x v="6"/>
    <x v="14"/>
    <n v="96"/>
    <n v="1632"/>
    <x v="34"/>
    <d v="2025-02-07T00:00:00"/>
    <x v="2"/>
    <x v="4"/>
    <x v="1"/>
    <x v="0"/>
    <x v="18"/>
    <x v="2"/>
    <x v="5"/>
    <x v="2"/>
  </r>
  <r>
    <x v="844"/>
    <x v="1"/>
    <x v="0"/>
    <n v="83.6"/>
    <n v="83.6"/>
    <x v="34"/>
    <d v="2025-02-07T00:00:00"/>
    <x v="2"/>
    <x v="2"/>
    <x v="1"/>
    <x v="0"/>
    <x v="19"/>
    <x v="2"/>
    <x v="5"/>
    <x v="2"/>
  </r>
  <r>
    <x v="845"/>
    <x v="2"/>
    <x v="13"/>
    <n v="72.599999999999994"/>
    <n v="435.59999999999997"/>
    <x v="34"/>
    <d v="2025-02-05T00:00:00"/>
    <x v="2"/>
    <x v="0"/>
    <x v="0"/>
    <x v="0"/>
    <x v="21"/>
    <x v="3"/>
    <x v="5"/>
    <x v="2"/>
  </r>
  <r>
    <x v="846"/>
    <x v="5"/>
    <x v="28"/>
    <n v="69.099999999999994"/>
    <n v="1382"/>
    <x v="35"/>
    <d v="2025-02-11T00:00:00"/>
    <x v="1"/>
    <x v="0"/>
    <x v="2"/>
    <x v="0"/>
    <x v="21"/>
    <x v="4"/>
    <x v="5"/>
    <x v="1"/>
  </r>
  <r>
    <x v="847"/>
    <x v="4"/>
    <x v="1"/>
    <n v="22.6"/>
    <n v="45.2"/>
    <x v="35"/>
    <d v="2025-02-07T00:00:00"/>
    <x v="2"/>
    <x v="1"/>
    <x v="2"/>
    <x v="0"/>
    <x v="21"/>
    <x v="1"/>
    <x v="5"/>
    <x v="2"/>
  </r>
  <r>
    <x v="848"/>
    <x v="6"/>
    <x v="1"/>
    <n v="45.3"/>
    <n v="90.6"/>
    <x v="35"/>
    <d v="2025-02-09T00:00:00"/>
    <x v="1"/>
    <x v="4"/>
    <x v="2"/>
    <x v="0"/>
    <x v="21"/>
    <x v="5"/>
    <x v="5"/>
    <x v="1"/>
  </r>
  <r>
    <x v="849"/>
    <x v="2"/>
    <x v="1"/>
    <n v="115.1"/>
    <n v="230.2"/>
    <x v="35"/>
    <d v="2025-02-06T00:00:00"/>
    <x v="2"/>
    <x v="1"/>
    <x v="0"/>
    <x v="0"/>
    <x v="1"/>
    <x v="3"/>
    <x v="5"/>
    <x v="2"/>
  </r>
  <r>
    <x v="850"/>
    <x v="18"/>
    <x v="12"/>
    <n v="79"/>
    <n v="316"/>
    <x v="35"/>
    <d v="2025-02-07T00:00:00"/>
    <x v="1"/>
    <x v="2"/>
    <x v="4"/>
    <x v="0"/>
    <x v="1"/>
    <x v="1"/>
    <x v="5"/>
    <x v="1"/>
  </r>
  <r>
    <x v="851"/>
    <x v="6"/>
    <x v="9"/>
    <n v="52.8"/>
    <n v="264"/>
    <x v="35"/>
    <d v="2025-02-06T00:00:00"/>
    <x v="2"/>
    <x v="0"/>
    <x v="0"/>
    <x v="0"/>
    <x v="42"/>
    <x v="3"/>
    <x v="5"/>
    <x v="2"/>
  </r>
  <r>
    <x v="852"/>
    <x v="8"/>
    <x v="1"/>
    <n v="34.1"/>
    <n v="68.2"/>
    <x v="35"/>
    <d v="2025-02-06T00:00:00"/>
    <x v="1"/>
    <x v="3"/>
    <x v="2"/>
    <x v="0"/>
    <x v="44"/>
    <x v="3"/>
    <x v="5"/>
    <x v="1"/>
  </r>
  <r>
    <x v="853"/>
    <x v="6"/>
    <x v="9"/>
    <n v="107.9"/>
    <n v="539.5"/>
    <x v="35"/>
    <d v="2025-02-05T00:00:00"/>
    <x v="2"/>
    <x v="0"/>
    <x v="2"/>
    <x v="0"/>
    <x v="50"/>
    <x v="7"/>
    <x v="5"/>
    <x v="2"/>
  </r>
  <r>
    <x v="854"/>
    <x v="8"/>
    <x v="15"/>
    <n v="48.5"/>
    <n v="630.5"/>
    <x v="35"/>
    <d v="2025-02-05T00:00:00"/>
    <x v="1"/>
    <x v="2"/>
    <x v="2"/>
    <x v="0"/>
    <x v="3"/>
    <x v="7"/>
    <x v="5"/>
    <x v="1"/>
  </r>
  <r>
    <x v="855"/>
    <x v="5"/>
    <x v="2"/>
    <n v="34.700000000000003"/>
    <n v="104.10000000000001"/>
    <x v="35"/>
    <d v="2025-02-06T00:00:00"/>
    <x v="0"/>
    <x v="4"/>
    <x v="1"/>
    <x v="0"/>
    <x v="3"/>
    <x v="3"/>
    <x v="5"/>
    <x v="0"/>
  </r>
  <r>
    <x v="856"/>
    <x v="8"/>
    <x v="0"/>
    <n v="16.8"/>
    <n v="16.8"/>
    <x v="35"/>
    <d v="2025-02-07T00:00:00"/>
    <x v="2"/>
    <x v="3"/>
    <x v="0"/>
    <x v="0"/>
    <x v="3"/>
    <x v="1"/>
    <x v="5"/>
    <x v="2"/>
  </r>
  <r>
    <x v="857"/>
    <x v="8"/>
    <x v="13"/>
    <n v="18.3"/>
    <n v="109.80000000000001"/>
    <x v="35"/>
    <d v="2025-02-08T00:00:00"/>
    <x v="2"/>
    <x v="0"/>
    <x v="0"/>
    <x v="0"/>
    <x v="3"/>
    <x v="2"/>
    <x v="5"/>
    <x v="2"/>
  </r>
  <r>
    <x v="858"/>
    <x v="18"/>
    <x v="2"/>
    <n v="55.9"/>
    <n v="167.7"/>
    <x v="35"/>
    <d v="2025-02-11T00:00:00"/>
    <x v="1"/>
    <x v="3"/>
    <x v="1"/>
    <x v="0"/>
    <x v="3"/>
    <x v="4"/>
    <x v="5"/>
    <x v="1"/>
  </r>
  <r>
    <x v="859"/>
    <x v="8"/>
    <x v="2"/>
    <n v="39.200000000000003"/>
    <n v="117.60000000000001"/>
    <x v="35"/>
    <d v="2025-02-07T00:00:00"/>
    <x v="2"/>
    <x v="0"/>
    <x v="1"/>
    <x v="0"/>
    <x v="3"/>
    <x v="1"/>
    <x v="5"/>
    <x v="2"/>
  </r>
  <r>
    <x v="860"/>
    <x v="15"/>
    <x v="12"/>
    <n v="66.5"/>
    <n v="266"/>
    <x v="35"/>
    <d v="2025-02-07T00:00:00"/>
    <x v="0"/>
    <x v="3"/>
    <x v="1"/>
    <x v="0"/>
    <x v="3"/>
    <x v="1"/>
    <x v="5"/>
    <x v="0"/>
  </r>
  <r>
    <x v="861"/>
    <x v="6"/>
    <x v="13"/>
    <n v="52.1"/>
    <n v="312.60000000000002"/>
    <x v="35"/>
    <d v="2025-02-07T00:00:00"/>
    <x v="1"/>
    <x v="1"/>
    <x v="1"/>
    <x v="0"/>
    <x v="16"/>
    <x v="1"/>
    <x v="5"/>
    <x v="1"/>
  </r>
  <r>
    <x v="862"/>
    <x v="8"/>
    <x v="1"/>
    <n v="19"/>
    <n v="38"/>
    <x v="35"/>
    <d v="2025-02-06T00:00:00"/>
    <x v="1"/>
    <x v="4"/>
    <x v="2"/>
    <x v="0"/>
    <x v="6"/>
    <x v="3"/>
    <x v="5"/>
    <x v="1"/>
  </r>
  <r>
    <x v="863"/>
    <x v="7"/>
    <x v="2"/>
    <n v="84.8"/>
    <n v="254.39999999999998"/>
    <x v="35"/>
    <d v="2025-02-07T00:00:00"/>
    <x v="2"/>
    <x v="2"/>
    <x v="0"/>
    <x v="0"/>
    <x v="8"/>
    <x v="1"/>
    <x v="5"/>
    <x v="2"/>
  </r>
  <r>
    <x v="864"/>
    <x v="2"/>
    <x v="12"/>
    <n v="63.9"/>
    <n v="255.6"/>
    <x v="35"/>
    <d v="2025-02-08T00:00:00"/>
    <x v="2"/>
    <x v="0"/>
    <x v="0"/>
    <x v="0"/>
    <x v="8"/>
    <x v="2"/>
    <x v="5"/>
    <x v="2"/>
  </r>
  <r>
    <x v="865"/>
    <x v="2"/>
    <x v="2"/>
    <n v="65.5"/>
    <n v="196.5"/>
    <x v="35"/>
    <d v="2025-02-05T00:00:00"/>
    <x v="2"/>
    <x v="1"/>
    <x v="1"/>
    <x v="0"/>
    <x v="8"/>
    <x v="7"/>
    <x v="5"/>
    <x v="2"/>
  </r>
  <r>
    <x v="866"/>
    <x v="12"/>
    <x v="1"/>
    <n v="116.2"/>
    <n v="232.4"/>
    <x v="35"/>
    <d v="2025-02-11T00:00:00"/>
    <x v="1"/>
    <x v="3"/>
    <x v="0"/>
    <x v="0"/>
    <x v="17"/>
    <x v="4"/>
    <x v="5"/>
    <x v="1"/>
  </r>
  <r>
    <x v="867"/>
    <x v="10"/>
    <x v="12"/>
    <n v="22.9"/>
    <n v="91.6"/>
    <x v="35"/>
    <d v="2025-02-07T00:00:00"/>
    <x v="2"/>
    <x v="2"/>
    <x v="1"/>
    <x v="0"/>
    <x v="38"/>
    <x v="1"/>
    <x v="5"/>
    <x v="2"/>
  </r>
  <r>
    <x v="868"/>
    <x v="10"/>
    <x v="2"/>
    <n v="53.7"/>
    <n v="161.10000000000002"/>
    <x v="35"/>
    <d v="2025-02-06T00:00:00"/>
    <x v="1"/>
    <x v="0"/>
    <x v="4"/>
    <x v="0"/>
    <x v="18"/>
    <x v="3"/>
    <x v="5"/>
    <x v="1"/>
  </r>
  <r>
    <x v="869"/>
    <x v="6"/>
    <x v="9"/>
    <n v="43.2"/>
    <n v="216"/>
    <x v="35"/>
    <d v="2025-02-07T00:00:00"/>
    <x v="2"/>
    <x v="0"/>
    <x v="0"/>
    <x v="0"/>
    <x v="19"/>
    <x v="1"/>
    <x v="5"/>
    <x v="2"/>
  </r>
  <r>
    <x v="870"/>
    <x v="1"/>
    <x v="2"/>
    <n v="84.5"/>
    <n v="253.5"/>
    <x v="35"/>
    <d v="2025-02-07T00:00:00"/>
    <x v="1"/>
    <x v="2"/>
    <x v="2"/>
    <x v="0"/>
    <x v="51"/>
    <x v="1"/>
    <x v="5"/>
    <x v="1"/>
  </r>
  <r>
    <x v="871"/>
    <x v="3"/>
    <x v="1"/>
    <n v="42.2"/>
    <n v="84.4"/>
    <x v="35"/>
    <d v="2025-02-06T00:00:00"/>
    <x v="2"/>
    <x v="1"/>
    <x v="2"/>
    <x v="0"/>
    <x v="1"/>
    <x v="3"/>
    <x v="5"/>
    <x v="2"/>
  </r>
  <r>
    <x v="872"/>
    <x v="2"/>
    <x v="13"/>
    <n v="94.7"/>
    <n v="568.20000000000005"/>
    <x v="35"/>
    <d v="2025-02-08T00:00:00"/>
    <x v="2"/>
    <x v="1"/>
    <x v="2"/>
    <x v="0"/>
    <x v="2"/>
    <x v="2"/>
    <x v="5"/>
    <x v="2"/>
  </r>
  <r>
    <x v="873"/>
    <x v="8"/>
    <x v="16"/>
    <n v="16.7"/>
    <n v="300.59999999999997"/>
    <x v="35"/>
    <d v="2025-02-17T00:00:00"/>
    <x v="2"/>
    <x v="0"/>
    <x v="2"/>
    <x v="0"/>
    <x v="2"/>
    <x v="13"/>
    <x v="5"/>
    <x v="2"/>
  </r>
  <r>
    <x v="874"/>
    <x v="2"/>
    <x v="1"/>
    <n v="83.6"/>
    <n v="167.2"/>
    <x v="35"/>
    <d v="2025-02-11T00:00:00"/>
    <x v="2"/>
    <x v="1"/>
    <x v="0"/>
    <x v="0"/>
    <x v="3"/>
    <x v="4"/>
    <x v="5"/>
    <x v="2"/>
  </r>
  <r>
    <x v="875"/>
    <x v="7"/>
    <x v="13"/>
    <n v="33.6"/>
    <n v="201.60000000000002"/>
    <x v="36"/>
    <d v="2025-02-07T00:00:00"/>
    <x v="2"/>
    <x v="3"/>
    <x v="0"/>
    <x v="0"/>
    <x v="3"/>
    <x v="3"/>
    <x v="5"/>
    <x v="2"/>
  </r>
  <r>
    <x v="876"/>
    <x v="7"/>
    <x v="1"/>
    <n v="64.7"/>
    <n v="129.4"/>
    <x v="36"/>
    <d v="2025-02-08T00:00:00"/>
    <x v="1"/>
    <x v="1"/>
    <x v="2"/>
    <x v="0"/>
    <x v="3"/>
    <x v="1"/>
    <x v="5"/>
    <x v="1"/>
  </r>
  <r>
    <x v="877"/>
    <x v="0"/>
    <x v="2"/>
    <n v="15.7"/>
    <n v="47.099999999999994"/>
    <x v="36"/>
    <d v="2025-02-12T00:00:00"/>
    <x v="2"/>
    <x v="0"/>
    <x v="0"/>
    <x v="0"/>
    <x v="3"/>
    <x v="4"/>
    <x v="5"/>
    <x v="2"/>
  </r>
  <r>
    <x v="878"/>
    <x v="15"/>
    <x v="13"/>
    <n v="49.4"/>
    <n v="296.39999999999998"/>
    <x v="36"/>
    <d v="2025-02-06T00:00:00"/>
    <x v="1"/>
    <x v="1"/>
    <x v="0"/>
    <x v="0"/>
    <x v="3"/>
    <x v="7"/>
    <x v="5"/>
    <x v="1"/>
  </r>
  <r>
    <x v="879"/>
    <x v="10"/>
    <x v="13"/>
    <n v="37"/>
    <n v="222"/>
    <x v="36"/>
    <d v="2025-02-09T00:00:00"/>
    <x v="2"/>
    <x v="1"/>
    <x v="2"/>
    <x v="0"/>
    <x v="3"/>
    <x v="2"/>
    <x v="5"/>
    <x v="2"/>
  </r>
  <r>
    <x v="880"/>
    <x v="2"/>
    <x v="1"/>
    <n v="83.7"/>
    <n v="167.4"/>
    <x v="36"/>
    <d v="2025-02-08T00:00:00"/>
    <x v="2"/>
    <x v="3"/>
    <x v="2"/>
    <x v="0"/>
    <x v="3"/>
    <x v="1"/>
    <x v="5"/>
    <x v="2"/>
  </r>
  <r>
    <x v="881"/>
    <x v="1"/>
    <x v="9"/>
    <n v="35.1"/>
    <n v="175.5"/>
    <x v="36"/>
    <d v="2025-02-07T00:00:00"/>
    <x v="2"/>
    <x v="0"/>
    <x v="0"/>
    <x v="0"/>
    <x v="3"/>
    <x v="3"/>
    <x v="5"/>
    <x v="2"/>
  </r>
  <r>
    <x v="882"/>
    <x v="16"/>
    <x v="8"/>
    <n v="74"/>
    <n v="592"/>
    <x v="36"/>
    <d v="2025-02-07T00:00:00"/>
    <x v="2"/>
    <x v="4"/>
    <x v="0"/>
    <x v="0"/>
    <x v="37"/>
    <x v="3"/>
    <x v="5"/>
    <x v="2"/>
  </r>
  <r>
    <x v="883"/>
    <x v="6"/>
    <x v="25"/>
    <n v="55.5"/>
    <n v="1332"/>
    <x v="36"/>
    <d v="2025-02-09T00:00:00"/>
    <x v="1"/>
    <x v="3"/>
    <x v="0"/>
    <x v="0"/>
    <x v="49"/>
    <x v="2"/>
    <x v="5"/>
    <x v="1"/>
  </r>
  <r>
    <x v="884"/>
    <x v="11"/>
    <x v="1"/>
    <n v="38.9"/>
    <n v="77.8"/>
    <x v="36"/>
    <d v="2025-02-08T00:00:00"/>
    <x v="2"/>
    <x v="1"/>
    <x v="2"/>
    <x v="0"/>
    <x v="25"/>
    <x v="1"/>
    <x v="5"/>
    <x v="2"/>
  </r>
  <r>
    <x v="885"/>
    <x v="16"/>
    <x v="1"/>
    <n v="64.599999999999994"/>
    <n v="129.19999999999999"/>
    <x v="36"/>
    <d v="2025-02-13T00:00:00"/>
    <x v="1"/>
    <x v="2"/>
    <x v="1"/>
    <x v="0"/>
    <x v="25"/>
    <x v="6"/>
    <x v="5"/>
    <x v="1"/>
  </r>
  <r>
    <x v="886"/>
    <x v="2"/>
    <x v="2"/>
    <n v="95.3"/>
    <n v="285.89999999999998"/>
    <x v="36"/>
    <d v="2025-02-07T00:00:00"/>
    <x v="1"/>
    <x v="0"/>
    <x v="0"/>
    <x v="0"/>
    <x v="5"/>
    <x v="3"/>
    <x v="5"/>
    <x v="1"/>
  </r>
  <r>
    <x v="887"/>
    <x v="13"/>
    <x v="2"/>
    <n v="25.8"/>
    <n v="77.400000000000006"/>
    <x v="36"/>
    <d v="2025-02-07T00:00:00"/>
    <x v="2"/>
    <x v="1"/>
    <x v="1"/>
    <x v="0"/>
    <x v="6"/>
    <x v="3"/>
    <x v="5"/>
    <x v="2"/>
  </r>
  <r>
    <x v="888"/>
    <x v="0"/>
    <x v="1"/>
    <n v="11.6"/>
    <n v="23.2"/>
    <x v="36"/>
    <d v="2025-02-10T00:00:00"/>
    <x v="2"/>
    <x v="1"/>
    <x v="1"/>
    <x v="0"/>
    <x v="6"/>
    <x v="5"/>
    <x v="5"/>
    <x v="2"/>
  </r>
  <r>
    <x v="889"/>
    <x v="7"/>
    <x v="0"/>
    <n v="52.3"/>
    <n v="52.3"/>
    <x v="36"/>
    <d v="2025-02-07T00:00:00"/>
    <x v="2"/>
    <x v="1"/>
    <x v="0"/>
    <x v="0"/>
    <x v="8"/>
    <x v="3"/>
    <x v="5"/>
    <x v="2"/>
  </r>
  <r>
    <x v="890"/>
    <x v="2"/>
    <x v="7"/>
    <n v="112.2"/>
    <n v="1122"/>
    <x v="36"/>
    <d v="2025-02-07T00:00:00"/>
    <x v="2"/>
    <x v="1"/>
    <x v="1"/>
    <x v="0"/>
    <x v="8"/>
    <x v="3"/>
    <x v="5"/>
    <x v="2"/>
  </r>
  <r>
    <x v="891"/>
    <x v="4"/>
    <x v="9"/>
    <n v="34.6"/>
    <n v="173"/>
    <x v="36"/>
    <d v="2025-02-08T00:00:00"/>
    <x v="1"/>
    <x v="2"/>
    <x v="0"/>
    <x v="0"/>
    <x v="8"/>
    <x v="1"/>
    <x v="5"/>
    <x v="1"/>
  </r>
  <r>
    <x v="892"/>
    <x v="14"/>
    <x v="12"/>
    <n v="20.100000000000001"/>
    <n v="80.400000000000006"/>
    <x v="36"/>
    <d v="2025-02-12T00:00:00"/>
    <x v="1"/>
    <x v="1"/>
    <x v="2"/>
    <x v="0"/>
    <x v="8"/>
    <x v="4"/>
    <x v="5"/>
    <x v="1"/>
  </r>
  <r>
    <x v="893"/>
    <x v="2"/>
    <x v="12"/>
    <n v="56.4"/>
    <n v="225.6"/>
    <x v="36"/>
    <d v="2025-02-08T00:00:00"/>
    <x v="2"/>
    <x v="2"/>
    <x v="0"/>
    <x v="0"/>
    <x v="10"/>
    <x v="1"/>
    <x v="5"/>
    <x v="2"/>
  </r>
  <r>
    <x v="894"/>
    <x v="13"/>
    <x v="11"/>
    <n v="55.3"/>
    <n v="497.7"/>
    <x v="36"/>
    <d v="2025-02-08T00:00:00"/>
    <x v="2"/>
    <x v="1"/>
    <x v="4"/>
    <x v="0"/>
    <x v="11"/>
    <x v="1"/>
    <x v="5"/>
    <x v="2"/>
  </r>
  <r>
    <x v="895"/>
    <x v="2"/>
    <x v="31"/>
    <n v="75.5"/>
    <n v="2114"/>
    <x v="36"/>
    <d v="2025-02-07T00:00:00"/>
    <x v="2"/>
    <x v="0"/>
    <x v="0"/>
    <x v="0"/>
    <x v="11"/>
    <x v="3"/>
    <x v="5"/>
    <x v="2"/>
  </r>
  <r>
    <x v="896"/>
    <x v="8"/>
    <x v="0"/>
    <n v="23.6"/>
    <n v="23.6"/>
    <x v="36"/>
    <d v="2025-02-11T00:00:00"/>
    <x v="2"/>
    <x v="0"/>
    <x v="0"/>
    <x v="0"/>
    <x v="19"/>
    <x v="0"/>
    <x v="5"/>
    <x v="2"/>
  </r>
  <r>
    <x v="897"/>
    <x v="9"/>
    <x v="1"/>
    <n v="70.7"/>
    <n v="141.4"/>
    <x v="36"/>
    <d v="2025-02-08T00:00:00"/>
    <x v="2"/>
    <x v="2"/>
    <x v="0"/>
    <x v="0"/>
    <x v="19"/>
    <x v="1"/>
    <x v="5"/>
    <x v="2"/>
  </r>
  <r>
    <x v="898"/>
    <x v="12"/>
    <x v="1"/>
    <n v="43.2"/>
    <n v="86.4"/>
    <x v="36"/>
    <d v="2025-02-07T00:00:00"/>
    <x v="2"/>
    <x v="2"/>
    <x v="0"/>
    <x v="0"/>
    <x v="31"/>
    <x v="3"/>
    <x v="5"/>
    <x v="2"/>
  </r>
  <r>
    <x v="899"/>
    <x v="9"/>
    <x v="11"/>
    <n v="70"/>
    <n v="630"/>
    <x v="36"/>
    <d v="2025-02-07T00:00:00"/>
    <x v="0"/>
    <x v="1"/>
    <x v="0"/>
    <x v="0"/>
    <x v="52"/>
    <x v="3"/>
    <x v="5"/>
    <x v="0"/>
  </r>
  <r>
    <x v="900"/>
    <x v="0"/>
    <x v="1"/>
    <n v="20.5"/>
    <n v="41"/>
    <x v="36"/>
    <d v="2025-02-08T00:00:00"/>
    <x v="2"/>
    <x v="2"/>
    <x v="4"/>
    <x v="0"/>
    <x v="13"/>
    <x v="1"/>
    <x v="5"/>
    <x v="2"/>
  </r>
  <r>
    <x v="901"/>
    <x v="0"/>
    <x v="12"/>
    <n v="29.1"/>
    <n v="116.4"/>
    <x v="36"/>
    <d v="2025-02-07T00:00:00"/>
    <x v="2"/>
    <x v="3"/>
    <x v="0"/>
    <x v="0"/>
    <x v="28"/>
    <x v="3"/>
    <x v="5"/>
    <x v="2"/>
  </r>
  <r>
    <x v="902"/>
    <x v="6"/>
    <x v="11"/>
    <n v="53.6"/>
    <n v="482.40000000000003"/>
    <x v="36"/>
    <d v="2025-02-07T00:00:00"/>
    <x v="1"/>
    <x v="2"/>
    <x v="1"/>
    <x v="0"/>
    <x v="3"/>
    <x v="3"/>
    <x v="5"/>
    <x v="1"/>
  </r>
  <r>
    <x v="903"/>
    <x v="6"/>
    <x v="9"/>
    <n v="72.3"/>
    <n v="361.5"/>
    <x v="36"/>
    <d v="2025-02-08T00:00:00"/>
    <x v="2"/>
    <x v="1"/>
    <x v="0"/>
    <x v="0"/>
    <x v="3"/>
    <x v="1"/>
    <x v="5"/>
    <x v="2"/>
  </r>
  <r>
    <x v="904"/>
    <x v="13"/>
    <x v="12"/>
    <n v="22.6"/>
    <n v="90.4"/>
    <x v="36"/>
    <d v="2025-02-09T00:00:00"/>
    <x v="3"/>
    <x v="0"/>
    <x v="1"/>
    <x v="0"/>
    <x v="3"/>
    <x v="2"/>
    <x v="5"/>
    <x v="3"/>
  </r>
  <r>
    <x v="905"/>
    <x v="9"/>
    <x v="1"/>
    <n v="44.2"/>
    <n v="88.4"/>
    <x v="36"/>
    <d v="2025-02-10T00:00:00"/>
    <x v="0"/>
    <x v="2"/>
    <x v="4"/>
    <x v="0"/>
    <x v="3"/>
    <x v="5"/>
    <x v="5"/>
    <x v="0"/>
  </r>
  <r>
    <x v="906"/>
    <x v="9"/>
    <x v="2"/>
    <n v="94.1"/>
    <n v="282.29999999999995"/>
    <x v="36"/>
    <d v="2025-02-19T00:00:00"/>
    <x v="2"/>
    <x v="2"/>
    <x v="2"/>
    <x v="0"/>
    <x v="3"/>
    <x v="10"/>
    <x v="5"/>
    <x v="2"/>
  </r>
  <r>
    <x v="907"/>
    <x v="8"/>
    <x v="2"/>
    <n v="17.899999999999999"/>
    <n v="53.699999999999996"/>
    <x v="36"/>
    <d v="2025-02-08T00:00:00"/>
    <x v="1"/>
    <x v="1"/>
    <x v="1"/>
    <x v="0"/>
    <x v="3"/>
    <x v="1"/>
    <x v="5"/>
    <x v="1"/>
  </r>
  <r>
    <x v="908"/>
    <x v="12"/>
    <x v="3"/>
    <n v="52.7"/>
    <n v="368.90000000000003"/>
    <x v="36"/>
    <d v="2025-02-07T00:00:00"/>
    <x v="1"/>
    <x v="1"/>
    <x v="1"/>
    <x v="0"/>
    <x v="3"/>
    <x v="3"/>
    <x v="5"/>
    <x v="1"/>
  </r>
  <r>
    <x v="909"/>
    <x v="8"/>
    <x v="0"/>
    <n v="36.799999999999997"/>
    <n v="36.799999999999997"/>
    <x v="36"/>
    <d v="2025-02-06T00:00:00"/>
    <x v="0"/>
    <x v="0"/>
    <x v="2"/>
    <x v="0"/>
    <x v="3"/>
    <x v="7"/>
    <x v="5"/>
    <x v="0"/>
  </r>
  <r>
    <x v="910"/>
    <x v="4"/>
    <x v="0"/>
    <n v="52.5"/>
    <n v="52.5"/>
    <x v="36"/>
    <d v="2025-02-07T00:00:00"/>
    <x v="1"/>
    <x v="0"/>
    <x v="1"/>
    <x v="0"/>
    <x v="6"/>
    <x v="3"/>
    <x v="5"/>
    <x v="1"/>
  </r>
  <r>
    <x v="911"/>
    <x v="2"/>
    <x v="1"/>
    <n v="133.80000000000001"/>
    <n v="267.60000000000002"/>
    <x v="36"/>
    <d v="2025-02-08T00:00:00"/>
    <x v="1"/>
    <x v="0"/>
    <x v="1"/>
    <x v="0"/>
    <x v="7"/>
    <x v="1"/>
    <x v="5"/>
    <x v="1"/>
  </r>
  <r>
    <x v="912"/>
    <x v="6"/>
    <x v="1"/>
    <n v="53.2"/>
    <n v="106.4"/>
    <x v="36"/>
    <d v="2025-02-08T00:00:00"/>
    <x v="1"/>
    <x v="0"/>
    <x v="0"/>
    <x v="0"/>
    <x v="17"/>
    <x v="1"/>
    <x v="5"/>
    <x v="1"/>
  </r>
  <r>
    <x v="913"/>
    <x v="14"/>
    <x v="13"/>
    <n v="18.7"/>
    <n v="112.19999999999999"/>
    <x v="36"/>
    <d v="2025-02-08T00:00:00"/>
    <x v="0"/>
    <x v="0"/>
    <x v="1"/>
    <x v="0"/>
    <x v="10"/>
    <x v="1"/>
    <x v="5"/>
    <x v="0"/>
  </r>
  <r>
    <x v="914"/>
    <x v="6"/>
    <x v="12"/>
    <n v="108.8"/>
    <n v="435.2"/>
    <x v="36"/>
    <d v="2025-02-07T00:00:00"/>
    <x v="2"/>
    <x v="3"/>
    <x v="2"/>
    <x v="0"/>
    <x v="11"/>
    <x v="3"/>
    <x v="5"/>
    <x v="2"/>
  </r>
  <r>
    <x v="915"/>
    <x v="15"/>
    <x v="9"/>
    <n v="38.5"/>
    <n v="192.5"/>
    <x v="36"/>
    <d v="2025-02-10T00:00:00"/>
    <x v="2"/>
    <x v="0"/>
    <x v="1"/>
    <x v="0"/>
    <x v="14"/>
    <x v="5"/>
    <x v="5"/>
    <x v="2"/>
  </r>
  <r>
    <x v="916"/>
    <x v="10"/>
    <x v="7"/>
    <n v="46.5"/>
    <n v="465"/>
    <x v="36"/>
    <d v="2025-02-08T00:00:00"/>
    <x v="1"/>
    <x v="2"/>
    <x v="1"/>
    <x v="0"/>
    <x v="2"/>
    <x v="1"/>
    <x v="5"/>
    <x v="1"/>
  </r>
  <r>
    <x v="917"/>
    <x v="2"/>
    <x v="2"/>
    <n v="75.8"/>
    <n v="227.39999999999998"/>
    <x v="36"/>
    <d v="2025-02-10T00:00:00"/>
    <x v="2"/>
    <x v="1"/>
    <x v="4"/>
    <x v="0"/>
    <x v="44"/>
    <x v="5"/>
    <x v="5"/>
    <x v="2"/>
  </r>
  <r>
    <x v="918"/>
    <x v="8"/>
    <x v="0"/>
    <n v="20.9"/>
    <n v="20.9"/>
    <x v="36"/>
    <d v="2025-02-10T00:00:00"/>
    <x v="1"/>
    <x v="0"/>
    <x v="0"/>
    <x v="0"/>
    <x v="22"/>
    <x v="5"/>
    <x v="5"/>
    <x v="1"/>
  </r>
  <r>
    <x v="919"/>
    <x v="18"/>
    <x v="2"/>
    <n v="47.4"/>
    <n v="142.19999999999999"/>
    <x v="36"/>
    <d v="2025-02-09T00:00:00"/>
    <x v="2"/>
    <x v="0"/>
    <x v="0"/>
    <x v="0"/>
    <x v="3"/>
    <x v="2"/>
    <x v="5"/>
    <x v="2"/>
  </r>
  <r>
    <x v="920"/>
    <x v="9"/>
    <x v="1"/>
    <n v="53.8"/>
    <n v="107.6"/>
    <x v="36"/>
    <d v="2025-02-07T00:00:00"/>
    <x v="0"/>
    <x v="0"/>
    <x v="1"/>
    <x v="0"/>
    <x v="3"/>
    <x v="3"/>
    <x v="5"/>
    <x v="0"/>
  </r>
  <r>
    <x v="921"/>
    <x v="8"/>
    <x v="2"/>
    <n v="24.6"/>
    <n v="73.800000000000011"/>
    <x v="36"/>
    <d v="2025-02-08T00:00:00"/>
    <x v="3"/>
    <x v="1"/>
    <x v="2"/>
    <x v="0"/>
    <x v="3"/>
    <x v="1"/>
    <x v="5"/>
    <x v="3"/>
  </r>
  <r>
    <x v="922"/>
    <x v="9"/>
    <x v="2"/>
    <n v="70.900000000000006"/>
    <n v="212.70000000000002"/>
    <x v="36"/>
    <d v="2025-02-11T00:00:00"/>
    <x v="2"/>
    <x v="2"/>
    <x v="2"/>
    <x v="0"/>
    <x v="3"/>
    <x v="0"/>
    <x v="5"/>
    <x v="2"/>
  </r>
  <r>
    <x v="923"/>
    <x v="17"/>
    <x v="2"/>
    <n v="31.9"/>
    <n v="95.699999999999989"/>
    <x v="36"/>
    <d v="2025-02-08T00:00:00"/>
    <x v="2"/>
    <x v="2"/>
    <x v="2"/>
    <x v="0"/>
    <x v="3"/>
    <x v="1"/>
    <x v="5"/>
    <x v="2"/>
  </r>
  <r>
    <x v="924"/>
    <x v="0"/>
    <x v="1"/>
    <n v="20.399999999999999"/>
    <n v="40.799999999999997"/>
    <x v="36"/>
    <d v="2025-02-10T00:00:00"/>
    <x v="1"/>
    <x v="3"/>
    <x v="2"/>
    <x v="0"/>
    <x v="3"/>
    <x v="5"/>
    <x v="5"/>
    <x v="1"/>
  </r>
  <r>
    <x v="925"/>
    <x v="8"/>
    <x v="1"/>
    <n v="18.600000000000001"/>
    <n v="37.200000000000003"/>
    <x v="36"/>
    <d v="2025-02-08T00:00:00"/>
    <x v="0"/>
    <x v="0"/>
    <x v="1"/>
    <x v="0"/>
    <x v="3"/>
    <x v="1"/>
    <x v="5"/>
    <x v="0"/>
  </r>
  <r>
    <x v="926"/>
    <x v="4"/>
    <x v="9"/>
    <n v="48.3"/>
    <n v="241.5"/>
    <x v="36"/>
    <d v="2025-02-08T00:00:00"/>
    <x v="2"/>
    <x v="1"/>
    <x v="0"/>
    <x v="0"/>
    <x v="3"/>
    <x v="1"/>
    <x v="5"/>
    <x v="2"/>
  </r>
  <r>
    <x v="927"/>
    <x v="0"/>
    <x v="12"/>
    <n v="27.7"/>
    <n v="110.8"/>
    <x v="36"/>
    <d v="2025-02-08T00:00:00"/>
    <x v="2"/>
    <x v="0"/>
    <x v="0"/>
    <x v="0"/>
    <x v="3"/>
    <x v="1"/>
    <x v="5"/>
    <x v="2"/>
  </r>
  <r>
    <x v="928"/>
    <x v="4"/>
    <x v="9"/>
    <n v="22.5"/>
    <n v="112.5"/>
    <x v="36"/>
    <d v="2025-02-08T00:00:00"/>
    <x v="2"/>
    <x v="4"/>
    <x v="2"/>
    <x v="0"/>
    <x v="3"/>
    <x v="1"/>
    <x v="5"/>
    <x v="2"/>
  </r>
  <r>
    <x v="929"/>
    <x v="17"/>
    <x v="9"/>
    <n v="21.6"/>
    <n v="108"/>
    <x v="36"/>
    <d v="2025-02-14T00:00:00"/>
    <x v="2"/>
    <x v="0"/>
    <x v="1"/>
    <x v="0"/>
    <x v="3"/>
    <x v="9"/>
    <x v="5"/>
    <x v="2"/>
  </r>
  <r>
    <x v="930"/>
    <x v="10"/>
    <x v="3"/>
    <n v="26.3"/>
    <n v="184.1"/>
    <x v="36"/>
    <d v="2025-02-06T00:00:00"/>
    <x v="2"/>
    <x v="2"/>
    <x v="1"/>
    <x v="0"/>
    <x v="3"/>
    <x v="7"/>
    <x v="5"/>
    <x v="2"/>
  </r>
  <r>
    <x v="931"/>
    <x v="6"/>
    <x v="3"/>
    <n v="103"/>
    <n v="721"/>
    <x v="37"/>
    <d v="2025-02-08T00:00:00"/>
    <x v="1"/>
    <x v="0"/>
    <x v="2"/>
    <x v="0"/>
    <x v="6"/>
    <x v="3"/>
    <x v="5"/>
    <x v="1"/>
  </r>
  <r>
    <x v="932"/>
    <x v="5"/>
    <x v="20"/>
    <n v="46.6"/>
    <n v="699"/>
    <x v="37"/>
    <d v="2025-02-08T00:00:00"/>
    <x v="2"/>
    <x v="0"/>
    <x v="1"/>
    <x v="0"/>
    <x v="6"/>
    <x v="3"/>
    <x v="5"/>
    <x v="2"/>
  </r>
  <r>
    <x v="933"/>
    <x v="0"/>
    <x v="9"/>
    <n v="32.200000000000003"/>
    <n v="161"/>
    <x v="37"/>
    <d v="2025-02-10T00:00:00"/>
    <x v="2"/>
    <x v="0"/>
    <x v="2"/>
    <x v="0"/>
    <x v="36"/>
    <x v="2"/>
    <x v="5"/>
    <x v="2"/>
  </r>
  <r>
    <x v="934"/>
    <x v="8"/>
    <x v="2"/>
    <n v="22"/>
    <n v="66"/>
    <x v="37"/>
    <d v="2025-02-14T00:00:00"/>
    <x v="1"/>
    <x v="1"/>
    <x v="0"/>
    <x v="0"/>
    <x v="7"/>
    <x v="6"/>
    <x v="5"/>
    <x v="1"/>
  </r>
  <r>
    <x v="935"/>
    <x v="0"/>
    <x v="1"/>
    <n v="25.2"/>
    <n v="50.4"/>
    <x v="37"/>
    <d v="2025-02-11T00:00:00"/>
    <x v="2"/>
    <x v="0"/>
    <x v="0"/>
    <x v="0"/>
    <x v="7"/>
    <x v="5"/>
    <x v="5"/>
    <x v="2"/>
  </r>
  <r>
    <x v="936"/>
    <x v="1"/>
    <x v="13"/>
    <n v="68.7"/>
    <n v="412.20000000000005"/>
    <x v="37"/>
    <d v="2025-02-09T00:00:00"/>
    <x v="1"/>
    <x v="4"/>
    <x v="0"/>
    <x v="0"/>
    <x v="8"/>
    <x v="1"/>
    <x v="5"/>
    <x v="1"/>
  </r>
  <r>
    <x v="937"/>
    <x v="0"/>
    <x v="2"/>
    <n v="22.2"/>
    <n v="66.599999999999994"/>
    <x v="37"/>
    <d v="2025-02-10T00:00:00"/>
    <x v="1"/>
    <x v="2"/>
    <x v="2"/>
    <x v="0"/>
    <x v="8"/>
    <x v="2"/>
    <x v="5"/>
    <x v="1"/>
  </r>
  <r>
    <x v="938"/>
    <x v="1"/>
    <x v="3"/>
    <n v="36"/>
    <n v="252"/>
    <x v="37"/>
    <d v="2025-02-08T00:00:00"/>
    <x v="2"/>
    <x v="1"/>
    <x v="0"/>
    <x v="0"/>
    <x v="8"/>
    <x v="3"/>
    <x v="5"/>
    <x v="2"/>
  </r>
  <r>
    <x v="939"/>
    <x v="18"/>
    <x v="0"/>
    <n v="50.6"/>
    <n v="50.6"/>
    <x v="37"/>
    <d v="2025-02-09T00:00:00"/>
    <x v="2"/>
    <x v="0"/>
    <x v="1"/>
    <x v="0"/>
    <x v="8"/>
    <x v="1"/>
    <x v="5"/>
    <x v="2"/>
  </r>
  <r>
    <x v="940"/>
    <x v="15"/>
    <x v="1"/>
    <n v="44.9"/>
    <n v="89.8"/>
    <x v="37"/>
    <d v="2025-02-09T00:00:00"/>
    <x v="1"/>
    <x v="0"/>
    <x v="1"/>
    <x v="0"/>
    <x v="8"/>
    <x v="1"/>
    <x v="5"/>
    <x v="1"/>
  </r>
  <r>
    <x v="941"/>
    <x v="6"/>
    <x v="2"/>
    <n v="71.599999999999994"/>
    <n v="214.79999999999998"/>
    <x v="37"/>
    <d v="2025-02-11T00:00:00"/>
    <x v="1"/>
    <x v="1"/>
    <x v="2"/>
    <x v="0"/>
    <x v="10"/>
    <x v="5"/>
    <x v="5"/>
    <x v="1"/>
  </r>
  <r>
    <x v="942"/>
    <x v="6"/>
    <x v="13"/>
    <n v="51.5"/>
    <n v="309"/>
    <x v="37"/>
    <d v="2025-02-09T00:00:00"/>
    <x v="0"/>
    <x v="4"/>
    <x v="0"/>
    <x v="0"/>
    <x v="11"/>
    <x v="1"/>
    <x v="5"/>
    <x v="0"/>
  </r>
  <r>
    <x v="943"/>
    <x v="7"/>
    <x v="9"/>
    <n v="55.5"/>
    <n v="277.5"/>
    <x v="37"/>
    <d v="2025-02-08T00:00:00"/>
    <x v="1"/>
    <x v="1"/>
    <x v="1"/>
    <x v="0"/>
    <x v="11"/>
    <x v="3"/>
    <x v="5"/>
    <x v="1"/>
  </r>
  <r>
    <x v="944"/>
    <x v="6"/>
    <x v="0"/>
    <n v="51.7"/>
    <n v="51.7"/>
    <x v="37"/>
    <d v="2025-02-21T00:00:00"/>
    <x v="1"/>
    <x v="2"/>
    <x v="0"/>
    <x v="0"/>
    <x v="19"/>
    <x v="12"/>
    <x v="5"/>
    <x v="1"/>
  </r>
  <r>
    <x v="945"/>
    <x v="8"/>
    <x v="38"/>
    <n v="45.5"/>
    <n v="955.5"/>
    <x v="37"/>
    <d v="2025-02-08T00:00:00"/>
    <x v="2"/>
    <x v="3"/>
    <x v="2"/>
    <x v="0"/>
    <x v="19"/>
    <x v="3"/>
    <x v="5"/>
    <x v="2"/>
  </r>
  <r>
    <x v="946"/>
    <x v="8"/>
    <x v="1"/>
    <n v="33.799999999999997"/>
    <n v="67.599999999999994"/>
    <x v="37"/>
    <d v="2025-02-13T00:00:00"/>
    <x v="2"/>
    <x v="3"/>
    <x v="0"/>
    <x v="0"/>
    <x v="20"/>
    <x v="4"/>
    <x v="5"/>
    <x v="2"/>
  </r>
  <r>
    <x v="947"/>
    <x v="3"/>
    <x v="2"/>
    <n v="76.5"/>
    <n v="229.5"/>
    <x v="37"/>
    <d v="2025-02-08T00:00:00"/>
    <x v="2"/>
    <x v="0"/>
    <x v="1"/>
    <x v="0"/>
    <x v="21"/>
    <x v="3"/>
    <x v="5"/>
    <x v="2"/>
  </r>
  <r>
    <x v="948"/>
    <x v="9"/>
    <x v="2"/>
    <n v="42.6"/>
    <n v="127.80000000000001"/>
    <x v="37"/>
    <d v="2025-02-13T00:00:00"/>
    <x v="2"/>
    <x v="2"/>
    <x v="2"/>
    <x v="0"/>
    <x v="2"/>
    <x v="4"/>
    <x v="5"/>
    <x v="2"/>
  </r>
  <r>
    <x v="949"/>
    <x v="6"/>
    <x v="2"/>
    <n v="44.1"/>
    <n v="132.30000000000001"/>
    <x v="37"/>
    <d v="2025-02-09T00:00:00"/>
    <x v="2"/>
    <x v="1"/>
    <x v="1"/>
    <x v="0"/>
    <x v="22"/>
    <x v="1"/>
    <x v="5"/>
    <x v="2"/>
  </r>
  <r>
    <x v="950"/>
    <x v="8"/>
    <x v="1"/>
    <n v="40.9"/>
    <n v="81.8"/>
    <x v="37"/>
    <d v="2025-02-11T00:00:00"/>
    <x v="1"/>
    <x v="0"/>
    <x v="0"/>
    <x v="0"/>
    <x v="3"/>
    <x v="5"/>
    <x v="5"/>
    <x v="1"/>
  </r>
  <r>
    <x v="951"/>
    <x v="9"/>
    <x v="2"/>
    <n v="49.1"/>
    <n v="147.30000000000001"/>
    <x v="37"/>
    <d v="2025-02-11T00:00:00"/>
    <x v="2"/>
    <x v="3"/>
    <x v="1"/>
    <x v="0"/>
    <x v="3"/>
    <x v="5"/>
    <x v="5"/>
    <x v="2"/>
  </r>
  <r>
    <x v="952"/>
    <x v="18"/>
    <x v="0"/>
    <n v="85.3"/>
    <n v="85.3"/>
    <x v="37"/>
    <d v="2025-02-11T00:00:00"/>
    <x v="1"/>
    <x v="1"/>
    <x v="1"/>
    <x v="0"/>
    <x v="3"/>
    <x v="5"/>
    <x v="5"/>
    <x v="1"/>
  </r>
  <r>
    <x v="953"/>
    <x v="6"/>
    <x v="12"/>
    <n v="43.1"/>
    <n v="172.4"/>
    <x v="38"/>
    <d v="2025-02-11T00:00:00"/>
    <x v="1"/>
    <x v="0"/>
    <x v="0"/>
    <x v="0"/>
    <x v="3"/>
    <x v="2"/>
    <x v="5"/>
    <x v="1"/>
  </r>
  <r>
    <x v="954"/>
    <x v="4"/>
    <x v="12"/>
    <n v="46.2"/>
    <n v="184.8"/>
    <x v="38"/>
    <d v="2025-02-09T00:00:00"/>
    <x v="1"/>
    <x v="2"/>
    <x v="0"/>
    <x v="0"/>
    <x v="3"/>
    <x v="3"/>
    <x v="5"/>
    <x v="1"/>
  </r>
  <r>
    <x v="955"/>
    <x v="1"/>
    <x v="0"/>
    <n v="74.400000000000006"/>
    <n v="74.400000000000006"/>
    <x v="38"/>
    <d v="2025-02-10T00:00:00"/>
    <x v="1"/>
    <x v="4"/>
    <x v="2"/>
    <x v="0"/>
    <x v="3"/>
    <x v="1"/>
    <x v="5"/>
    <x v="1"/>
  </r>
  <r>
    <x v="956"/>
    <x v="17"/>
    <x v="1"/>
    <n v="51.2"/>
    <n v="102.4"/>
    <x v="38"/>
    <d v="2025-02-09T00:00:00"/>
    <x v="1"/>
    <x v="1"/>
    <x v="0"/>
    <x v="0"/>
    <x v="3"/>
    <x v="3"/>
    <x v="5"/>
    <x v="1"/>
  </r>
  <r>
    <x v="957"/>
    <x v="14"/>
    <x v="12"/>
    <n v="11.8"/>
    <n v="47.2"/>
    <x v="38"/>
    <d v="2025-02-08T00:00:00"/>
    <x v="1"/>
    <x v="2"/>
    <x v="0"/>
    <x v="0"/>
    <x v="3"/>
    <x v="7"/>
    <x v="5"/>
    <x v="1"/>
  </r>
  <r>
    <x v="958"/>
    <x v="10"/>
    <x v="6"/>
    <n v="40.799999999999997"/>
    <n v="1101.5999999999999"/>
    <x v="38"/>
    <d v="2025-02-09T00:00:00"/>
    <x v="2"/>
    <x v="3"/>
    <x v="2"/>
    <x v="0"/>
    <x v="3"/>
    <x v="3"/>
    <x v="5"/>
    <x v="2"/>
  </r>
  <r>
    <x v="959"/>
    <x v="8"/>
    <x v="0"/>
    <n v="24.7"/>
    <n v="24.7"/>
    <x v="38"/>
    <d v="2025-02-10T00:00:00"/>
    <x v="2"/>
    <x v="2"/>
    <x v="1"/>
    <x v="0"/>
    <x v="3"/>
    <x v="1"/>
    <x v="5"/>
    <x v="2"/>
  </r>
  <r>
    <x v="960"/>
    <x v="8"/>
    <x v="3"/>
    <n v="22.1"/>
    <n v="154.70000000000002"/>
    <x v="38"/>
    <d v="2025-02-08T00:00:00"/>
    <x v="2"/>
    <x v="2"/>
    <x v="4"/>
    <x v="0"/>
    <x v="3"/>
    <x v="7"/>
    <x v="5"/>
    <x v="2"/>
  </r>
  <r>
    <x v="961"/>
    <x v="8"/>
    <x v="0"/>
    <n v="18.100000000000001"/>
    <n v="18.100000000000001"/>
    <x v="38"/>
    <d v="2025-02-12T00:00:00"/>
    <x v="1"/>
    <x v="3"/>
    <x v="2"/>
    <x v="0"/>
    <x v="3"/>
    <x v="5"/>
    <x v="5"/>
    <x v="1"/>
  </r>
  <r>
    <x v="962"/>
    <x v="17"/>
    <x v="1"/>
    <n v="58.8"/>
    <n v="117.6"/>
    <x v="38"/>
    <d v="2025-02-11T00:00:00"/>
    <x v="2"/>
    <x v="0"/>
    <x v="0"/>
    <x v="0"/>
    <x v="25"/>
    <x v="2"/>
    <x v="5"/>
    <x v="2"/>
  </r>
  <r>
    <x v="963"/>
    <x v="18"/>
    <x v="1"/>
    <n v="30.8"/>
    <n v="61.6"/>
    <x v="38"/>
    <d v="2025-02-09T00:00:00"/>
    <x v="2"/>
    <x v="0"/>
    <x v="0"/>
    <x v="0"/>
    <x v="6"/>
    <x v="3"/>
    <x v="5"/>
    <x v="2"/>
  </r>
  <r>
    <x v="964"/>
    <x v="0"/>
    <x v="1"/>
    <n v="12"/>
    <n v="24"/>
    <x v="38"/>
    <d v="2025-02-12T00:00:00"/>
    <x v="2"/>
    <x v="0"/>
    <x v="0"/>
    <x v="0"/>
    <x v="6"/>
    <x v="5"/>
    <x v="5"/>
    <x v="2"/>
  </r>
  <r>
    <x v="965"/>
    <x v="0"/>
    <x v="12"/>
    <n v="13.6"/>
    <n v="54.4"/>
    <x v="38"/>
    <d v="2025-02-11T00:00:00"/>
    <x v="1"/>
    <x v="2"/>
    <x v="0"/>
    <x v="0"/>
    <x v="6"/>
    <x v="2"/>
    <x v="5"/>
    <x v="1"/>
  </r>
  <r>
    <x v="966"/>
    <x v="0"/>
    <x v="0"/>
    <n v="17.899999999999999"/>
    <n v="17.899999999999999"/>
    <x v="38"/>
    <d v="2025-02-09T00:00:00"/>
    <x v="1"/>
    <x v="3"/>
    <x v="0"/>
    <x v="0"/>
    <x v="6"/>
    <x v="3"/>
    <x v="5"/>
    <x v="1"/>
  </r>
  <r>
    <x v="967"/>
    <x v="9"/>
    <x v="1"/>
    <n v="38.6"/>
    <n v="77.2"/>
    <x v="38"/>
    <d v="2025-02-12T00:00:00"/>
    <x v="2"/>
    <x v="4"/>
    <x v="0"/>
    <x v="0"/>
    <x v="7"/>
    <x v="5"/>
    <x v="5"/>
    <x v="2"/>
  </r>
  <r>
    <x v="968"/>
    <x v="5"/>
    <x v="9"/>
    <n v="32.700000000000003"/>
    <n v="163.5"/>
    <x v="38"/>
    <d v="2025-02-09T00:00:00"/>
    <x v="1"/>
    <x v="2"/>
    <x v="2"/>
    <x v="0"/>
    <x v="8"/>
    <x v="3"/>
    <x v="5"/>
    <x v="1"/>
  </r>
  <r>
    <x v="969"/>
    <x v="3"/>
    <x v="1"/>
    <n v="111.4"/>
    <n v="222.8"/>
    <x v="38"/>
    <d v="2025-02-09T00:00:00"/>
    <x v="2"/>
    <x v="1"/>
    <x v="0"/>
    <x v="0"/>
    <x v="8"/>
    <x v="3"/>
    <x v="5"/>
    <x v="2"/>
  </r>
  <r>
    <x v="970"/>
    <x v="2"/>
    <x v="13"/>
    <n v="80.3"/>
    <n v="481.79999999999995"/>
    <x v="38"/>
    <d v="2025-02-10T00:00:00"/>
    <x v="2"/>
    <x v="1"/>
    <x v="0"/>
    <x v="0"/>
    <x v="8"/>
    <x v="1"/>
    <x v="5"/>
    <x v="2"/>
  </r>
  <r>
    <x v="971"/>
    <x v="6"/>
    <x v="1"/>
    <n v="58.9"/>
    <n v="117.8"/>
    <x v="38"/>
    <d v="2025-02-09T00:00:00"/>
    <x v="1"/>
    <x v="1"/>
    <x v="0"/>
    <x v="0"/>
    <x v="8"/>
    <x v="3"/>
    <x v="5"/>
    <x v="1"/>
  </r>
  <r>
    <x v="972"/>
    <x v="6"/>
    <x v="2"/>
    <n v="51.9"/>
    <n v="155.69999999999999"/>
    <x v="38"/>
    <d v="2025-02-10T00:00:00"/>
    <x v="2"/>
    <x v="1"/>
    <x v="4"/>
    <x v="0"/>
    <x v="8"/>
    <x v="1"/>
    <x v="5"/>
    <x v="2"/>
  </r>
  <r>
    <x v="973"/>
    <x v="2"/>
    <x v="2"/>
    <n v="50.3"/>
    <n v="150.89999999999998"/>
    <x v="38"/>
    <d v="2025-02-09T00:00:00"/>
    <x v="1"/>
    <x v="2"/>
    <x v="0"/>
    <x v="0"/>
    <x v="17"/>
    <x v="3"/>
    <x v="5"/>
    <x v="1"/>
  </r>
  <r>
    <x v="974"/>
    <x v="11"/>
    <x v="13"/>
    <n v="45"/>
    <n v="270"/>
    <x v="38"/>
    <d v="2025-02-14T00:00:00"/>
    <x v="2"/>
    <x v="3"/>
    <x v="0"/>
    <x v="0"/>
    <x v="9"/>
    <x v="4"/>
    <x v="5"/>
    <x v="2"/>
  </r>
  <r>
    <x v="975"/>
    <x v="10"/>
    <x v="13"/>
    <n v="44.7"/>
    <n v="268.20000000000005"/>
    <x v="38"/>
    <d v="2025-02-10T00:00:00"/>
    <x v="2"/>
    <x v="2"/>
    <x v="0"/>
    <x v="0"/>
    <x v="11"/>
    <x v="1"/>
    <x v="5"/>
    <x v="2"/>
  </r>
  <r>
    <x v="976"/>
    <x v="18"/>
    <x v="20"/>
    <n v="33"/>
    <n v="495"/>
    <x v="38"/>
    <d v="2025-02-09T00:00:00"/>
    <x v="2"/>
    <x v="2"/>
    <x v="0"/>
    <x v="0"/>
    <x v="11"/>
    <x v="3"/>
    <x v="5"/>
    <x v="2"/>
  </r>
  <r>
    <x v="977"/>
    <x v="1"/>
    <x v="9"/>
    <n v="44.9"/>
    <n v="224.5"/>
    <x v="38"/>
    <d v="2025-02-11T00:00:00"/>
    <x v="2"/>
    <x v="2"/>
    <x v="2"/>
    <x v="0"/>
    <x v="18"/>
    <x v="2"/>
    <x v="5"/>
    <x v="2"/>
  </r>
  <r>
    <x v="978"/>
    <x v="10"/>
    <x v="1"/>
    <n v="34.6"/>
    <n v="69.2"/>
    <x v="38"/>
    <d v="2025-02-12T00:00:00"/>
    <x v="2"/>
    <x v="0"/>
    <x v="1"/>
    <x v="0"/>
    <x v="19"/>
    <x v="5"/>
    <x v="5"/>
    <x v="2"/>
  </r>
  <r>
    <x v="979"/>
    <x v="7"/>
    <x v="3"/>
    <n v="47.1"/>
    <n v="329.7"/>
    <x v="38"/>
    <d v="2025-02-13T00:00:00"/>
    <x v="2"/>
    <x v="0"/>
    <x v="0"/>
    <x v="0"/>
    <x v="13"/>
    <x v="0"/>
    <x v="5"/>
    <x v="2"/>
  </r>
  <r>
    <x v="980"/>
    <x v="4"/>
    <x v="9"/>
    <n v="26.1"/>
    <n v="130.5"/>
    <x v="38"/>
    <d v="2025-02-13T00:00:00"/>
    <x v="1"/>
    <x v="0"/>
    <x v="2"/>
    <x v="0"/>
    <x v="21"/>
    <x v="0"/>
    <x v="5"/>
    <x v="1"/>
  </r>
  <r>
    <x v="981"/>
    <x v="12"/>
    <x v="9"/>
    <n v="66.8"/>
    <n v="334"/>
    <x v="38"/>
    <d v="2025-02-11T00:00:00"/>
    <x v="2"/>
    <x v="0"/>
    <x v="0"/>
    <x v="0"/>
    <x v="21"/>
    <x v="2"/>
    <x v="5"/>
    <x v="2"/>
  </r>
  <r>
    <x v="982"/>
    <x v="2"/>
    <x v="1"/>
    <n v="167.9"/>
    <n v="335.8"/>
    <x v="38"/>
    <d v="2025-02-09T00:00:00"/>
    <x v="2"/>
    <x v="3"/>
    <x v="2"/>
    <x v="0"/>
    <x v="21"/>
    <x v="3"/>
    <x v="5"/>
    <x v="2"/>
  </r>
  <r>
    <x v="983"/>
    <x v="10"/>
    <x v="11"/>
    <n v="34.6"/>
    <n v="311.40000000000003"/>
    <x v="38"/>
    <d v="2025-02-09T00:00:00"/>
    <x v="2"/>
    <x v="2"/>
    <x v="1"/>
    <x v="0"/>
    <x v="21"/>
    <x v="3"/>
    <x v="5"/>
    <x v="2"/>
  </r>
  <r>
    <x v="984"/>
    <x v="8"/>
    <x v="2"/>
    <n v="35.1"/>
    <n v="105.30000000000001"/>
    <x v="39"/>
    <d v="2025-02-13T00:00:00"/>
    <x v="1"/>
    <x v="4"/>
    <x v="2"/>
    <x v="0"/>
    <x v="1"/>
    <x v="5"/>
    <x v="6"/>
    <x v="1"/>
  </r>
  <r>
    <x v="985"/>
    <x v="6"/>
    <x v="12"/>
    <n v="104.5"/>
    <n v="418"/>
    <x v="39"/>
    <d v="2025-02-10T00:00:00"/>
    <x v="1"/>
    <x v="1"/>
    <x v="1"/>
    <x v="0"/>
    <x v="1"/>
    <x v="3"/>
    <x v="6"/>
    <x v="1"/>
  </r>
  <r>
    <x v="986"/>
    <x v="8"/>
    <x v="0"/>
    <n v="37.9"/>
    <n v="37.9"/>
    <x v="39"/>
    <d v="2025-02-11T00:00:00"/>
    <x v="0"/>
    <x v="1"/>
    <x v="2"/>
    <x v="0"/>
    <x v="2"/>
    <x v="1"/>
    <x v="6"/>
    <x v="0"/>
  </r>
  <r>
    <x v="987"/>
    <x v="4"/>
    <x v="2"/>
    <n v="25.5"/>
    <n v="76.5"/>
    <x v="39"/>
    <d v="2025-02-12T00:00:00"/>
    <x v="1"/>
    <x v="3"/>
    <x v="0"/>
    <x v="0"/>
    <x v="2"/>
    <x v="2"/>
    <x v="6"/>
    <x v="1"/>
  </r>
  <r>
    <x v="988"/>
    <x v="0"/>
    <x v="2"/>
    <n v="32"/>
    <n v="96"/>
    <x v="39"/>
    <d v="2025-02-13T00:00:00"/>
    <x v="2"/>
    <x v="1"/>
    <x v="0"/>
    <x v="0"/>
    <x v="22"/>
    <x v="5"/>
    <x v="6"/>
    <x v="2"/>
  </r>
  <r>
    <x v="989"/>
    <x v="1"/>
    <x v="0"/>
    <n v="47.1"/>
    <n v="47.1"/>
    <x v="39"/>
    <d v="2025-02-10T00:00:00"/>
    <x v="2"/>
    <x v="0"/>
    <x v="0"/>
    <x v="0"/>
    <x v="34"/>
    <x v="3"/>
    <x v="6"/>
    <x v="2"/>
  </r>
  <r>
    <x v="990"/>
    <x v="6"/>
    <x v="1"/>
    <n v="50.6"/>
    <n v="101.2"/>
    <x v="39"/>
    <d v="2025-02-15T00:00:00"/>
    <x v="0"/>
    <x v="0"/>
    <x v="0"/>
    <x v="0"/>
    <x v="3"/>
    <x v="4"/>
    <x v="6"/>
    <x v="0"/>
  </r>
  <r>
    <x v="991"/>
    <x v="6"/>
    <x v="9"/>
    <n v="81.7"/>
    <n v="408.5"/>
    <x v="39"/>
    <d v="2025-02-10T00:00:00"/>
    <x v="2"/>
    <x v="1"/>
    <x v="2"/>
    <x v="0"/>
    <x v="3"/>
    <x v="3"/>
    <x v="6"/>
    <x v="2"/>
  </r>
  <r>
    <x v="992"/>
    <x v="5"/>
    <x v="1"/>
    <n v="50.7"/>
    <n v="101.4"/>
    <x v="39"/>
    <d v="2025-02-10T00:00:00"/>
    <x v="3"/>
    <x v="2"/>
    <x v="2"/>
    <x v="0"/>
    <x v="3"/>
    <x v="3"/>
    <x v="6"/>
    <x v="3"/>
  </r>
  <r>
    <x v="993"/>
    <x v="2"/>
    <x v="10"/>
    <n v="67.3"/>
    <n v="1278.7"/>
    <x v="39"/>
    <d v="2025-02-13T00:00:00"/>
    <x v="2"/>
    <x v="2"/>
    <x v="0"/>
    <x v="0"/>
    <x v="3"/>
    <x v="5"/>
    <x v="6"/>
    <x v="2"/>
  </r>
  <r>
    <x v="994"/>
    <x v="2"/>
    <x v="12"/>
    <n v="64.8"/>
    <n v="259.2"/>
    <x v="39"/>
    <d v="2025-02-12T00:00:00"/>
    <x v="2"/>
    <x v="3"/>
    <x v="0"/>
    <x v="0"/>
    <x v="3"/>
    <x v="2"/>
    <x v="6"/>
    <x v="2"/>
  </r>
  <r>
    <x v="995"/>
    <x v="5"/>
    <x v="32"/>
    <n v="61.3"/>
    <n v="1348.6"/>
    <x v="39"/>
    <d v="2025-02-10T00:00:00"/>
    <x v="2"/>
    <x v="0"/>
    <x v="2"/>
    <x v="0"/>
    <x v="3"/>
    <x v="3"/>
    <x v="6"/>
    <x v="2"/>
  </r>
  <r>
    <x v="996"/>
    <x v="14"/>
    <x v="0"/>
    <n v="32.9"/>
    <n v="32.9"/>
    <x v="39"/>
    <d v="2025-02-12T00:00:00"/>
    <x v="2"/>
    <x v="4"/>
    <x v="0"/>
    <x v="0"/>
    <x v="3"/>
    <x v="2"/>
    <x v="6"/>
    <x v="2"/>
  </r>
  <r>
    <x v="997"/>
    <x v="6"/>
    <x v="1"/>
    <n v="100.8"/>
    <n v="201.6"/>
    <x v="39"/>
    <d v="2025-02-12T00:00:00"/>
    <x v="2"/>
    <x v="0"/>
    <x v="0"/>
    <x v="0"/>
    <x v="3"/>
    <x v="2"/>
    <x v="6"/>
    <x v="2"/>
  </r>
  <r>
    <x v="998"/>
    <x v="8"/>
    <x v="12"/>
    <n v="25.1"/>
    <n v="100.4"/>
    <x v="39"/>
    <d v="2025-02-11T00:00:00"/>
    <x v="2"/>
    <x v="1"/>
    <x v="0"/>
    <x v="0"/>
    <x v="3"/>
    <x v="1"/>
    <x v="6"/>
    <x v="2"/>
  </r>
  <r>
    <x v="999"/>
    <x v="17"/>
    <x v="0"/>
    <n v="48.5"/>
    <n v="48.5"/>
    <x v="39"/>
    <d v="2025-02-10T00:00:00"/>
    <x v="2"/>
    <x v="0"/>
    <x v="1"/>
    <x v="0"/>
    <x v="3"/>
    <x v="3"/>
    <x v="6"/>
    <x v="2"/>
  </r>
  <r>
    <x v="1000"/>
    <x v="7"/>
    <x v="1"/>
    <n v="33.6"/>
    <n v="67.2"/>
    <x v="39"/>
    <d v="2025-02-13T00:00:00"/>
    <x v="2"/>
    <x v="2"/>
    <x v="2"/>
    <x v="0"/>
    <x v="3"/>
    <x v="5"/>
    <x v="6"/>
    <x v="2"/>
  </r>
  <r>
    <x v="1001"/>
    <x v="8"/>
    <x v="0"/>
    <n v="39.299999999999997"/>
    <n v="39.299999999999997"/>
    <x v="39"/>
    <d v="2025-02-20T00:00:00"/>
    <x v="2"/>
    <x v="1"/>
    <x v="1"/>
    <x v="0"/>
    <x v="49"/>
    <x v="11"/>
    <x v="6"/>
    <x v="2"/>
  </r>
  <r>
    <x v="1002"/>
    <x v="4"/>
    <x v="7"/>
    <n v="48.8"/>
    <n v="488"/>
    <x v="39"/>
    <d v="2025-02-11T00:00:00"/>
    <x v="2"/>
    <x v="3"/>
    <x v="1"/>
    <x v="0"/>
    <x v="25"/>
    <x v="1"/>
    <x v="6"/>
    <x v="2"/>
  </r>
  <r>
    <x v="1003"/>
    <x v="6"/>
    <x v="8"/>
    <n v="72.8"/>
    <n v="582.4"/>
    <x v="39"/>
    <d v="2025-02-11T00:00:00"/>
    <x v="1"/>
    <x v="1"/>
    <x v="2"/>
    <x v="0"/>
    <x v="5"/>
    <x v="1"/>
    <x v="6"/>
    <x v="1"/>
  </r>
  <r>
    <x v="1004"/>
    <x v="10"/>
    <x v="8"/>
    <n v="46.2"/>
    <n v="369.6"/>
    <x v="39"/>
    <d v="2025-02-10T00:00:00"/>
    <x v="1"/>
    <x v="3"/>
    <x v="4"/>
    <x v="0"/>
    <x v="5"/>
    <x v="3"/>
    <x v="6"/>
    <x v="1"/>
  </r>
  <r>
    <x v="1005"/>
    <x v="4"/>
    <x v="1"/>
    <n v="20.7"/>
    <n v="41.4"/>
    <x v="39"/>
    <d v="2025-02-10T00:00:00"/>
    <x v="2"/>
    <x v="2"/>
    <x v="3"/>
    <x v="0"/>
    <x v="6"/>
    <x v="3"/>
    <x v="6"/>
    <x v="2"/>
  </r>
  <r>
    <x v="1006"/>
    <x v="0"/>
    <x v="0"/>
    <n v="35.700000000000003"/>
    <n v="35.700000000000003"/>
    <x v="39"/>
    <d v="2025-02-11T00:00:00"/>
    <x v="2"/>
    <x v="3"/>
    <x v="0"/>
    <x v="0"/>
    <x v="6"/>
    <x v="1"/>
    <x v="6"/>
    <x v="2"/>
  </r>
  <r>
    <x v="1007"/>
    <x v="2"/>
    <x v="27"/>
    <n v="166.2"/>
    <n v="2659.2"/>
    <x v="39"/>
    <d v="2025-02-11T00:00:00"/>
    <x v="0"/>
    <x v="2"/>
    <x v="0"/>
    <x v="0"/>
    <x v="7"/>
    <x v="1"/>
    <x v="6"/>
    <x v="0"/>
  </r>
  <r>
    <x v="1008"/>
    <x v="6"/>
    <x v="12"/>
    <n v="85.8"/>
    <n v="343.2"/>
    <x v="39"/>
    <d v="2025-02-10T00:00:00"/>
    <x v="2"/>
    <x v="1"/>
    <x v="1"/>
    <x v="0"/>
    <x v="7"/>
    <x v="3"/>
    <x v="6"/>
    <x v="2"/>
  </r>
  <r>
    <x v="1009"/>
    <x v="8"/>
    <x v="2"/>
    <n v="26"/>
    <n v="78"/>
    <x v="39"/>
    <d v="2025-02-11T00:00:00"/>
    <x v="3"/>
    <x v="1"/>
    <x v="0"/>
    <x v="0"/>
    <x v="7"/>
    <x v="1"/>
    <x v="6"/>
    <x v="3"/>
  </r>
  <r>
    <x v="1010"/>
    <x v="2"/>
    <x v="15"/>
    <n v="116.6"/>
    <n v="1515.8"/>
    <x v="39"/>
    <d v="2025-02-12T00:00:00"/>
    <x v="2"/>
    <x v="0"/>
    <x v="0"/>
    <x v="0"/>
    <x v="8"/>
    <x v="2"/>
    <x v="6"/>
    <x v="2"/>
  </r>
  <r>
    <x v="1011"/>
    <x v="9"/>
    <x v="3"/>
    <n v="53.9"/>
    <n v="377.3"/>
    <x v="39"/>
    <d v="2025-02-12T00:00:00"/>
    <x v="3"/>
    <x v="0"/>
    <x v="2"/>
    <x v="0"/>
    <x v="8"/>
    <x v="2"/>
    <x v="6"/>
    <x v="3"/>
  </r>
  <r>
    <x v="1012"/>
    <x v="12"/>
    <x v="9"/>
    <n v="72.3"/>
    <n v="361.5"/>
    <x v="39"/>
    <d v="2025-02-11T00:00:00"/>
    <x v="0"/>
    <x v="2"/>
    <x v="2"/>
    <x v="0"/>
    <x v="8"/>
    <x v="1"/>
    <x v="6"/>
    <x v="0"/>
  </r>
  <r>
    <x v="1013"/>
    <x v="5"/>
    <x v="1"/>
    <n v="31.4"/>
    <n v="62.8"/>
    <x v="39"/>
    <d v="2025-02-11T00:00:00"/>
    <x v="2"/>
    <x v="0"/>
    <x v="0"/>
    <x v="0"/>
    <x v="8"/>
    <x v="1"/>
    <x v="6"/>
    <x v="2"/>
  </r>
  <r>
    <x v="1014"/>
    <x v="13"/>
    <x v="1"/>
    <n v="53.1"/>
    <n v="106.2"/>
    <x v="39"/>
    <d v="2025-02-12T00:00:00"/>
    <x v="1"/>
    <x v="1"/>
    <x v="0"/>
    <x v="0"/>
    <x v="8"/>
    <x v="2"/>
    <x v="6"/>
    <x v="1"/>
  </r>
  <r>
    <x v="1015"/>
    <x v="2"/>
    <x v="12"/>
    <n v="56.2"/>
    <n v="224.8"/>
    <x v="39"/>
    <d v="2025-02-10T00:00:00"/>
    <x v="2"/>
    <x v="0"/>
    <x v="0"/>
    <x v="0"/>
    <x v="8"/>
    <x v="3"/>
    <x v="6"/>
    <x v="2"/>
  </r>
  <r>
    <x v="1016"/>
    <x v="1"/>
    <x v="7"/>
    <n v="77.3"/>
    <n v="773"/>
    <x v="39"/>
    <d v="2025-02-10T00:00:00"/>
    <x v="2"/>
    <x v="2"/>
    <x v="0"/>
    <x v="0"/>
    <x v="11"/>
    <x v="3"/>
    <x v="6"/>
    <x v="2"/>
  </r>
  <r>
    <x v="1017"/>
    <x v="6"/>
    <x v="15"/>
    <n v="57.8"/>
    <n v="751.4"/>
    <x v="39"/>
    <d v="2025-02-10T00:00:00"/>
    <x v="0"/>
    <x v="0"/>
    <x v="0"/>
    <x v="0"/>
    <x v="53"/>
    <x v="3"/>
    <x v="6"/>
    <x v="0"/>
  </r>
  <r>
    <x v="1018"/>
    <x v="12"/>
    <x v="20"/>
    <n v="42.1"/>
    <n v="631.5"/>
    <x v="39"/>
    <d v="2025-02-11T00:00:00"/>
    <x v="2"/>
    <x v="1"/>
    <x v="1"/>
    <x v="0"/>
    <x v="53"/>
    <x v="1"/>
    <x v="6"/>
    <x v="2"/>
  </r>
  <r>
    <x v="1019"/>
    <x v="8"/>
    <x v="11"/>
    <n v="22.8"/>
    <n v="205.20000000000002"/>
    <x v="39"/>
    <d v="2025-02-13T00:00:00"/>
    <x v="1"/>
    <x v="2"/>
    <x v="2"/>
    <x v="0"/>
    <x v="19"/>
    <x v="5"/>
    <x v="6"/>
    <x v="1"/>
  </r>
  <r>
    <x v="1020"/>
    <x v="2"/>
    <x v="2"/>
    <n v="171.1"/>
    <n v="513.29999999999995"/>
    <x v="40"/>
    <d v="2025-02-17T00:00:00"/>
    <x v="2"/>
    <x v="2"/>
    <x v="1"/>
    <x v="0"/>
    <x v="19"/>
    <x v="6"/>
    <x v="6"/>
    <x v="2"/>
  </r>
  <r>
    <x v="1021"/>
    <x v="8"/>
    <x v="0"/>
    <n v="28"/>
    <n v="28"/>
    <x v="40"/>
    <d v="2025-02-12T00:00:00"/>
    <x v="1"/>
    <x v="2"/>
    <x v="2"/>
    <x v="0"/>
    <x v="21"/>
    <x v="1"/>
    <x v="6"/>
    <x v="1"/>
  </r>
  <r>
    <x v="1022"/>
    <x v="6"/>
    <x v="3"/>
    <n v="50.2"/>
    <n v="351.40000000000003"/>
    <x v="40"/>
    <d v="2025-02-12T00:00:00"/>
    <x v="1"/>
    <x v="2"/>
    <x v="0"/>
    <x v="0"/>
    <x v="21"/>
    <x v="1"/>
    <x v="6"/>
    <x v="1"/>
  </r>
  <r>
    <x v="1023"/>
    <x v="6"/>
    <x v="1"/>
    <n v="56"/>
    <n v="112"/>
    <x v="40"/>
    <d v="2025-02-10T00:00:00"/>
    <x v="1"/>
    <x v="0"/>
    <x v="2"/>
    <x v="0"/>
    <x v="22"/>
    <x v="7"/>
    <x v="6"/>
    <x v="1"/>
  </r>
  <r>
    <x v="1024"/>
    <x v="1"/>
    <x v="1"/>
    <n v="38.299999999999997"/>
    <n v="76.599999999999994"/>
    <x v="40"/>
    <d v="2025-02-11T00:00:00"/>
    <x v="2"/>
    <x v="1"/>
    <x v="0"/>
    <x v="0"/>
    <x v="3"/>
    <x v="3"/>
    <x v="6"/>
    <x v="2"/>
  </r>
  <r>
    <x v="1025"/>
    <x v="0"/>
    <x v="9"/>
    <n v="22.3"/>
    <n v="111.5"/>
    <x v="40"/>
    <d v="2025-02-14T00:00:00"/>
    <x v="2"/>
    <x v="2"/>
    <x v="1"/>
    <x v="0"/>
    <x v="3"/>
    <x v="5"/>
    <x v="6"/>
    <x v="2"/>
  </r>
  <r>
    <x v="1026"/>
    <x v="0"/>
    <x v="2"/>
    <n v="22.3"/>
    <n v="66.900000000000006"/>
    <x v="40"/>
    <d v="2025-02-13T00:00:00"/>
    <x v="2"/>
    <x v="2"/>
    <x v="0"/>
    <x v="0"/>
    <x v="3"/>
    <x v="2"/>
    <x v="6"/>
    <x v="2"/>
  </r>
  <r>
    <x v="1027"/>
    <x v="1"/>
    <x v="0"/>
    <n v="32.9"/>
    <n v="32.9"/>
    <x v="40"/>
    <d v="2025-02-15T00:00:00"/>
    <x v="2"/>
    <x v="0"/>
    <x v="0"/>
    <x v="0"/>
    <x v="3"/>
    <x v="0"/>
    <x v="6"/>
    <x v="2"/>
  </r>
  <r>
    <x v="1028"/>
    <x v="10"/>
    <x v="2"/>
    <n v="31.9"/>
    <n v="95.699999999999989"/>
    <x v="40"/>
    <d v="2025-02-15T00:00:00"/>
    <x v="2"/>
    <x v="0"/>
    <x v="0"/>
    <x v="0"/>
    <x v="3"/>
    <x v="0"/>
    <x v="6"/>
    <x v="2"/>
  </r>
  <r>
    <x v="1029"/>
    <x v="6"/>
    <x v="1"/>
    <n v="94"/>
    <n v="188"/>
    <x v="40"/>
    <d v="2025-02-11T00:00:00"/>
    <x v="1"/>
    <x v="2"/>
    <x v="2"/>
    <x v="0"/>
    <x v="3"/>
    <x v="3"/>
    <x v="6"/>
    <x v="1"/>
  </r>
  <r>
    <x v="1030"/>
    <x v="10"/>
    <x v="1"/>
    <n v="30.7"/>
    <n v="61.4"/>
    <x v="40"/>
    <d v="2025-02-11T00:00:00"/>
    <x v="2"/>
    <x v="0"/>
    <x v="1"/>
    <x v="0"/>
    <x v="3"/>
    <x v="3"/>
    <x v="6"/>
    <x v="2"/>
  </r>
  <r>
    <x v="1031"/>
    <x v="5"/>
    <x v="9"/>
    <n v="90.5"/>
    <n v="452.5"/>
    <x v="40"/>
    <d v="2025-02-17T00:00:00"/>
    <x v="1"/>
    <x v="0"/>
    <x v="2"/>
    <x v="0"/>
    <x v="3"/>
    <x v="6"/>
    <x v="6"/>
    <x v="1"/>
  </r>
  <r>
    <x v="1032"/>
    <x v="8"/>
    <x v="9"/>
    <n v="25.3"/>
    <n v="126.5"/>
    <x v="40"/>
    <d v="2025-02-14T00:00:00"/>
    <x v="2"/>
    <x v="0"/>
    <x v="2"/>
    <x v="0"/>
    <x v="3"/>
    <x v="5"/>
    <x v="6"/>
    <x v="2"/>
  </r>
  <r>
    <x v="1033"/>
    <x v="6"/>
    <x v="2"/>
    <n v="58.1"/>
    <n v="174.3"/>
    <x v="40"/>
    <d v="2025-02-14T00:00:00"/>
    <x v="0"/>
    <x v="0"/>
    <x v="2"/>
    <x v="0"/>
    <x v="3"/>
    <x v="5"/>
    <x v="6"/>
    <x v="0"/>
  </r>
  <r>
    <x v="1034"/>
    <x v="2"/>
    <x v="2"/>
    <n v="74.900000000000006"/>
    <n v="224.70000000000002"/>
    <x v="40"/>
    <d v="2025-02-11T00:00:00"/>
    <x v="2"/>
    <x v="4"/>
    <x v="0"/>
    <x v="0"/>
    <x v="3"/>
    <x v="3"/>
    <x v="6"/>
    <x v="2"/>
  </r>
  <r>
    <x v="1035"/>
    <x v="4"/>
    <x v="1"/>
    <n v="32.5"/>
    <n v="65"/>
    <x v="40"/>
    <d v="2025-02-11T00:00:00"/>
    <x v="1"/>
    <x v="2"/>
    <x v="2"/>
    <x v="0"/>
    <x v="43"/>
    <x v="3"/>
    <x v="6"/>
    <x v="1"/>
  </r>
  <r>
    <x v="1036"/>
    <x v="4"/>
    <x v="9"/>
    <n v="62"/>
    <n v="310"/>
    <x v="40"/>
    <d v="2025-02-11T00:00:00"/>
    <x v="1"/>
    <x v="4"/>
    <x v="2"/>
    <x v="0"/>
    <x v="25"/>
    <x v="3"/>
    <x v="6"/>
    <x v="1"/>
  </r>
  <r>
    <x v="1037"/>
    <x v="13"/>
    <x v="13"/>
    <n v="28.9"/>
    <n v="173.39999999999998"/>
    <x v="40"/>
    <d v="2025-02-13T00:00:00"/>
    <x v="2"/>
    <x v="0"/>
    <x v="1"/>
    <x v="0"/>
    <x v="6"/>
    <x v="2"/>
    <x v="6"/>
    <x v="2"/>
  </r>
  <r>
    <x v="1038"/>
    <x v="6"/>
    <x v="8"/>
    <n v="42.8"/>
    <n v="342.4"/>
    <x v="40"/>
    <d v="2025-02-12T00:00:00"/>
    <x v="2"/>
    <x v="0"/>
    <x v="2"/>
    <x v="0"/>
    <x v="6"/>
    <x v="1"/>
    <x v="6"/>
    <x v="2"/>
  </r>
  <r>
    <x v="1039"/>
    <x v="8"/>
    <x v="8"/>
    <n v="39.4"/>
    <n v="315.2"/>
    <x v="40"/>
    <d v="2025-02-12T00:00:00"/>
    <x v="1"/>
    <x v="0"/>
    <x v="0"/>
    <x v="0"/>
    <x v="36"/>
    <x v="1"/>
    <x v="6"/>
    <x v="1"/>
  </r>
  <r>
    <x v="1040"/>
    <x v="18"/>
    <x v="2"/>
    <n v="66.400000000000006"/>
    <n v="199.20000000000002"/>
    <x v="40"/>
    <d v="2025-02-11T00:00:00"/>
    <x v="0"/>
    <x v="2"/>
    <x v="1"/>
    <x v="0"/>
    <x v="7"/>
    <x v="3"/>
    <x v="6"/>
    <x v="0"/>
  </r>
  <r>
    <x v="1041"/>
    <x v="17"/>
    <x v="12"/>
    <n v="35.9"/>
    <n v="143.6"/>
    <x v="40"/>
    <d v="2025-02-17T00:00:00"/>
    <x v="2"/>
    <x v="1"/>
    <x v="0"/>
    <x v="0"/>
    <x v="7"/>
    <x v="6"/>
    <x v="6"/>
    <x v="2"/>
  </r>
  <r>
    <x v="1042"/>
    <x v="0"/>
    <x v="12"/>
    <n v="26.9"/>
    <n v="107.6"/>
    <x v="40"/>
    <d v="2025-02-11T00:00:00"/>
    <x v="1"/>
    <x v="1"/>
    <x v="0"/>
    <x v="0"/>
    <x v="7"/>
    <x v="3"/>
    <x v="6"/>
    <x v="1"/>
  </r>
  <r>
    <x v="1043"/>
    <x v="2"/>
    <x v="0"/>
    <n v="55.1"/>
    <n v="55.1"/>
    <x v="40"/>
    <d v="2025-02-11T00:00:00"/>
    <x v="2"/>
    <x v="0"/>
    <x v="0"/>
    <x v="0"/>
    <x v="7"/>
    <x v="3"/>
    <x v="6"/>
    <x v="2"/>
  </r>
  <r>
    <x v="1044"/>
    <x v="4"/>
    <x v="1"/>
    <n v="23.9"/>
    <n v="47.8"/>
    <x v="40"/>
    <d v="2025-02-11T00:00:00"/>
    <x v="1"/>
    <x v="0"/>
    <x v="2"/>
    <x v="0"/>
    <x v="8"/>
    <x v="3"/>
    <x v="6"/>
    <x v="1"/>
  </r>
  <r>
    <x v="1045"/>
    <x v="9"/>
    <x v="15"/>
    <n v="21.1"/>
    <n v="274.3"/>
    <x v="40"/>
    <d v="2025-02-18T00:00:00"/>
    <x v="2"/>
    <x v="0"/>
    <x v="1"/>
    <x v="0"/>
    <x v="8"/>
    <x v="9"/>
    <x v="6"/>
    <x v="2"/>
  </r>
  <r>
    <x v="1046"/>
    <x v="8"/>
    <x v="9"/>
    <n v="33.799999999999997"/>
    <n v="169"/>
    <x v="40"/>
    <d v="2025-02-12T00:00:00"/>
    <x v="2"/>
    <x v="0"/>
    <x v="0"/>
    <x v="0"/>
    <x v="8"/>
    <x v="1"/>
    <x v="6"/>
    <x v="2"/>
  </r>
  <r>
    <x v="1047"/>
    <x v="2"/>
    <x v="12"/>
    <n v="56.1"/>
    <n v="224.4"/>
    <x v="40"/>
    <d v="2025-02-10T00:00:00"/>
    <x v="2"/>
    <x v="3"/>
    <x v="2"/>
    <x v="0"/>
    <x v="9"/>
    <x v="7"/>
    <x v="6"/>
    <x v="2"/>
  </r>
  <r>
    <x v="1048"/>
    <x v="3"/>
    <x v="0"/>
    <n v="58.5"/>
    <n v="58.5"/>
    <x v="41"/>
    <d v="2025-02-15T00:00:00"/>
    <x v="2"/>
    <x v="1"/>
    <x v="2"/>
    <x v="0"/>
    <x v="9"/>
    <x v="5"/>
    <x v="6"/>
    <x v="2"/>
  </r>
  <r>
    <x v="1049"/>
    <x v="6"/>
    <x v="0"/>
    <n v="84.2"/>
    <n v="84.2"/>
    <x v="41"/>
    <d v="2025-02-13T00:00:00"/>
    <x v="1"/>
    <x v="3"/>
    <x v="0"/>
    <x v="0"/>
    <x v="11"/>
    <x v="1"/>
    <x v="6"/>
    <x v="1"/>
  </r>
  <r>
    <x v="1050"/>
    <x v="11"/>
    <x v="12"/>
    <n v="52"/>
    <n v="208"/>
    <x v="41"/>
    <d v="2025-02-14T00:00:00"/>
    <x v="1"/>
    <x v="0"/>
    <x v="0"/>
    <x v="0"/>
    <x v="11"/>
    <x v="2"/>
    <x v="6"/>
    <x v="1"/>
  </r>
  <r>
    <x v="1051"/>
    <x v="4"/>
    <x v="9"/>
    <n v="31.5"/>
    <n v="157.5"/>
    <x v="41"/>
    <d v="2025-02-12T00:00:00"/>
    <x v="2"/>
    <x v="0"/>
    <x v="2"/>
    <x v="0"/>
    <x v="11"/>
    <x v="3"/>
    <x v="6"/>
    <x v="2"/>
  </r>
  <r>
    <x v="1052"/>
    <x v="16"/>
    <x v="2"/>
    <n v="46.2"/>
    <n v="138.60000000000002"/>
    <x v="41"/>
    <d v="2025-02-12T00:00:00"/>
    <x v="1"/>
    <x v="0"/>
    <x v="0"/>
    <x v="0"/>
    <x v="53"/>
    <x v="3"/>
    <x v="6"/>
    <x v="1"/>
  </r>
  <r>
    <x v="1053"/>
    <x v="2"/>
    <x v="13"/>
    <n v="135"/>
    <n v="810"/>
    <x v="41"/>
    <d v="2025-02-12T00:00:00"/>
    <x v="2"/>
    <x v="1"/>
    <x v="2"/>
    <x v="0"/>
    <x v="18"/>
    <x v="3"/>
    <x v="6"/>
    <x v="2"/>
  </r>
  <r>
    <x v="1054"/>
    <x v="12"/>
    <x v="2"/>
    <n v="92.2"/>
    <n v="276.60000000000002"/>
    <x v="41"/>
    <d v="2025-02-15T00:00:00"/>
    <x v="1"/>
    <x v="0"/>
    <x v="0"/>
    <x v="0"/>
    <x v="21"/>
    <x v="5"/>
    <x v="6"/>
    <x v="1"/>
  </r>
  <r>
    <x v="1055"/>
    <x v="8"/>
    <x v="0"/>
    <n v="36.6"/>
    <n v="36.6"/>
    <x v="41"/>
    <d v="2025-02-13T00:00:00"/>
    <x v="1"/>
    <x v="2"/>
    <x v="2"/>
    <x v="0"/>
    <x v="21"/>
    <x v="1"/>
    <x v="6"/>
    <x v="1"/>
  </r>
  <r>
    <x v="1056"/>
    <x v="9"/>
    <x v="1"/>
    <n v="50.6"/>
    <n v="101.2"/>
    <x v="41"/>
    <d v="2025-02-14T00:00:00"/>
    <x v="2"/>
    <x v="0"/>
    <x v="0"/>
    <x v="0"/>
    <x v="2"/>
    <x v="2"/>
    <x v="6"/>
    <x v="2"/>
  </r>
  <r>
    <x v="1057"/>
    <x v="18"/>
    <x v="3"/>
    <n v="56.7"/>
    <n v="396.90000000000003"/>
    <x v="41"/>
    <d v="2025-02-14T00:00:00"/>
    <x v="2"/>
    <x v="0"/>
    <x v="0"/>
    <x v="0"/>
    <x v="2"/>
    <x v="2"/>
    <x v="6"/>
    <x v="2"/>
  </r>
  <r>
    <x v="1058"/>
    <x v="9"/>
    <x v="15"/>
    <n v="22.9"/>
    <n v="297.7"/>
    <x v="41"/>
    <d v="2025-02-12T00:00:00"/>
    <x v="2"/>
    <x v="0"/>
    <x v="1"/>
    <x v="0"/>
    <x v="44"/>
    <x v="3"/>
    <x v="6"/>
    <x v="2"/>
  </r>
  <r>
    <x v="1059"/>
    <x v="15"/>
    <x v="10"/>
    <n v="53.6"/>
    <n v="1018.4"/>
    <x v="41"/>
    <d v="2025-02-12T00:00:00"/>
    <x v="1"/>
    <x v="0"/>
    <x v="0"/>
    <x v="0"/>
    <x v="22"/>
    <x v="3"/>
    <x v="6"/>
    <x v="1"/>
  </r>
  <r>
    <x v="1060"/>
    <x v="18"/>
    <x v="1"/>
    <n v="30.2"/>
    <n v="60.4"/>
    <x v="41"/>
    <d v="2025-02-13T00:00:00"/>
    <x v="0"/>
    <x v="2"/>
    <x v="2"/>
    <x v="0"/>
    <x v="3"/>
    <x v="1"/>
    <x v="6"/>
    <x v="0"/>
  </r>
  <r>
    <x v="1061"/>
    <x v="15"/>
    <x v="13"/>
    <n v="83.4"/>
    <n v="500.40000000000003"/>
    <x v="41"/>
    <d v="2025-02-12T00:00:00"/>
    <x v="1"/>
    <x v="1"/>
    <x v="2"/>
    <x v="0"/>
    <x v="3"/>
    <x v="3"/>
    <x v="6"/>
    <x v="1"/>
  </r>
  <r>
    <x v="1062"/>
    <x v="13"/>
    <x v="4"/>
    <n v="16.600000000000001"/>
    <n v="199.20000000000002"/>
    <x v="41"/>
    <d v="2025-02-13T00:00:00"/>
    <x v="1"/>
    <x v="1"/>
    <x v="0"/>
    <x v="0"/>
    <x v="3"/>
    <x v="1"/>
    <x v="6"/>
    <x v="1"/>
  </r>
  <r>
    <x v="1063"/>
    <x v="8"/>
    <x v="14"/>
    <n v="21.9"/>
    <n v="372.29999999999995"/>
    <x v="41"/>
    <d v="2025-02-13T00:00:00"/>
    <x v="2"/>
    <x v="4"/>
    <x v="1"/>
    <x v="0"/>
    <x v="3"/>
    <x v="1"/>
    <x v="6"/>
    <x v="2"/>
  </r>
  <r>
    <x v="1064"/>
    <x v="8"/>
    <x v="31"/>
    <n v="33.799999999999997"/>
    <n v="946.39999999999986"/>
    <x v="41"/>
    <d v="2025-02-13T00:00:00"/>
    <x v="1"/>
    <x v="2"/>
    <x v="4"/>
    <x v="0"/>
    <x v="3"/>
    <x v="1"/>
    <x v="6"/>
    <x v="1"/>
  </r>
  <r>
    <x v="1065"/>
    <x v="18"/>
    <x v="1"/>
    <n v="53.2"/>
    <n v="106.4"/>
    <x v="41"/>
    <d v="2025-02-11T00:00:00"/>
    <x v="1"/>
    <x v="1"/>
    <x v="0"/>
    <x v="0"/>
    <x v="3"/>
    <x v="7"/>
    <x v="6"/>
    <x v="1"/>
  </r>
  <r>
    <x v="1066"/>
    <x v="2"/>
    <x v="1"/>
    <n v="176.7"/>
    <n v="353.4"/>
    <x v="41"/>
    <d v="2025-02-14T00:00:00"/>
    <x v="2"/>
    <x v="2"/>
    <x v="0"/>
    <x v="0"/>
    <x v="3"/>
    <x v="2"/>
    <x v="6"/>
    <x v="2"/>
  </r>
  <r>
    <x v="1067"/>
    <x v="12"/>
    <x v="2"/>
    <n v="54"/>
    <n v="162"/>
    <x v="41"/>
    <d v="2025-02-14T00:00:00"/>
    <x v="1"/>
    <x v="0"/>
    <x v="1"/>
    <x v="0"/>
    <x v="3"/>
    <x v="2"/>
    <x v="6"/>
    <x v="1"/>
  </r>
  <r>
    <x v="1068"/>
    <x v="9"/>
    <x v="1"/>
    <n v="70.099999999999994"/>
    <n v="140.19999999999999"/>
    <x v="41"/>
    <d v="2025-02-19T00:00:00"/>
    <x v="2"/>
    <x v="3"/>
    <x v="2"/>
    <x v="0"/>
    <x v="3"/>
    <x v="9"/>
    <x v="6"/>
    <x v="2"/>
  </r>
  <r>
    <x v="1069"/>
    <x v="8"/>
    <x v="0"/>
    <n v="26.5"/>
    <n v="26.5"/>
    <x v="41"/>
    <d v="2025-02-13T00:00:00"/>
    <x v="2"/>
    <x v="1"/>
    <x v="0"/>
    <x v="0"/>
    <x v="3"/>
    <x v="1"/>
    <x v="6"/>
    <x v="2"/>
  </r>
  <r>
    <x v="1070"/>
    <x v="7"/>
    <x v="9"/>
    <n v="89"/>
    <n v="445"/>
    <x v="41"/>
    <d v="2025-02-13T00:00:00"/>
    <x v="1"/>
    <x v="2"/>
    <x v="4"/>
    <x v="0"/>
    <x v="3"/>
    <x v="1"/>
    <x v="6"/>
    <x v="1"/>
  </r>
  <r>
    <x v="1071"/>
    <x v="1"/>
    <x v="13"/>
    <n v="47"/>
    <n v="282"/>
    <x v="41"/>
    <d v="2025-02-14T00:00:00"/>
    <x v="2"/>
    <x v="3"/>
    <x v="0"/>
    <x v="0"/>
    <x v="24"/>
    <x v="2"/>
    <x v="6"/>
    <x v="2"/>
  </r>
  <r>
    <x v="1072"/>
    <x v="3"/>
    <x v="1"/>
    <n v="55.2"/>
    <n v="110.4"/>
    <x v="41"/>
    <d v="2025-02-14T00:00:00"/>
    <x v="1"/>
    <x v="1"/>
    <x v="1"/>
    <x v="0"/>
    <x v="6"/>
    <x v="2"/>
    <x v="6"/>
    <x v="1"/>
  </r>
  <r>
    <x v="1073"/>
    <x v="8"/>
    <x v="39"/>
    <n v="33.299999999999997"/>
    <n v="1398.6"/>
    <x v="41"/>
    <d v="2025-02-25T00:00:00"/>
    <x v="1"/>
    <x v="1"/>
    <x v="2"/>
    <x v="0"/>
    <x v="6"/>
    <x v="12"/>
    <x v="6"/>
    <x v="1"/>
  </r>
  <r>
    <x v="1074"/>
    <x v="2"/>
    <x v="12"/>
    <n v="110.9"/>
    <n v="443.6"/>
    <x v="42"/>
    <d v="2025-02-12T00:00:00"/>
    <x v="1"/>
    <x v="2"/>
    <x v="4"/>
    <x v="0"/>
    <x v="6"/>
    <x v="7"/>
    <x v="6"/>
    <x v="1"/>
  </r>
  <r>
    <x v="1075"/>
    <x v="2"/>
    <x v="13"/>
    <n v="67.3"/>
    <n v="403.79999999999995"/>
    <x v="42"/>
    <d v="2025-02-13T00:00:00"/>
    <x v="1"/>
    <x v="0"/>
    <x v="0"/>
    <x v="0"/>
    <x v="8"/>
    <x v="3"/>
    <x v="6"/>
    <x v="1"/>
  </r>
  <r>
    <x v="1076"/>
    <x v="6"/>
    <x v="2"/>
    <n v="69.7"/>
    <n v="209.10000000000002"/>
    <x v="42"/>
    <d v="2025-02-13T00:00:00"/>
    <x v="1"/>
    <x v="2"/>
    <x v="1"/>
    <x v="0"/>
    <x v="8"/>
    <x v="3"/>
    <x v="6"/>
    <x v="1"/>
  </r>
  <r>
    <x v="1077"/>
    <x v="5"/>
    <x v="0"/>
    <n v="39.1"/>
    <n v="39.1"/>
    <x v="42"/>
    <d v="2025-02-17T00:00:00"/>
    <x v="1"/>
    <x v="0"/>
    <x v="1"/>
    <x v="0"/>
    <x v="17"/>
    <x v="0"/>
    <x v="6"/>
    <x v="1"/>
  </r>
  <r>
    <x v="1078"/>
    <x v="2"/>
    <x v="2"/>
    <n v="208.6"/>
    <n v="625.79999999999995"/>
    <x v="42"/>
    <d v="2025-02-12T00:00:00"/>
    <x v="1"/>
    <x v="4"/>
    <x v="2"/>
    <x v="0"/>
    <x v="17"/>
    <x v="7"/>
    <x v="6"/>
    <x v="1"/>
  </r>
  <r>
    <x v="1079"/>
    <x v="15"/>
    <x v="2"/>
    <n v="27.8"/>
    <n v="83.4"/>
    <x v="42"/>
    <d v="2025-02-13T00:00:00"/>
    <x v="1"/>
    <x v="3"/>
    <x v="1"/>
    <x v="0"/>
    <x v="11"/>
    <x v="3"/>
    <x v="6"/>
    <x v="1"/>
  </r>
  <r>
    <x v="1080"/>
    <x v="10"/>
    <x v="9"/>
    <n v="29.4"/>
    <n v="147"/>
    <x v="42"/>
    <d v="2025-02-14T00:00:00"/>
    <x v="2"/>
    <x v="0"/>
    <x v="0"/>
    <x v="0"/>
    <x v="11"/>
    <x v="1"/>
    <x v="6"/>
    <x v="2"/>
  </r>
  <r>
    <x v="1081"/>
    <x v="9"/>
    <x v="1"/>
    <n v="29.2"/>
    <n v="58.4"/>
    <x v="42"/>
    <d v="2025-02-14T00:00:00"/>
    <x v="2"/>
    <x v="1"/>
    <x v="2"/>
    <x v="0"/>
    <x v="20"/>
    <x v="1"/>
    <x v="6"/>
    <x v="2"/>
  </r>
  <r>
    <x v="1082"/>
    <x v="10"/>
    <x v="9"/>
    <n v="26.5"/>
    <n v="132.5"/>
    <x v="42"/>
    <d v="2025-02-14T00:00:00"/>
    <x v="2"/>
    <x v="0"/>
    <x v="0"/>
    <x v="0"/>
    <x v="52"/>
    <x v="1"/>
    <x v="6"/>
    <x v="2"/>
  </r>
  <r>
    <x v="1083"/>
    <x v="5"/>
    <x v="0"/>
    <n v="30.3"/>
    <n v="30.3"/>
    <x v="42"/>
    <d v="2025-02-13T00:00:00"/>
    <x v="2"/>
    <x v="4"/>
    <x v="1"/>
    <x v="0"/>
    <x v="13"/>
    <x v="3"/>
    <x v="6"/>
    <x v="2"/>
  </r>
  <r>
    <x v="1084"/>
    <x v="16"/>
    <x v="4"/>
    <n v="39.700000000000003"/>
    <n v="476.40000000000003"/>
    <x v="42"/>
    <d v="2025-02-13T00:00:00"/>
    <x v="2"/>
    <x v="0"/>
    <x v="0"/>
    <x v="0"/>
    <x v="21"/>
    <x v="3"/>
    <x v="6"/>
    <x v="2"/>
  </r>
  <r>
    <x v="1085"/>
    <x v="7"/>
    <x v="7"/>
    <n v="58.9"/>
    <n v="589"/>
    <x v="42"/>
    <d v="2025-02-14T00:00:00"/>
    <x v="2"/>
    <x v="1"/>
    <x v="4"/>
    <x v="0"/>
    <x v="21"/>
    <x v="1"/>
    <x v="6"/>
    <x v="2"/>
  </r>
  <r>
    <x v="1086"/>
    <x v="2"/>
    <x v="1"/>
    <n v="174.1"/>
    <n v="348.2"/>
    <x v="42"/>
    <d v="2025-02-14T00:00:00"/>
    <x v="2"/>
    <x v="0"/>
    <x v="1"/>
    <x v="0"/>
    <x v="46"/>
    <x v="1"/>
    <x v="6"/>
    <x v="2"/>
  </r>
  <r>
    <x v="1087"/>
    <x v="6"/>
    <x v="1"/>
    <n v="70.8"/>
    <n v="141.6"/>
    <x v="42"/>
    <d v="2025-02-15T00:00:00"/>
    <x v="1"/>
    <x v="2"/>
    <x v="0"/>
    <x v="0"/>
    <x v="22"/>
    <x v="2"/>
    <x v="6"/>
    <x v="1"/>
  </r>
  <r>
    <x v="1088"/>
    <x v="7"/>
    <x v="1"/>
    <n v="57.4"/>
    <n v="114.8"/>
    <x v="42"/>
    <d v="2025-02-14T00:00:00"/>
    <x v="2"/>
    <x v="1"/>
    <x v="1"/>
    <x v="0"/>
    <x v="34"/>
    <x v="1"/>
    <x v="6"/>
    <x v="2"/>
  </r>
  <r>
    <x v="1089"/>
    <x v="0"/>
    <x v="1"/>
    <n v="28.5"/>
    <n v="57"/>
    <x v="42"/>
    <d v="2025-02-14T00:00:00"/>
    <x v="1"/>
    <x v="3"/>
    <x v="1"/>
    <x v="0"/>
    <x v="3"/>
    <x v="1"/>
    <x v="6"/>
    <x v="1"/>
  </r>
  <r>
    <x v="1090"/>
    <x v="2"/>
    <x v="28"/>
    <n v="106.6"/>
    <n v="2132"/>
    <x v="42"/>
    <d v="2025-02-13T00:00:00"/>
    <x v="0"/>
    <x v="1"/>
    <x v="4"/>
    <x v="0"/>
    <x v="3"/>
    <x v="3"/>
    <x v="6"/>
    <x v="0"/>
  </r>
  <r>
    <x v="1091"/>
    <x v="2"/>
    <x v="2"/>
    <n v="119.7"/>
    <n v="359.1"/>
    <x v="42"/>
    <d v="2025-02-13T00:00:00"/>
    <x v="2"/>
    <x v="1"/>
    <x v="4"/>
    <x v="0"/>
    <x v="3"/>
    <x v="3"/>
    <x v="6"/>
    <x v="2"/>
  </r>
  <r>
    <x v="1092"/>
    <x v="18"/>
    <x v="0"/>
    <n v="73.3"/>
    <n v="73.3"/>
    <x v="42"/>
    <d v="2025-02-17T00:00:00"/>
    <x v="2"/>
    <x v="0"/>
    <x v="2"/>
    <x v="0"/>
    <x v="3"/>
    <x v="0"/>
    <x v="6"/>
    <x v="2"/>
  </r>
  <r>
    <x v="1093"/>
    <x v="0"/>
    <x v="1"/>
    <n v="25.8"/>
    <n v="51.6"/>
    <x v="42"/>
    <d v="2025-02-26T00:00:00"/>
    <x v="1"/>
    <x v="2"/>
    <x v="0"/>
    <x v="0"/>
    <x v="3"/>
    <x v="12"/>
    <x v="6"/>
    <x v="1"/>
  </r>
  <r>
    <x v="1094"/>
    <x v="17"/>
    <x v="2"/>
    <n v="49.1"/>
    <n v="147.30000000000001"/>
    <x v="42"/>
    <d v="2025-02-14T00:00:00"/>
    <x v="2"/>
    <x v="0"/>
    <x v="0"/>
    <x v="0"/>
    <x v="24"/>
    <x v="1"/>
    <x v="6"/>
    <x v="2"/>
  </r>
  <r>
    <x v="1095"/>
    <x v="1"/>
    <x v="0"/>
    <n v="44.9"/>
    <n v="44.9"/>
    <x v="42"/>
    <d v="2025-02-15T00:00:00"/>
    <x v="2"/>
    <x v="3"/>
    <x v="2"/>
    <x v="0"/>
    <x v="6"/>
    <x v="2"/>
    <x v="6"/>
    <x v="2"/>
  </r>
  <r>
    <x v="1096"/>
    <x v="15"/>
    <x v="3"/>
    <n v="29.9"/>
    <n v="209.29999999999998"/>
    <x v="42"/>
    <d v="2025-02-13T00:00:00"/>
    <x v="2"/>
    <x v="0"/>
    <x v="0"/>
    <x v="0"/>
    <x v="6"/>
    <x v="3"/>
    <x v="6"/>
    <x v="2"/>
  </r>
  <r>
    <x v="1097"/>
    <x v="7"/>
    <x v="1"/>
    <n v="54.3"/>
    <n v="108.6"/>
    <x v="43"/>
    <d v="2025-02-14T00:00:00"/>
    <x v="1"/>
    <x v="3"/>
    <x v="0"/>
    <x v="0"/>
    <x v="36"/>
    <x v="3"/>
    <x v="6"/>
    <x v="1"/>
  </r>
  <r>
    <x v="1098"/>
    <x v="9"/>
    <x v="12"/>
    <n v="57"/>
    <n v="228"/>
    <x v="43"/>
    <d v="2025-02-15T00:00:00"/>
    <x v="2"/>
    <x v="0"/>
    <x v="0"/>
    <x v="0"/>
    <x v="8"/>
    <x v="1"/>
    <x v="6"/>
    <x v="2"/>
  </r>
  <r>
    <x v="1099"/>
    <x v="2"/>
    <x v="0"/>
    <n v="139.19999999999999"/>
    <n v="139.19999999999999"/>
    <x v="43"/>
    <d v="2025-02-14T00:00:00"/>
    <x v="2"/>
    <x v="3"/>
    <x v="2"/>
    <x v="0"/>
    <x v="8"/>
    <x v="3"/>
    <x v="6"/>
    <x v="2"/>
  </r>
  <r>
    <x v="1100"/>
    <x v="10"/>
    <x v="0"/>
    <n v="33"/>
    <n v="33"/>
    <x v="43"/>
    <d v="2025-02-16T00:00:00"/>
    <x v="2"/>
    <x v="0"/>
    <x v="2"/>
    <x v="0"/>
    <x v="8"/>
    <x v="2"/>
    <x v="6"/>
    <x v="2"/>
  </r>
  <r>
    <x v="1101"/>
    <x v="11"/>
    <x v="13"/>
    <n v="80.2"/>
    <n v="481.20000000000005"/>
    <x v="43"/>
    <d v="2025-02-15T00:00:00"/>
    <x v="1"/>
    <x v="1"/>
    <x v="4"/>
    <x v="0"/>
    <x v="8"/>
    <x v="1"/>
    <x v="6"/>
    <x v="1"/>
  </r>
  <r>
    <x v="1102"/>
    <x v="18"/>
    <x v="8"/>
    <n v="49"/>
    <n v="392"/>
    <x v="43"/>
    <d v="2025-02-14T00:00:00"/>
    <x v="0"/>
    <x v="2"/>
    <x v="1"/>
    <x v="0"/>
    <x v="9"/>
    <x v="3"/>
    <x v="6"/>
    <x v="0"/>
  </r>
  <r>
    <x v="1103"/>
    <x v="1"/>
    <x v="12"/>
    <n v="104.4"/>
    <n v="417.6"/>
    <x v="43"/>
    <d v="2025-02-13T00:00:00"/>
    <x v="2"/>
    <x v="0"/>
    <x v="0"/>
    <x v="0"/>
    <x v="9"/>
    <x v="7"/>
    <x v="6"/>
    <x v="2"/>
  </r>
  <r>
    <x v="1104"/>
    <x v="3"/>
    <x v="0"/>
    <n v="41.6"/>
    <n v="41.6"/>
    <x v="43"/>
    <d v="2025-02-16T00:00:00"/>
    <x v="1"/>
    <x v="3"/>
    <x v="0"/>
    <x v="0"/>
    <x v="11"/>
    <x v="2"/>
    <x v="6"/>
    <x v="1"/>
  </r>
  <r>
    <x v="1105"/>
    <x v="19"/>
    <x v="1"/>
    <n v="16.399999999999999"/>
    <n v="32.799999999999997"/>
    <x v="43"/>
    <d v="2025-02-14T00:00:00"/>
    <x v="3"/>
    <x v="0"/>
    <x v="2"/>
    <x v="0"/>
    <x v="11"/>
    <x v="3"/>
    <x v="6"/>
    <x v="3"/>
  </r>
  <r>
    <x v="1106"/>
    <x v="8"/>
    <x v="1"/>
    <n v="22"/>
    <n v="44"/>
    <x v="43"/>
    <d v="2025-02-14T00:00:00"/>
    <x v="1"/>
    <x v="2"/>
    <x v="2"/>
    <x v="0"/>
    <x v="53"/>
    <x v="3"/>
    <x v="6"/>
    <x v="1"/>
  </r>
  <r>
    <x v="1107"/>
    <x v="15"/>
    <x v="1"/>
    <n v="33.6"/>
    <n v="67.2"/>
    <x v="43"/>
    <d v="2025-02-18T00:00:00"/>
    <x v="2"/>
    <x v="0"/>
    <x v="0"/>
    <x v="0"/>
    <x v="21"/>
    <x v="0"/>
    <x v="6"/>
    <x v="2"/>
  </r>
  <r>
    <x v="1108"/>
    <x v="11"/>
    <x v="13"/>
    <n v="43"/>
    <n v="258"/>
    <x v="43"/>
    <d v="2025-02-14T00:00:00"/>
    <x v="2"/>
    <x v="2"/>
    <x v="0"/>
    <x v="0"/>
    <x v="21"/>
    <x v="3"/>
    <x v="6"/>
    <x v="2"/>
  </r>
  <r>
    <x v="1109"/>
    <x v="6"/>
    <x v="9"/>
    <n v="108.8"/>
    <n v="544"/>
    <x v="43"/>
    <d v="2025-02-16T00:00:00"/>
    <x v="2"/>
    <x v="4"/>
    <x v="2"/>
    <x v="0"/>
    <x v="21"/>
    <x v="2"/>
    <x v="6"/>
    <x v="2"/>
  </r>
  <r>
    <x v="1110"/>
    <x v="0"/>
    <x v="11"/>
    <n v="29.3"/>
    <n v="263.7"/>
    <x v="43"/>
    <d v="2025-02-15T00:00:00"/>
    <x v="1"/>
    <x v="4"/>
    <x v="2"/>
    <x v="0"/>
    <x v="21"/>
    <x v="1"/>
    <x v="6"/>
    <x v="1"/>
  </r>
  <r>
    <x v="1111"/>
    <x v="2"/>
    <x v="0"/>
    <n v="122.7"/>
    <n v="122.7"/>
    <x v="43"/>
    <d v="2025-02-16T00:00:00"/>
    <x v="3"/>
    <x v="0"/>
    <x v="2"/>
    <x v="0"/>
    <x v="1"/>
    <x v="2"/>
    <x v="6"/>
    <x v="3"/>
  </r>
  <r>
    <x v="1112"/>
    <x v="4"/>
    <x v="3"/>
    <n v="22.9"/>
    <n v="160.29999999999998"/>
    <x v="43"/>
    <d v="2025-02-14T00:00:00"/>
    <x v="2"/>
    <x v="0"/>
    <x v="0"/>
    <x v="0"/>
    <x v="42"/>
    <x v="3"/>
    <x v="6"/>
    <x v="2"/>
  </r>
  <r>
    <x v="1113"/>
    <x v="8"/>
    <x v="7"/>
    <n v="25.5"/>
    <n v="255"/>
    <x v="43"/>
    <d v="2025-02-20T00:00:00"/>
    <x v="2"/>
    <x v="0"/>
    <x v="0"/>
    <x v="0"/>
    <x v="33"/>
    <x v="6"/>
    <x v="6"/>
    <x v="2"/>
  </r>
  <r>
    <x v="1114"/>
    <x v="17"/>
    <x v="2"/>
    <n v="23.4"/>
    <n v="70.199999999999989"/>
    <x v="43"/>
    <d v="2025-02-17T00:00:00"/>
    <x v="2"/>
    <x v="0"/>
    <x v="2"/>
    <x v="0"/>
    <x v="3"/>
    <x v="5"/>
    <x v="6"/>
    <x v="2"/>
  </r>
  <r>
    <x v="1115"/>
    <x v="5"/>
    <x v="8"/>
    <n v="27.4"/>
    <n v="219.2"/>
    <x v="43"/>
    <d v="2025-02-16T00:00:00"/>
    <x v="2"/>
    <x v="2"/>
    <x v="0"/>
    <x v="0"/>
    <x v="3"/>
    <x v="2"/>
    <x v="6"/>
    <x v="2"/>
  </r>
  <r>
    <x v="1116"/>
    <x v="5"/>
    <x v="9"/>
    <n v="68.400000000000006"/>
    <n v="342"/>
    <x v="43"/>
    <d v="2025-02-14T00:00:00"/>
    <x v="2"/>
    <x v="0"/>
    <x v="0"/>
    <x v="0"/>
    <x v="3"/>
    <x v="3"/>
    <x v="6"/>
    <x v="2"/>
  </r>
  <r>
    <x v="1117"/>
    <x v="6"/>
    <x v="0"/>
    <n v="51.9"/>
    <n v="51.9"/>
    <x v="43"/>
    <d v="2025-02-13T00:00:00"/>
    <x v="2"/>
    <x v="0"/>
    <x v="0"/>
    <x v="0"/>
    <x v="3"/>
    <x v="7"/>
    <x v="6"/>
    <x v="2"/>
  </r>
  <r>
    <x v="1118"/>
    <x v="0"/>
    <x v="9"/>
    <n v="26.4"/>
    <n v="132"/>
    <x v="43"/>
    <d v="2025-02-16T00:00:00"/>
    <x v="2"/>
    <x v="0"/>
    <x v="2"/>
    <x v="0"/>
    <x v="3"/>
    <x v="2"/>
    <x v="6"/>
    <x v="2"/>
  </r>
  <r>
    <x v="1119"/>
    <x v="12"/>
    <x v="1"/>
    <n v="117"/>
    <n v="234"/>
    <x v="43"/>
    <d v="2025-02-14T00:00:00"/>
    <x v="2"/>
    <x v="1"/>
    <x v="1"/>
    <x v="0"/>
    <x v="3"/>
    <x v="3"/>
    <x v="6"/>
    <x v="2"/>
  </r>
  <r>
    <x v="1120"/>
    <x v="7"/>
    <x v="2"/>
    <n v="49.6"/>
    <n v="148.80000000000001"/>
    <x v="44"/>
    <d v="2025-02-16T00:00:00"/>
    <x v="2"/>
    <x v="0"/>
    <x v="0"/>
    <x v="0"/>
    <x v="3"/>
    <x v="1"/>
    <x v="6"/>
    <x v="2"/>
  </r>
  <r>
    <x v="1121"/>
    <x v="4"/>
    <x v="2"/>
    <n v="38"/>
    <n v="114"/>
    <x v="44"/>
    <d v="2025-02-17T00:00:00"/>
    <x v="1"/>
    <x v="2"/>
    <x v="4"/>
    <x v="0"/>
    <x v="3"/>
    <x v="2"/>
    <x v="6"/>
    <x v="1"/>
  </r>
  <r>
    <x v="1122"/>
    <x v="0"/>
    <x v="2"/>
    <n v="20.6"/>
    <n v="61.800000000000004"/>
    <x v="44"/>
    <d v="2025-02-16T00:00:00"/>
    <x v="2"/>
    <x v="4"/>
    <x v="2"/>
    <x v="0"/>
    <x v="3"/>
    <x v="1"/>
    <x v="6"/>
    <x v="2"/>
  </r>
  <r>
    <x v="1123"/>
    <x v="0"/>
    <x v="1"/>
    <n v="16"/>
    <n v="32"/>
    <x v="44"/>
    <d v="2025-02-15T00:00:00"/>
    <x v="1"/>
    <x v="1"/>
    <x v="1"/>
    <x v="0"/>
    <x v="49"/>
    <x v="3"/>
    <x v="6"/>
    <x v="1"/>
  </r>
  <r>
    <x v="1124"/>
    <x v="15"/>
    <x v="12"/>
    <n v="49.3"/>
    <n v="197.2"/>
    <x v="44"/>
    <d v="2025-02-15T00:00:00"/>
    <x v="2"/>
    <x v="2"/>
    <x v="0"/>
    <x v="0"/>
    <x v="23"/>
    <x v="3"/>
    <x v="6"/>
    <x v="2"/>
  </r>
  <r>
    <x v="1125"/>
    <x v="9"/>
    <x v="1"/>
    <n v="24.1"/>
    <n v="48.2"/>
    <x v="44"/>
    <d v="2025-02-18T00:00:00"/>
    <x v="2"/>
    <x v="0"/>
    <x v="0"/>
    <x v="0"/>
    <x v="6"/>
    <x v="5"/>
    <x v="6"/>
    <x v="2"/>
  </r>
  <r>
    <x v="1126"/>
    <x v="15"/>
    <x v="8"/>
    <n v="32.700000000000003"/>
    <n v="261.60000000000002"/>
    <x v="44"/>
    <d v="2025-02-15T00:00:00"/>
    <x v="2"/>
    <x v="1"/>
    <x v="0"/>
    <x v="0"/>
    <x v="6"/>
    <x v="3"/>
    <x v="6"/>
    <x v="2"/>
  </r>
  <r>
    <x v="1127"/>
    <x v="6"/>
    <x v="2"/>
    <n v="74.400000000000006"/>
    <n v="223.20000000000002"/>
    <x v="44"/>
    <d v="2025-02-15T00:00:00"/>
    <x v="2"/>
    <x v="3"/>
    <x v="2"/>
    <x v="0"/>
    <x v="8"/>
    <x v="3"/>
    <x v="6"/>
    <x v="2"/>
  </r>
  <r>
    <x v="1128"/>
    <x v="12"/>
    <x v="0"/>
    <n v="45.6"/>
    <n v="45.6"/>
    <x v="44"/>
    <d v="2025-02-18T00:00:00"/>
    <x v="2"/>
    <x v="4"/>
    <x v="0"/>
    <x v="0"/>
    <x v="8"/>
    <x v="5"/>
    <x v="6"/>
    <x v="2"/>
  </r>
  <r>
    <x v="1129"/>
    <x v="8"/>
    <x v="8"/>
    <n v="19.600000000000001"/>
    <n v="156.80000000000001"/>
    <x v="44"/>
    <d v="2025-02-27T00:00:00"/>
    <x v="2"/>
    <x v="0"/>
    <x v="0"/>
    <x v="0"/>
    <x v="8"/>
    <x v="10"/>
    <x v="6"/>
    <x v="2"/>
  </r>
  <r>
    <x v="1130"/>
    <x v="9"/>
    <x v="0"/>
    <n v="51.8"/>
    <n v="51.8"/>
    <x v="44"/>
    <d v="2025-02-15T00:00:00"/>
    <x v="2"/>
    <x v="1"/>
    <x v="0"/>
    <x v="0"/>
    <x v="8"/>
    <x v="3"/>
    <x v="6"/>
    <x v="2"/>
  </r>
  <r>
    <x v="1131"/>
    <x v="6"/>
    <x v="0"/>
    <n v="74.7"/>
    <n v="74.7"/>
    <x v="44"/>
    <d v="2025-02-15T00:00:00"/>
    <x v="1"/>
    <x v="0"/>
    <x v="1"/>
    <x v="0"/>
    <x v="8"/>
    <x v="3"/>
    <x v="6"/>
    <x v="1"/>
  </r>
  <r>
    <x v="1132"/>
    <x v="19"/>
    <x v="2"/>
    <n v="22.4"/>
    <n v="67.199999999999989"/>
    <x v="44"/>
    <d v="2025-02-15T00:00:00"/>
    <x v="2"/>
    <x v="1"/>
    <x v="2"/>
    <x v="0"/>
    <x v="9"/>
    <x v="3"/>
    <x v="6"/>
    <x v="2"/>
  </r>
  <r>
    <x v="1133"/>
    <x v="1"/>
    <x v="12"/>
    <n v="31.4"/>
    <n v="125.6"/>
    <x v="44"/>
    <d v="2025-02-15T00:00:00"/>
    <x v="2"/>
    <x v="1"/>
    <x v="0"/>
    <x v="0"/>
    <x v="9"/>
    <x v="3"/>
    <x v="6"/>
    <x v="2"/>
  </r>
  <r>
    <x v="1134"/>
    <x v="6"/>
    <x v="0"/>
    <n v="94"/>
    <n v="94"/>
    <x v="44"/>
    <d v="2025-02-14T00:00:00"/>
    <x v="2"/>
    <x v="1"/>
    <x v="2"/>
    <x v="0"/>
    <x v="10"/>
    <x v="7"/>
    <x v="6"/>
    <x v="2"/>
  </r>
  <r>
    <x v="1135"/>
    <x v="10"/>
    <x v="0"/>
    <n v="22.3"/>
    <n v="22.3"/>
    <x v="44"/>
    <d v="2025-02-15T00:00:00"/>
    <x v="1"/>
    <x v="4"/>
    <x v="0"/>
    <x v="0"/>
    <x v="20"/>
    <x v="3"/>
    <x v="6"/>
    <x v="1"/>
  </r>
  <r>
    <x v="1136"/>
    <x v="0"/>
    <x v="0"/>
    <n v="21.9"/>
    <n v="21.9"/>
    <x v="44"/>
    <d v="2025-02-17T00:00:00"/>
    <x v="2"/>
    <x v="2"/>
    <x v="0"/>
    <x v="0"/>
    <x v="21"/>
    <x v="2"/>
    <x v="6"/>
    <x v="2"/>
  </r>
  <r>
    <x v="1137"/>
    <x v="17"/>
    <x v="2"/>
    <n v="27"/>
    <n v="81"/>
    <x v="44"/>
    <d v="2025-02-16T00:00:00"/>
    <x v="2"/>
    <x v="4"/>
    <x v="2"/>
    <x v="0"/>
    <x v="2"/>
    <x v="1"/>
    <x v="6"/>
    <x v="2"/>
  </r>
  <r>
    <x v="1138"/>
    <x v="2"/>
    <x v="12"/>
    <n v="149.6"/>
    <n v="598.4"/>
    <x v="44"/>
    <d v="2025-02-14T00:00:00"/>
    <x v="2"/>
    <x v="4"/>
    <x v="0"/>
    <x v="0"/>
    <x v="22"/>
    <x v="7"/>
    <x v="6"/>
    <x v="2"/>
  </r>
  <r>
    <x v="1139"/>
    <x v="2"/>
    <x v="12"/>
    <n v="129.1"/>
    <n v="516.4"/>
    <x v="44"/>
    <d v="2025-02-24T00:00:00"/>
    <x v="1"/>
    <x v="0"/>
    <x v="1"/>
    <x v="0"/>
    <x v="3"/>
    <x v="14"/>
    <x v="6"/>
    <x v="1"/>
  </r>
  <r>
    <x v="1140"/>
    <x v="1"/>
    <x v="4"/>
    <n v="40.4"/>
    <n v="484.79999999999995"/>
    <x v="44"/>
    <d v="2025-02-15T00:00:00"/>
    <x v="1"/>
    <x v="1"/>
    <x v="1"/>
    <x v="0"/>
    <x v="3"/>
    <x v="3"/>
    <x v="6"/>
    <x v="1"/>
  </r>
  <r>
    <x v="1141"/>
    <x v="4"/>
    <x v="2"/>
    <n v="48.5"/>
    <n v="145.5"/>
    <x v="44"/>
    <d v="2025-02-16T00:00:00"/>
    <x v="2"/>
    <x v="0"/>
    <x v="4"/>
    <x v="0"/>
    <x v="3"/>
    <x v="1"/>
    <x v="6"/>
    <x v="2"/>
  </r>
  <r>
    <x v="1142"/>
    <x v="9"/>
    <x v="1"/>
    <n v="37.6"/>
    <n v="75.2"/>
    <x v="44"/>
    <d v="2025-02-16T00:00:00"/>
    <x v="2"/>
    <x v="1"/>
    <x v="2"/>
    <x v="0"/>
    <x v="3"/>
    <x v="1"/>
    <x v="6"/>
    <x v="2"/>
  </r>
  <r>
    <x v="1143"/>
    <x v="8"/>
    <x v="1"/>
    <n v="19.600000000000001"/>
    <n v="39.200000000000003"/>
    <x v="44"/>
    <d v="2025-02-15T00:00:00"/>
    <x v="1"/>
    <x v="3"/>
    <x v="4"/>
    <x v="0"/>
    <x v="43"/>
    <x v="3"/>
    <x v="6"/>
    <x v="1"/>
  </r>
  <r>
    <x v="1144"/>
    <x v="8"/>
    <x v="9"/>
    <n v="18.5"/>
    <n v="92.5"/>
    <x v="44"/>
    <d v="2025-02-15T00:00:00"/>
    <x v="2"/>
    <x v="2"/>
    <x v="1"/>
    <x v="0"/>
    <x v="6"/>
    <x v="3"/>
    <x v="6"/>
    <x v="2"/>
  </r>
  <r>
    <x v="1145"/>
    <x v="5"/>
    <x v="2"/>
    <n v="25.5"/>
    <n v="76.5"/>
    <x v="44"/>
    <d v="2025-02-16T00:00:00"/>
    <x v="2"/>
    <x v="4"/>
    <x v="1"/>
    <x v="0"/>
    <x v="6"/>
    <x v="1"/>
    <x v="6"/>
    <x v="2"/>
  </r>
  <r>
    <x v="1146"/>
    <x v="2"/>
    <x v="1"/>
    <n v="94.7"/>
    <n v="189.4"/>
    <x v="44"/>
    <d v="2025-02-15T00:00:00"/>
    <x v="2"/>
    <x v="2"/>
    <x v="0"/>
    <x v="0"/>
    <x v="36"/>
    <x v="3"/>
    <x v="6"/>
    <x v="2"/>
  </r>
  <r>
    <x v="1147"/>
    <x v="1"/>
    <x v="13"/>
    <n v="38.799999999999997"/>
    <n v="232.79999999999998"/>
    <x v="44"/>
    <d v="2025-02-19T00:00:00"/>
    <x v="2"/>
    <x v="2"/>
    <x v="2"/>
    <x v="0"/>
    <x v="8"/>
    <x v="0"/>
    <x v="6"/>
    <x v="2"/>
  </r>
  <r>
    <x v="1148"/>
    <x v="9"/>
    <x v="1"/>
    <n v="49.4"/>
    <n v="98.8"/>
    <x v="45"/>
    <d v="2025-02-23T00:00:00"/>
    <x v="1"/>
    <x v="4"/>
    <x v="1"/>
    <x v="0"/>
    <x v="8"/>
    <x v="9"/>
    <x v="6"/>
    <x v="1"/>
  </r>
  <r>
    <x v="1149"/>
    <x v="7"/>
    <x v="2"/>
    <n v="68"/>
    <n v="204"/>
    <x v="45"/>
    <d v="2025-02-18T00:00:00"/>
    <x v="1"/>
    <x v="0"/>
    <x v="2"/>
    <x v="0"/>
    <x v="8"/>
    <x v="2"/>
    <x v="6"/>
    <x v="1"/>
  </r>
  <r>
    <x v="1150"/>
    <x v="15"/>
    <x v="3"/>
    <n v="63.7"/>
    <n v="445.90000000000003"/>
    <x v="45"/>
    <d v="2025-02-16T00:00:00"/>
    <x v="2"/>
    <x v="2"/>
    <x v="2"/>
    <x v="0"/>
    <x v="8"/>
    <x v="3"/>
    <x v="6"/>
    <x v="2"/>
  </r>
  <r>
    <x v="1151"/>
    <x v="10"/>
    <x v="1"/>
    <n v="66.2"/>
    <n v="132.4"/>
    <x v="45"/>
    <d v="2025-02-16T00:00:00"/>
    <x v="2"/>
    <x v="4"/>
    <x v="2"/>
    <x v="0"/>
    <x v="17"/>
    <x v="3"/>
    <x v="6"/>
    <x v="2"/>
  </r>
  <r>
    <x v="1152"/>
    <x v="12"/>
    <x v="2"/>
    <n v="32.299999999999997"/>
    <n v="96.899999999999991"/>
    <x v="45"/>
    <d v="2025-02-16T00:00:00"/>
    <x v="3"/>
    <x v="2"/>
    <x v="1"/>
    <x v="0"/>
    <x v="9"/>
    <x v="3"/>
    <x v="6"/>
    <x v="3"/>
  </r>
  <r>
    <x v="1153"/>
    <x v="4"/>
    <x v="1"/>
    <n v="66.900000000000006"/>
    <n v="133.80000000000001"/>
    <x v="45"/>
    <d v="2025-02-18T00:00:00"/>
    <x v="1"/>
    <x v="1"/>
    <x v="0"/>
    <x v="0"/>
    <x v="11"/>
    <x v="2"/>
    <x v="6"/>
    <x v="1"/>
  </r>
  <r>
    <x v="1154"/>
    <x v="4"/>
    <x v="4"/>
    <n v="25.2"/>
    <n v="302.39999999999998"/>
    <x v="45"/>
    <d v="2025-02-19T00:00:00"/>
    <x v="2"/>
    <x v="0"/>
    <x v="1"/>
    <x v="0"/>
    <x v="11"/>
    <x v="5"/>
    <x v="6"/>
    <x v="2"/>
  </r>
  <r>
    <x v="1155"/>
    <x v="10"/>
    <x v="13"/>
    <n v="29.5"/>
    <n v="177"/>
    <x v="45"/>
    <d v="2025-02-16T00:00:00"/>
    <x v="1"/>
    <x v="2"/>
    <x v="0"/>
    <x v="0"/>
    <x v="11"/>
    <x v="3"/>
    <x v="6"/>
    <x v="1"/>
  </r>
  <r>
    <x v="1156"/>
    <x v="8"/>
    <x v="9"/>
    <n v="21.6"/>
    <n v="108"/>
    <x v="45"/>
    <d v="2025-02-17T00:00:00"/>
    <x v="2"/>
    <x v="0"/>
    <x v="2"/>
    <x v="0"/>
    <x v="32"/>
    <x v="1"/>
    <x v="6"/>
    <x v="2"/>
  </r>
  <r>
    <x v="1157"/>
    <x v="12"/>
    <x v="2"/>
    <n v="69"/>
    <n v="207"/>
    <x v="45"/>
    <d v="2025-02-16T00:00:00"/>
    <x v="2"/>
    <x v="0"/>
    <x v="0"/>
    <x v="0"/>
    <x v="18"/>
    <x v="3"/>
    <x v="6"/>
    <x v="2"/>
  </r>
  <r>
    <x v="1158"/>
    <x v="7"/>
    <x v="1"/>
    <n v="115"/>
    <n v="230"/>
    <x v="45"/>
    <d v="2025-02-19T00:00:00"/>
    <x v="1"/>
    <x v="0"/>
    <x v="2"/>
    <x v="0"/>
    <x v="18"/>
    <x v="5"/>
    <x v="6"/>
    <x v="1"/>
  </r>
  <r>
    <x v="1159"/>
    <x v="2"/>
    <x v="1"/>
    <n v="109.3"/>
    <n v="218.6"/>
    <x v="45"/>
    <d v="2025-02-17T00:00:00"/>
    <x v="0"/>
    <x v="3"/>
    <x v="1"/>
    <x v="0"/>
    <x v="19"/>
    <x v="1"/>
    <x v="6"/>
    <x v="0"/>
  </r>
  <r>
    <x v="1160"/>
    <x v="9"/>
    <x v="1"/>
    <n v="66.599999999999994"/>
    <n v="133.19999999999999"/>
    <x v="45"/>
    <d v="2025-02-18T00:00:00"/>
    <x v="0"/>
    <x v="4"/>
    <x v="1"/>
    <x v="0"/>
    <x v="19"/>
    <x v="2"/>
    <x v="6"/>
    <x v="0"/>
  </r>
  <r>
    <x v="1161"/>
    <x v="12"/>
    <x v="9"/>
    <n v="47.7"/>
    <n v="238.5"/>
    <x v="45"/>
    <d v="2025-02-16T00:00:00"/>
    <x v="1"/>
    <x v="3"/>
    <x v="2"/>
    <x v="0"/>
    <x v="21"/>
    <x v="3"/>
    <x v="6"/>
    <x v="1"/>
  </r>
  <r>
    <x v="1162"/>
    <x v="8"/>
    <x v="1"/>
    <n v="46"/>
    <n v="92"/>
    <x v="45"/>
    <d v="2025-02-16T00:00:00"/>
    <x v="2"/>
    <x v="4"/>
    <x v="4"/>
    <x v="0"/>
    <x v="22"/>
    <x v="3"/>
    <x v="6"/>
    <x v="2"/>
  </r>
  <r>
    <x v="1163"/>
    <x v="1"/>
    <x v="13"/>
    <n v="39.299999999999997"/>
    <n v="235.79999999999998"/>
    <x v="45"/>
    <d v="2025-02-17T00:00:00"/>
    <x v="1"/>
    <x v="3"/>
    <x v="2"/>
    <x v="0"/>
    <x v="3"/>
    <x v="1"/>
    <x v="6"/>
    <x v="1"/>
  </r>
  <r>
    <x v="1164"/>
    <x v="9"/>
    <x v="0"/>
    <n v="70.2"/>
    <n v="70.2"/>
    <x v="45"/>
    <d v="2025-02-16T00:00:00"/>
    <x v="2"/>
    <x v="0"/>
    <x v="4"/>
    <x v="0"/>
    <x v="3"/>
    <x v="3"/>
    <x v="6"/>
    <x v="2"/>
  </r>
  <r>
    <x v="1165"/>
    <x v="3"/>
    <x v="12"/>
    <n v="71.5"/>
    <n v="286"/>
    <x v="45"/>
    <d v="2025-02-15T00:00:00"/>
    <x v="2"/>
    <x v="1"/>
    <x v="2"/>
    <x v="0"/>
    <x v="3"/>
    <x v="7"/>
    <x v="6"/>
    <x v="2"/>
  </r>
  <r>
    <x v="1166"/>
    <x v="10"/>
    <x v="3"/>
    <n v="31"/>
    <n v="217"/>
    <x v="45"/>
    <d v="2025-02-22T00:00:00"/>
    <x v="2"/>
    <x v="3"/>
    <x v="2"/>
    <x v="0"/>
    <x v="3"/>
    <x v="6"/>
    <x v="6"/>
    <x v="2"/>
  </r>
  <r>
    <x v="1167"/>
    <x v="2"/>
    <x v="9"/>
    <n v="68.2"/>
    <n v="341"/>
    <x v="45"/>
    <d v="2025-02-20T00:00:00"/>
    <x v="2"/>
    <x v="0"/>
    <x v="2"/>
    <x v="0"/>
    <x v="3"/>
    <x v="0"/>
    <x v="6"/>
    <x v="2"/>
  </r>
  <r>
    <x v="1168"/>
    <x v="2"/>
    <x v="0"/>
    <n v="91.4"/>
    <n v="91.4"/>
    <x v="45"/>
    <d v="2025-02-19T00:00:00"/>
    <x v="2"/>
    <x v="1"/>
    <x v="2"/>
    <x v="0"/>
    <x v="6"/>
    <x v="5"/>
    <x v="6"/>
    <x v="2"/>
  </r>
  <r>
    <x v="1169"/>
    <x v="6"/>
    <x v="7"/>
    <n v="112.9"/>
    <n v="1129"/>
    <x v="45"/>
    <d v="2025-02-16T00:00:00"/>
    <x v="2"/>
    <x v="0"/>
    <x v="0"/>
    <x v="0"/>
    <x v="6"/>
    <x v="3"/>
    <x v="6"/>
    <x v="2"/>
  </r>
  <r>
    <x v="1170"/>
    <x v="17"/>
    <x v="11"/>
    <n v="33.700000000000003"/>
    <n v="303.3"/>
    <x v="45"/>
    <d v="2025-02-16T00:00:00"/>
    <x v="2"/>
    <x v="1"/>
    <x v="2"/>
    <x v="0"/>
    <x v="8"/>
    <x v="3"/>
    <x v="6"/>
    <x v="2"/>
  </r>
  <r>
    <x v="1171"/>
    <x v="15"/>
    <x v="7"/>
    <n v="35.299999999999997"/>
    <n v="353"/>
    <x v="45"/>
    <d v="2025-02-17T00:00:00"/>
    <x v="1"/>
    <x v="2"/>
    <x v="0"/>
    <x v="0"/>
    <x v="8"/>
    <x v="1"/>
    <x v="6"/>
    <x v="1"/>
  </r>
  <r>
    <x v="1172"/>
    <x v="18"/>
    <x v="2"/>
    <n v="45.6"/>
    <n v="136.80000000000001"/>
    <x v="45"/>
    <d v="2025-02-19T00:00:00"/>
    <x v="1"/>
    <x v="3"/>
    <x v="0"/>
    <x v="0"/>
    <x v="8"/>
    <x v="5"/>
    <x v="6"/>
    <x v="1"/>
  </r>
  <r>
    <x v="1173"/>
    <x v="7"/>
    <x v="3"/>
    <n v="47.1"/>
    <n v="329.7"/>
    <x v="45"/>
    <d v="2025-02-16T00:00:00"/>
    <x v="2"/>
    <x v="4"/>
    <x v="2"/>
    <x v="0"/>
    <x v="9"/>
    <x v="3"/>
    <x v="6"/>
    <x v="2"/>
  </r>
  <r>
    <x v="1174"/>
    <x v="8"/>
    <x v="9"/>
    <n v="16.2"/>
    <n v="81"/>
    <x v="45"/>
    <d v="2025-02-17T00:00:00"/>
    <x v="2"/>
    <x v="3"/>
    <x v="2"/>
    <x v="0"/>
    <x v="19"/>
    <x v="1"/>
    <x v="6"/>
    <x v="2"/>
  </r>
  <r>
    <x v="1175"/>
    <x v="1"/>
    <x v="1"/>
    <n v="159.69999999999999"/>
    <n v="319.39999999999998"/>
    <x v="46"/>
    <d v="2025-02-17T00:00:00"/>
    <x v="1"/>
    <x v="4"/>
    <x v="0"/>
    <x v="0"/>
    <x v="13"/>
    <x v="3"/>
    <x v="7"/>
    <x v="1"/>
  </r>
  <r>
    <x v="1176"/>
    <x v="8"/>
    <x v="12"/>
    <n v="19"/>
    <n v="76"/>
    <x v="46"/>
    <d v="2025-02-23T00:00:00"/>
    <x v="2"/>
    <x v="2"/>
    <x v="2"/>
    <x v="0"/>
    <x v="21"/>
    <x v="6"/>
    <x v="7"/>
    <x v="2"/>
  </r>
  <r>
    <x v="1177"/>
    <x v="6"/>
    <x v="13"/>
    <n v="91.1"/>
    <n v="546.59999999999991"/>
    <x v="46"/>
    <d v="2025-02-25T00:00:00"/>
    <x v="2"/>
    <x v="4"/>
    <x v="0"/>
    <x v="0"/>
    <x v="21"/>
    <x v="8"/>
    <x v="7"/>
    <x v="2"/>
  </r>
  <r>
    <x v="1178"/>
    <x v="2"/>
    <x v="9"/>
    <n v="94.1"/>
    <n v="470.5"/>
    <x v="46"/>
    <d v="2025-02-19T00:00:00"/>
    <x v="0"/>
    <x v="1"/>
    <x v="1"/>
    <x v="0"/>
    <x v="21"/>
    <x v="2"/>
    <x v="7"/>
    <x v="0"/>
  </r>
  <r>
    <x v="1179"/>
    <x v="9"/>
    <x v="11"/>
    <n v="21.1"/>
    <n v="189.9"/>
    <x v="46"/>
    <d v="2025-02-17T00:00:00"/>
    <x v="2"/>
    <x v="4"/>
    <x v="2"/>
    <x v="0"/>
    <x v="51"/>
    <x v="3"/>
    <x v="7"/>
    <x v="2"/>
  </r>
  <r>
    <x v="1180"/>
    <x v="8"/>
    <x v="3"/>
    <n v="15.3"/>
    <n v="107.10000000000001"/>
    <x v="46"/>
    <d v="2025-02-24T00:00:00"/>
    <x v="2"/>
    <x v="2"/>
    <x v="0"/>
    <x v="0"/>
    <x v="1"/>
    <x v="9"/>
    <x v="7"/>
    <x v="2"/>
  </r>
  <r>
    <x v="1181"/>
    <x v="15"/>
    <x v="12"/>
    <n v="21.3"/>
    <n v="85.2"/>
    <x v="46"/>
    <d v="2025-02-19T00:00:00"/>
    <x v="1"/>
    <x v="1"/>
    <x v="0"/>
    <x v="0"/>
    <x v="3"/>
    <x v="2"/>
    <x v="7"/>
    <x v="1"/>
  </r>
  <r>
    <x v="1182"/>
    <x v="0"/>
    <x v="1"/>
    <n v="23.2"/>
    <n v="46.4"/>
    <x v="46"/>
    <d v="2025-02-16T00:00:00"/>
    <x v="0"/>
    <x v="3"/>
    <x v="1"/>
    <x v="0"/>
    <x v="3"/>
    <x v="7"/>
    <x v="7"/>
    <x v="0"/>
  </r>
  <r>
    <x v="1183"/>
    <x v="4"/>
    <x v="2"/>
    <n v="25.7"/>
    <n v="77.099999999999994"/>
    <x v="46"/>
    <d v="2025-02-17T00:00:00"/>
    <x v="1"/>
    <x v="4"/>
    <x v="0"/>
    <x v="0"/>
    <x v="3"/>
    <x v="3"/>
    <x v="7"/>
    <x v="1"/>
  </r>
  <r>
    <x v="1184"/>
    <x v="0"/>
    <x v="11"/>
    <n v="31.6"/>
    <n v="284.40000000000003"/>
    <x v="46"/>
    <d v="2025-02-18T00:00:00"/>
    <x v="2"/>
    <x v="0"/>
    <x v="0"/>
    <x v="0"/>
    <x v="3"/>
    <x v="1"/>
    <x v="7"/>
    <x v="2"/>
  </r>
  <r>
    <x v="1185"/>
    <x v="6"/>
    <x v="0"/>
    <n v="64.2"/>
    <n v="64.2"/>
    <x v="46"/>
    <d v="2025-02-21T00:00:00"/>
    <x v="1"/>
    <x v="0"/>
    <x v="0"/>
    <x v="0"/>
    <x v="3"/>
    <x v="0"/>
    <x v="7"/>
    <x v="1"/>
  </r>
  <r>
    <x v="1186"/>
    <x v="8"/>
    <x v="1"/>
    <n v="55.8"/>
    <n v="111.6"/>
    <x v="46"/>
    <d v="2025-02-18T00:00:00"/>
    <x v="0"/>
    <x v="0"/>
    <x v="0"/>
    <x v="0"/>
    <x v="3"/>
    <x v="1"/>
    <x v="7"/>
    <x v="0"/>
  </r>
  <r>
    <x v="1187"/>
    <x v="8"/>
    <x v="1"/>
    <n v="28.1"/>
    <n v="56.2"/>
    <x v="46"/>
    <d v="2025-02-17T00:00:00"/>
    <x v="2"/>
    <x v="4"/>
    <x v="1"/>
    <x v="0"/>
    <x v="3"/>
    <x v="3"/>
    <x v="7"/>
    <x v="2"/>
  </r>
  <r>
    <x v="1188"/>
    <x v="0"/>
    <x v="1"/>
    <n v="11.6"/>
    <n v="23.2"/>
    <x v="46"/>
    <d v="2025-02-18T00:00:00"/>
    <x v="2"/>
    <x v="1"/>
    <x v="0"/>
    <x v="0"/>
    <x v="24"/>
    <x v="1"/>
    <x v="7"/>
    <x v="2"/>
  </r>
  <r>
    <x v="1189"/>
    <x v="5"/>
    <x v="2"/>
    <n v="50.4"/>
    <n v="151.19999999999999"/>
    <x v="46"/>
    <d v="2025-02-17T00:00:00"/>
    <x v="1"/>
    <x v="4"/>
    <x v="2"/>
    <x v="0"/>
    <x v="25"/>
    <x v="3"/>
    <x v="7"/>
    <x v="1"/>
  </r>
  <r>
    <x v="1190"/>
    <x v="6"/>
    <x v="13"/>
    <n v="48.3"/>
    <n v="289.79999999999995"/>
    <x v="46"/>
    <d v="2025-02-20T00:00:00"/>
    <x v="2"/>
    <x v="0"/>
    <x v="0"/>
    <x v="0"/>
    <x v="25"/>
    <x v="5"/>
    <x v="7"/>
    <x v="2"/>
  </r>
  <r>
    <x v="1191"/>
    <x v="17"/>
    <x v="3"/>
    <n v="32.200000000000003"/>
    <n v="225.40000000000003"/>
    <x v="46"/>
    <d v="2025-02-18T00:00:00"/>
    <x v="2"/>
    <x v="2"/>
    <x v="0"/>
    <x v="0"/>
    <x v="25"/>
    <x v="1"/>
    <x v="7"/>
    <x v="2"/>
  </r>
  <r>
    <x v="1192"/>
    <x v="7"/>
    <x v="31"/>
    <n v="48.5"/>
    <n v="1358"/>
    <x v="46"/>
    <d v="2025-02-17T00:00:00"/>
    <x v="1"/>
    <x v="0"/>
    <x v="0"/>
    <x v="0"/>
    <x v="5"/>
    <x v="3"/>
    <x v="7"/>
    <x v="1"/>
  </r>
  <r>
    <x v="1193"/>
    <x v="2"/>
    <x v="9"/>
    <n v="62"/>
    <n v="310"/>
    <x v="46"/>
    <d v="2025-02-19T00:00:00"/>
    <x v="2"/>
    <x v="1"/>
    <x v="0"/>
    <x v="0"/>
    <x v="6"/>
    <x v="2"/>
    <x v="7"/>
    <x v="2"/>
  </r>
  <r>
    <x v="1194"/>
    <x v="8"/>
    <x v="2"/>
    <n v="32.1"/>
    <n v="96.300000000000011"/>
    <x v="47"/>
    <d v="2025-02-19T00:00:00"/>
    <x v="1"/>
    <x v="0"/>
    <x v="0"/>
    <x v="0"/>
    <x v="6"/>
    <x v="1"/>
    <x v="7"/>
    <x v="1"/>
  </r>
  <r>
    <x v="1195"/>
    <x v="12"/>
    <x v="2"/>
    <n v="106.1"/>
    <n v="318.29999999999995"/>
    <x v="47"/>
    <d v="2025-02-19T00:00:00"/>
    <x v="1"/>
    <x v="0"/>
    <x v="1"/>
    <x v="0"/>
    <x v="7"/>
    <x v="1"/>
    <x v="7"/>
    <x v="1"/>
  </r>
  <r>
    <x v="1196"/>
    <x v="10"/>
    <x v="2"/>
    <n v="23.5"/>
    <n v="70.5"/>
    <x v="47"/>
    <d v="2025-02-20T00:00:00"/>
    <x v="1"/>
    <x v="0"/>
    <x v="4"/>
    <x v="0"/>
    <x v="7"/>
    <x v="2"/>
    <x v="7"/>
    <x v="1"/>
  </r>
  <r>
    <x v="1197"/>
    <x v="1"/>
    <x v="1"/>
    <n v="35.6"/>
    <n v="71.2"/>
    <x v="47"/>
    <d v="2025-02-22T00:00:00"/>
    <x v="1"/>
    <x v="4"/>
    <x v="0"/>
    <x v="0"/>
    <x v="8"/>
    <x v="0"/>
    <x v="7"/>
    <x v="1"/>
  </r>
  <r>
    <x v="1198"/>
    <x v="1"/>
    <x v="1"/>
    <n v="63.5"/>
    <n v="127"/>
    <x v="47"/>
    <d v="2025-02-17T00:00:00"/>
    <x v="2"/>
    <x v="1"/>
    <x v="2"/>
    <x v="0"/>
    <x v="8"/>
    <x v="7"/>
    <x v="7"/>
    <x v="2"/>
  </r>
  <r>
    <x v="1199"/>
    <x v="6"/>
    <x v="3"/>
    <n v="82.9"/>
    <n v="580.30000000000007"/>
    <x v="47"/>
    <d v="2025-02-22T00:00:00"/>
    <x v="2"/>
    <x v="4"/>
    <x v="0"/>
    <x v="0"/>
    <x v="9"/>
    <x v="0"/>
    <x v="7"/>
    <x v="2"/>
  </r>
  <r>
    <x v="1200"/>
    <x v="6"/>
    <x v="1"/>
    <n v="83.6"/>
    <n v="167.2"/>
    <x v="47"/>
    <d v="2025-02-22T00:00:00"/>
    <x v="2"/>
    <x v="0"/>
    <x v="0"/>
    <x v="0"/>
    <x v="11"/>
    <x v="0"/>
    <x v="7"/>
    <x v="2"/>
  </r>
  <r>
    <x v="1201"/>
    <x v="4"/>
    <x v="1"/>
    <n v="29.4"/>
    <n v="58.8"/>
    <x v="47"/>
    <d v="2025-02-17T00:00:00"/>
    <x v="2"/>
    <x v="0"/>
    <x v="1"/>
    <x v="0"/>
    <x v="30"/>
    <x v="7"/>
    <x v="7"/>
    <x v="2"/>
  </r>
  <r>
    <x v="1202"/>
    <x v="2"/>
    <x v="2"/>
    <n v="107.1"/>
    <n v="321.29999999999995"/>
    <x v="47"/>
    <d v="2025-02-21T00:00:00"/>
    <x v="2"/>
    <x v="2"/>
    <x v="0"/>
    <x v="0"/>
    <x v="20"/>
    <x v="5"/>
    <x v="7"/>
    <x v="2"/>
  </r>
  <r>
    <x v="1203"/>
    <x v="2"/>
    <x v="0"/>
    <n v="62.7"/>
    <n v="62.7"/>
    <x v="47"/>
    <d v="2025-02-21T00:00:00"/>
    <x v="1"/>
    <x v="1"/>
    <x v="0"/>
    <x v="0"/>
    <x v="21"/>
    <x v="5"/>
    <x v="7"/>
    <x v="1"/>
  </r>
  <r>
    <x v="1204"/>
    <x v="11"/>
    <x v="0"/>
    <n v="41.6"/>
    <n v="41.6"/>
    <x v="47"/>
    <d v="2025-02-18T00:00:00"/>
    <x v="1"/>
    <x v="0"/>
    <x v="1"/>
    <x v="0"/>
    <x v="1"/>
    <x v="3"/>
    <x v="7"/>
    <x v="1"/>
  </r>
  <r>
    <x v="1205"/>
    <x v="6"/>
    <x v="0"/>
    <n v="44.2"/>
    <n v="44.2"/>
    <x v="47"/>
    <d v="2025-02-18T00:00:00"/>
    <x v="3"/>
    <x v="0"/>
    <x v="1"/>
    <x v="0"/>
    <x v="1"/>
    <x v="3"/>
    <x v="7"/>
    <x v="3"/>
  </r>
  <r>
    <x v="1206"/>
    <x v="4"/>
    <x v="13"/>
    <n v="40.4"/>
    <n v="242.39999999999998"/>
    <x v="47"/>
    <d v="2025-03-02T00:00:00"/>
    <x v="2"/>
    <x v="2"/>
    <x v="0"/>
    <x v="0"/>
    <x v="22"/>
    <x v="10"/>
    <x v="7"/>
    <x v="2"/>
  </r>
  <r>
    <x v="1207"/>
    <x v="15"/>
    <x v="13"/>
    <n v="59.6"/>
    <n v="357.6"/>
    <x v="47"/>
    <d v="2025-02-18T00:00:00"/>
    <x v="2"/>
    <x v="4"/>
    <x v="0"/>
    <x v="0"/>
    <x v="34"/>
    <x v="3"/>
    <x v="7"/>
    <x v="2"/>
  </r>
  <r>
    <x v="1208"/>
    <x v="17"/>
    <x v="4"/>
    <n v="63.8"/>
    <n v="765.59999999999991"/>
    <x v="47"/>
    <d v="2025-02-18T00:00:00"/>
    <x v="1"/>
    <x v="1"/>
    <x v="0"/>
    <x v="0"/>
    <x v="3"/>
    <x v="3"/>
    <x v="7"/>
    <x v="1"/>
  </r>
  <r>
    <x v="1209"/>
    <x v="9"/>
    <x v="13"/>
    <n v="30.8"/>
    <n v="184.8"/>
    <x v="47"/>
    <d v="2025-02-19T00:00:00"/>
    <x v="1"/>
    <x v="4"/>
    <x v="0"/>
    <x v="0"/>
    <x v="3"/>
    <x v="1"/>
    <x v="7"/>
    <x v="1"/>
  </r>
  <r>
    <x v="1210"/>
    <x v="1"/>
    <x v="1"/>
    <n v="41.5"/>
    <n v="83"/>
    <x v="47"/>
    <d v="2025-02-20T00:00:00"/>
    <x v="3"/>
    <x v="0"/>
    <x v="0"/>
    <x v="0"/>
    <x v="3"/>
    <x v="2"/>
    <x v="7"/>
    <x v="3"/>
  </r>
  <r>
    <x v="1211"/>
    <x v="10"/>
    <x v="12"/>
    <n v="44.7"/>
    <n v="178.8"/>
    <x v="47"/>
    <d v="2025-02-19T00:00:00"/>
    <x v="2"/>
    <x v="2"/>
    <x v="1"/>
    <x v="0"/>
    <x v="3"/>
    <x v="1"/>
    <x v="7"/>
    <x v="2"/>
  </r>
  <r>
    <x v="1212"/>
    <x v="12"/>
    <x v="1"/>
    <n v="64.099999999999994"/>
    <n v="128.19999999999999"/>
    <x v="47"/>
    <d v="2025-02-21T00:00:00"/>
    <x v="2"/>
    <x v="1"/>
    <x v="4"/>
    <x v="0"/>
    <x v="3"/>
    <x v="5"/>
    <x v="7"/>
    <x v="2"/>
  </r>
  <r>
    <x v="1213"/>
    <x v="8"/>
    <x v="0"/>
    <n v="15.9"/>
    <n v="15.9"/>
    <x v="47"/>
    <d v="2025-02-20T00:00:00"/>
    <x v="0"/>
    <x v="1"/>
    <x v="0"/>
    <x v="0"/>
    <x v="3"/>
    <x v="2"/>
    <x v="7"/>
    <x v="0"/>
  </r>
  <r>
    <x v="1214"/>
    <x v="6"/>
    <x v="1"/>
    <n v="78.7"/>
    <n v="157.4"/>
    <x v="47"/>
    <d v="2025-02-17T00:00:00"/>
    <x v="2"/>
    <x v="2"/>
    <x v="1"/>
    <x v="0"/>
    <x v="3"/>
    <x v="7"/>
    <x v="7"/>
    <x v="2"/>
  </r>
  <r>
    <x v="1215"/>
    <x v="5"/>
    <x v="4"/>
    <n v="29.6"/>
    <n v="355.20000000000005"/>
    <x v="47"/>
    <d v="2025-02-21T00:00:00"/>
    <x v="1"/>
    <x v="2"/>
    <x v="4"/>
    <x v="0"/>
    <x v="3"/>
    <x v="5"/>
    <x v="7"/>
    <x v="1"/>
  </r>
  <r>
    <x v="1216"/>
    <x v="8"/>
    <x v="12"/>
    <n v="21.5"/>
    <n v="86"/>
    <x v="47"/>
    <d v="2025-02-20T00:00:00"/>
    <x v="1"/>
    <x v="1"/>
    <x v="0"/>
    <x v="0"/>
    <x v="3"/>
    <x v="2"/>
    <x v="7"/>
    <x v="1"/>
  </r>
  <r>
    <x v="1217"/>
    <x v="9"/>
    <x v="2"/>
    <n v="74.900000000000006"/>
    <n v="224.70000000000002"/>
    <x v="47"/>
    <d v="2025-02-26T00:00:00"/>
    <x v="1"/>
    <x v="3"/>
    <x v="1"/>
    <x v="0"/>
    <x v="3"/>
    <x v="8"/>
    <x v="7"/>
    <x v="1"/>
  </r>
  <r>
    <x v="1218"/>
    <x v="10"/>
    <x v="13"/>
    <n v="45"/>
    <n v="270"/>
    <x v="47"/>
    <d v="2025-02-22T00:00:00"/>
    <x v="2"/>
    <x v="2"/>
    <x v="0"/>
    <x v="0"/>
    <x v="3"/>
    <x v="0"/>
    <x v="7"/>
    <x v="2"/>
  </r>
  <r>
    <x v="1219"/>
    <x v="7"/>
    <x v="33"/>
    <n v="37.9"/>
    <n v="1288.5999999999999"/>
    <x v="47"/>
    <d v="2025-02-18T00:00:00"/>
    <x v="1"/>
    <x v="0"/>
    <x v="0"/>
    <x v="0"/>
    <x v="3"/>
    <x v="3"/>
    <x v="7"/>
    <x v="1"/>
  </r>
  <r>
    <x v="1220"/>
    <x v="6"/>
    <x v="2"/>
    <n v="56.6"/>
    <n v="169.8"/>
    <x v="47"/>
    <d v="2025-02-18T00:00:00"/>
    <x v="1"/>
    <x v="3"/>
    <x v="0"/>
    <x v="0"/>
    <x v="3"/>
    <x v="3"/>
    <x v="7"/>
    <x v="1"/>
  </r>
  <r>
    <x v="1221"/>
    <x v="3"/>
    <x v="15"/>
    <n v="84.5"/>
    <n v="1098.5"/>
    <x v="47"/>
    <d v="2025-02-20T00:00:00"/>
    <x v="2"/>
    <x v="1"/>
    <x v="4"/>
    <x v="0"/>
    <x v="3"/>
    <x v="2"/>
    <x v="7"/>
    <x v="2"/>
  </r>
  <r>
    <x v="1222"/>
    <x v="2"/>
    <x v="9"/>
    <n v="105.4"/>
    <n v="527"/>
    <x v="47"/>
    <d v="2025-02-19T00:00:00"/>
    <x v="2"/>
    <x v="1"/>
    <x v="1"/>
    <x v="0"/>
    <x v="3"/>
    <x v="1"/>
    <x v="7"/>
    <x v="2"/>
  </r>
  <r>
    <x v="1223"/>
    <x v="18"/>
    <x v="3"/>
    <n v="39.4"/>
    <n v="275.8"/>
    <x v="48"/>
    <d v="2025-02-18T00:00:00"/>
    <x v="1"/>
    <x v="1"/>
    <x v="0"/>
    <x v="0"/>
    <x v="37"/>
    <x v="7"/>
    <x v="7"/>
    <x v="1"/>
  </r>
  <r>
    <x v="1224"/>
    <x v="19"/>
    <x v="2"/>
    <n v="38"/>
    <n v="114"/>
    <x v="48"/>
    <d v="2025-02-21T00:00:00"/>
    <x v="1"/>
    <x v="4"/>
    <x v="1"/>
    <x v="0"/>
    <x v="6"/>
    <x v="2"/>
    <x v="7"/>
    <x v="1"/>
  </r>
  <r>
    <x v="1225"/>
    <x v="17"/>
    <x v="12"/>
    <n v="42.5"/>
    <n v="170"/>
    <x v="48"/>
    <d v="2025-02-20T00:00:00"/>
    <x v="0"/>
    <x v="0"/>
    <x v="0"/>
    <x v="0"/>
    <x v="6"/>
    <x v="1"/>
    <x v="7"/>
    <x v="0"/>
  </r>
  <r>
    <x v="1226"/>
    <x v="15"/>
    <x v="0"/>
    <n v="62.3"/>
    <n v="62.3"/>
    <x v="48"/>
    <d v="2025-02-27T00:00:00"/>
    <x v="1"/>
    <x v="0"/>
    <x v="2"/>
    <x v="0"/>
    <x v="6"/>
    <x v="8"/>
    <x v="7"/>
    <x v="1"/>
  </r>
  <r>
    <x v="1227"/>
    <x v="6"/>
    <x v="9"/>
    <n v="49.1"/>
    <n v="245.5"/>
    <x v="48"/>
    <d v="2025-02-20T00:00:00"/>
    <x v="2"/>
    <x v="1"/>
    <x v="2"/>
    <x v="0"/>
    <x v="7"/>
    <x v="1"/>
    <x v="7"/>
    <x v="2"/>
  </r>
  <r>
    <x v="1228"/>
    <x v="3"/>
    <x v="1"/>
    <n v="30.5"/>
    <n v="61"/>
    <x v="48"/>
    <d v="2025-02-21T00:00:00"/>
    <x v="1"/>
    <x v="0"/>
    <x v="2"/>
    <x v="0"/>
    <x v="8"/>
    <x v="2"/>
    <x v="7"/>
    <x v="1"/>
  </r>
  <r>
    <x v="1229"/>
    <x v="2"/>
    <x v="1"/>
    <n v="154.80000000000001"/>
    <n v="309.60000000000002"/>
    <x v="48"/>
    <d v="2025-02-21T00:00:00"/>
    <x v="2"/>
    <x v="1"/>
    <x v="4"/>
    <x v="0"/>
    <x v="8"/>
    <x v="2"/>
    <x v="7"/>
    <x v="2"/>
  </r>
  <r>
    <x v="1230"/>
    <x v="6"/>
    <x v="0"/>
    <n v="45"/>
    <n v="45"/>
    <x v="48"/>
    <d v="2025-02-22T00:00:00"/>
    <x v="1"/>
    <x v="3"/>
    <x v="1"/>
    <x v="0"/>
    <x v="8"/>
    <x v="5"/>
    <x v="7"/>
    <x v="1"/>
  </r>
  <r>
    <x v="1231"/>
    <x v="0"/>
    <x v="3"/>
    <n v="15.3"/>
    <n v="107.10000000000001"/>
    <x v="48"/>
    <d v="2025-02-19T00:00:00"/>
    <x v="1"/>
    <x v="0"/>
    <x v="2"/>
    <x v="0"/>
    <x v="8"/>
    <x v="3"/>
    <x v="7"/>
    <x v="1"/>
  </r>
  <r>
    <x v="1232"/>
    <x v="2"/>
    <x v="5"/>
    <n v="88.6"/>
    <n v="974.59999999999991"/>
    <x v="48"/>
    <d v="2025-02-21T00:00:00"/>
    <x v="2"/>
    <x v="0"/>
    <x v="4"/>
    <x v="0"/>
    <x v="17"/>
    <x v="2"/>
    <x v="7"/>
    <x v="2"/>
  </r>
  <r>
    <x v="1233"/>
    <x v="9"/>
    <x v="1"/>
    <n v="49.7"/>
    <n v="99.4"/>
    <x v="48"/>
    <d v="2025-02-20T00:00:00"/>
    <x v="3"/>
    <x v="4"/>
    <x v="0"/>
    <x v="0"/>
    <x v="10"/>
    <x v="1"/>
    <x v="7"/>
    <x v="3"/>
  </r>
  <r>
    <x v="1234"/>
    <x v="10"/>
    <x v="0"/>
    <n v="29"/>
    <n v="29"/>
    <x v="48"/>
    <d v="2025-02-19T00:00:00"/>
    <x v="1"/>
    <x v="0"/>
    <x v="0"/>
    <x v="0"/>
    <x v="11"/>
    <x v="3"/>
    <x v="7"/>
    <x v="1"/>
  </r>
  <r>
    <x v="1235"/>
    <x v="1"/>
    <x v="0"/>
    <n v="60.7"/>
    <n v="60.7"/>
    <x v="48"/>
    <d v="2025-02-19T00:00:00"/>
    <x v="3"/>
    <x v="0"/>
    <x v="1"/>
    <x v="0"/>
    <x v="11"/>
    <x v="3"/>
    <x v="7"/>
    <x v="3"/>
  </r>
  <r>
    <x v="1236"/>
    <x v="17"/>
    <x v="12"/>
    <n v="87.4"/>
    <n v="349.6"/>
    <x v="48"/>
    <d v="2025-02-20T00:00:00"/>
    <x v="0"/>
    <x v="0"/>
    <x v="0"/>
    <x v="0"/>
    <x v="11"/>
    <x v="1"/>
    <x v="7"/>
    <x v="0"/>
  </r>
  <r>
    <x v="1237"/>
    <x v="4"/>
    <x v="3"/>
    <n v="44.5"/>
    <n v="311.5"/>
    <x v="48"/>
    <d v="2025-02-22T00:00:00"/>
    <x v="2"/>
    <x v="2"/>
    <x v="2"/>
    <x v="0"/>
    <x v="19"/>
    <x v="5"/>
    <x v="7"/>
    <x v="2"/>
  </r>
  <r>
    <x v="1238"/>
    <x v="2"/>
    <x v="0"/>
    <n v="141"/>
    <n v="141"/>
    <x v="48"/>
    <d v="2025-02-19T00:00:00"/>
    <x v="1"/>
    <x v="4"/>
    <x v="2"/>
    <x v="0"/>
    <x v="19"/>
    <x v="3"/>
    <x v="7"/>
    <x v="1"/>
  </r>
  <r>
    <x v="1239"/>
    <x v="0"/>
    <x v="2"/>
    <n v="16.7"/>
    <n v="50.099999999999994"/>
    <x v="48"/>
    <d v="2025-02-26T00:00:00"/>
    <x v="2"/>
    <x v="0"/>
    <x v="0"/>
    <x v="0"/>
    <x v="20"/>
    <x v="9"/>
    <x v="7"/>
    <x v="2"/>
  </r>
  <r>
    <x v="1240"/>
    <x v="1"/>
    <x v="1"/>
    <n v="77.5"/>
    <n v="155"/>
    <x v="48"/>
    <d v="2025-02-19T00:00:00"/>
    <x v="0"/>
    <x v="2"/>
    <x v="2"/>
    <x v="0"/>
    <x v="13"/>
    <x v="3"/>
    <x v="7"/>
    <x v="0"/>
  </r>
  <r>
    <x v="1241"/>
    <x v="2"/>
    <x v="1"/>
    <n v="163"/>
    <n v="326"/>
    <x v="48"/>
    <d v="2025-02-24T00:00:00"/>
    <x v="2"/>
    <x v="4"/>
    <x v="0"/>
    <x v="0"/>
    <x v="21"/>
    <x v="4"/>
    <x v="7"/>
    <x v="2"/>
  </r>
  <r>
    <x v="1242"/>
    <x v="4"/>
    <x v="11"/>
    <n v="21.4"/>
    <n v="192.6"/>
    <x v="48"/>
    <d v="2025-02-21T00:00:00"/>
    <x v="2"/>
    <x v="0"/>
    <x v="0"/>
    <x v="0"/>
    <x v="51"/>
    <x v="2"/>
    <x v="7"/>
    <x v="2"/>
  </r>
  <r>
    <x v="1243"/>
    <x v="10"/>
    <x v="5"/>
    <n v="31"/>
    <n v="341"/>
    <x v="48"/>
    <d v="2025-02-20T00:00:00"/>
    <x v="2"/>
    <x v="3"/>
    <x v="2"/>
    <x v="0"/>
    <x v="1"/>
    <x v="1"/>
    <x v="7"/>
    <x v="2"/>
  </r>
  <r>
    <x v="1244"/>
    <x v="7"/>
    <x v="1"/>
    <n v="34.299999999999997"/>
    <n v="68.599999999999994"/>
    <x v="48"/>
    <d v="2025-02-20T00:00:00"/>
    <x v="2"/>
    <x v="0"/>
    <x v="3"/>
    <x v="0"/>
    <x v="1"/>
    <x v="1"/>
    <x v="7"/>
    <x v="2"/>
  </r>
  <r>
    <x v="1245"/>
    <x v="17"/>
    <x v="9"/>
    <n v="48.2"/>
    <n v="241"/>
    <x v="48"/>
    <d v="2025-02-19T00:00:00"/>
    <x v="1"/>
    <x v="1"/>
    <x v="1"/>
    <x v="0"/>
    <x v="2"/>
    <x v="3"/>
    <x v="7"/>
    <x v="1"/>
  </r>
  <r>
    <x v="1246"/>
    <x v="10"/>
    <x v="0"/>
    <n v="51.4"/>
    <n v="51.4"/>
    <x v="48"/>
    <d v="2025-02-19T00:00:00"/>
    <x v="1"/>
    <x v="0"/>
    <x v="0"/>
    <x v="0"/>
    <x v="3"/>
    <x v="3"/>
    <x v="7"/>
    <x v="1"/>
  </r>
  <r>
    <x v="1247"/>
    <x v="2"/>
    <x v="9"/>
    <n v="117.2"/>
    <n v="586"/>
    <x v="48"/>
    <d v="2025-02-21T00:00:00"/>
    <x v="2"/>
    <x v="4"/>
    <x v="4"/>
    <x v="0"/>
    <x v="3"/>
    <x v="2"/>
    <x v="7"/>
    <x v="2"/>
  </r>
  <r>
    <x v="1248"/>
    <x v="8"/>
    <x v="0"/>
    <n v="38.1"/>
    <n v="38.1"/>
    <x v="48"/>
    <d v="2025-02-18T00:00:00"/>
    <x v="1"/>
    <x v="4"/>
    <x v="1"/>
    <x v="0"/>
    <x v="3"/>
    <x v="7"/>
    <x v="7"/>
    <x v="1"/>
  </r>
  <r>
    <x v="1249"/>
    <x v="0"/>
    <x v="1"/>
    <n v="44.1"/>
    <n v="88.2"/>
    <x v="48"/>
    <d v="2025-02-20T00:00:00"/>
    <x v="2"/>
    <x v="2"/>
    <x v="0"/>
    <x v="0"/>
    <x v="3"/>
    <x v="1"/>
    <x v="7"/>
    <x v="2"/>
  </r>
  <r>
    <x v="1250"/>
    <x v="15"/>
    <x v="12"/>
    <n v="80.5"/>
    <n v="322"/>
    <x v="48"/>
    <d v="2025-02-23T00:00:00"/>
    <x v="1"/>
    <x v="0"/>
    <x v="0"/>
    <x v="0"/>
    <x v="3"/>
    <x v="0"/>
    <x v="7"/>
    <x v="1"/>
  </r>
  <r>
    <x v="1251"/>
    <x v="18"/>
    <x v="12"/>
    <n v="33.6"/>
    <n v="134.4"/>
    <x v="48"/>
    <d v="2025-02-23T00:00:00"/>
    <x v="0"/>
    <x v="0"/>
    <x v="2"/>
    <x v="0"/>
    <x v="3"/>
    <x v="0"/>
    <x v="7"/>
    <x v="0"/>
  </r>
  <r>
    <x v="1252"/>
    <x v="9"/>
    <x v="11"/>
    <n v="41.8"/>
    <n v="376.2"/>
    <x v="48"/>
    <d v="2025-02-19T00:00:00"/>
    <x v="2"/>
    <x v="0"/>
    <x v="1"/>
    <x v="0"/>
    <x v="3"/>
    <x v="3"/>
    <x v="7"/>
    <x v="2"/>
  </r>
  <r>
    <x v="1253"/>
    <x v="1"/>
    <x v="1"/>
    <n v="106.2"/>
    <n v="212.4"/>
    <x v="48"/>
    <d v="2025-02-18T00:00:00"/>
    <x v="2"/>
    <x v="4"/>
    <x v="2"/>
    <x v="0"/>
    <x v="3"/>
    <x v="7"/>
    <x v="7"/>
    <x v="2"/>
  </r>
  <r>
    <x v="1254"/>
    <x v="1"/>
    <x v="1"/>
    <n v="52.6"/>
    <n v="105.2"/>
    <x v="48"/>
    <d v="2025-02-19T00:00:00"/>
    <x v="2"/>
    <x v="0"/>
    <x v="2"/>
    <x v="0"/>
    <x v="5"/>
    <x v="3"/>
    <x v="7"/>
    <x v="2"/>
  </r>
  <r>
    <x v="1255"/>
    <x v="11"/>
    <x v="3"/>
    <n v="68.5"/>
    <n v="479.5"/>
    <x v="48"/>
    <d v="2025-02-19T00:00:00"/>
    <x v="2"/>
    <x v="1"/>
    <x v="0"/>
    <x v="0"/>
    <x v="5"/>
    <x v="3"/>
    <x v="7"/>
    <x v="2"/>
  </r>
  <r>
    <x v="1256"/>
    <x v="1"/>
    <x v="1"/>
    <n v="55.6"/>
    <n v="111.2"/>
    <x v="48"/>
    <d v="2025-02-20T00:00:00"/>
    <x v="1"/>
    <x v="1"/>
    <x v="2"/>
    <x v="0"/>
    <x v="6"/>
    <x v="1"/>
    <x v="7"/>
    <x v="1"/>
  </r>
  <r>
    <x v="1257"/>
    <x v="2"/>
    <x v="2"/>
    <n v="134.9"/>
    <n v="404.70000000000005"/>
    <x v="48"/>
    <d v="2025-02-19T00:00:00"/>
    <x v="1"/>
    <x v="1"/>
    <x v="1"/>
    <x v="0"/>
    <x v="6"/>
    <x v="3"/>
    <x v="7"/>
    <x v="1"/>
  </r>
  <r>
    <x v="1258"/>
    <x v="10"/>
    <x v="9"/>
    <n v="42.6"/>
    <n v="213"/>
    <x v="48"/>
    <d v="2025-02-19T00:00:00"/>
    <x v="1"/>
    <x v="0"/>
    <x v="0"/>
    <x v="0"/>
    <x v="6"/>
    <x v="3"/>
    <x v="7"/>
    <x v="1"/>
  </r>
  <r>
    <x v="1259"/>
    <x v="7"/>
    <x v="9"/>
    <n v="60.6"/>
    <n v="303"/>
    <x v="48"/>
    <d v="2025-02-20T00:00:00"/>
    <x v="1"/>
    <x v="4"/>
    <x v="0"/>
    <x v="0"/>
    <x v="6"/>
    <x v="1"/>
    <x v="7"/>
    <x v="1"/>
  </r>
  <r>
    <x v="1260"/>
    <x v="8"/>
    <x v="1"/>
    <n v="43.5"/>
    <n v="87"/>
    <x v="48"/>
    <d v="2025-02-19T00:00:00"/>
    <x v="1"/>
    <x v="4"/>
    <x v="0"/>
    <x v="0"/>
    <x v="7"/>
    <x v="3"/>
    <x v="7"/>
    <x v="1"/>
  </r>
  <r>
    <x v="1261"/>
    <x v="2"/>
    <x v="1"/>
    <n v="187.1"/>
    <n v="374.2"/>
    <x v="48"/>
    <d v="2025-02-19T00:00:00"/>
    <x v="1"/>
    <x v="1"/>
    <x v="2"/>
    <x v="0"/>
    <x v="8"/>
    <x v="3"/>
    <x v="7"/>
    <x v="1"/>
  </r>
  <r>
    <x v="1262"/>
    <x v="9"/>
    <x v="2"/>
    <n v="32"/>
    <n v="96"/>
    <x v="48"/>
    <d v="2025-02-20T00:00:00"/>
    <x v="1"/>
    <x v="0"/>
    <x v="0"/>
    <x v="0"/>
    <x v="8"/>
    <x v="1"/>
    <x v="7"/>
    <x v="1"/>
  </r>
  <r>
    <x v="1263"/>
    <x v="9"/>
    <x v="1"/>
    <n v="110.8"/>
    <n v="221.6"/>
    <x v="48"/>
    <d v="2025-02-18T00:00:00"/>
    <x v="1"/>
    <x v="0"/>
    <x v="2"/>
    <x v="0"/>
    <x v="8"/>
    <x v="7"/>
    <x v="7"/>
    <x v="1"/>
  </r>
  <r>
    <x v="1264"/>
    <x v="10"/>
    <x v="15"/>
    <n v="36.1"/>
    <n v="469.3"/>
    <x v="48"/>
    <d v="2025-02-21T00:00:00"/>
    <x v="2"/>
    <x v="0"/>
    <x v="1"/>
    <x v="0"/>
    <x v="8"/>
    <x v="2"/>
    <x v="7"/>
    <x v="2"/>
  </r>
  <r>
    <x v="1265"/>
    <x v="0"/>
    <x v="0"/>
    <n v="24.1"/>
    <n v="24.1"/>
    <x v="48"/>
    <d v="2025-02-20T00:00:00"/>
    <x v="2"/>
    <x v="4"/>
    <x v="2"/>
    <x v="0"/>
    <x v="8"/>
    <x v="1"/>
    <x v="7"/>
    <x v="2"/>
  </r>
  <r>
    <x v="1266"/>
    <x v="19"/>
    <x v="2"/>
    <n v="30.5"/>
    <n v="91.5"/>
    <x v="48"/>
    <d v="2025-02-20T00:00:00"/>
    <x v="1"/>
    <x v="1"/>
    <x v="0"/>
    <x v="0"/>
    <x v="8"/>
    <x v="1"/>
    <x v="7"/>
    <x v="1"/>
  </r>
  <r>
    <x v="1267"/>
    <x v="18"/>
    <x v="13"/>
    <n v="68.3"/>
    <n v="409.79999999999995"/>
    <x v="48"/>
    <d v="2025-02-21T00:00:00"/>
    <x v="1"/>
    <x v="0"/>
    <x v="0"/>
    <x v="0"/>
    <x v="8"/>
    <x v="2"/>
    <x v="7"/>
    <x v="1"/>
  </r>
  <r>
    <x v="1268"/>
    <x v="7"/>
    <x v="2"/>
    <n v="43.3"/>
    <n v="129.89999999999998"/>
    <x v="48"/>
    <d v="2025-02-22T00:00:00"/>
    <x v="2"/>
    <x v="0"/>
    <x v="0"/>
    <x v="0"/>
    <x v="17"/>
    <x v="5"/>
    <x v="7"/>
    <x v="2"/>
  </r>
  <r>
    <x v="1269"/>
    <x v="3"/>
    <x v="0"/>
    <n v="101.7"/>
    <n v="101.7"/>
    <x v="48"/>
    <d v="2025-02-21T00:00:00"/>
    <x v="2"/>
    <x v="0"/>
    <x v="1"/>
    <x v="0"/>
    <x v="17"/>
    <x v="2"/>
    <x v="7"/>
    <x v="2"/>
  </r>
  <r>
    <x v="1270"/>
    <x v="11"/>
    <x v="1"/>
    <n v="54.2"/>
    <n v="108.4"/>
    <x v="48"/>
    <d v="2025-02-19T00:00:00"/>
    <x v="2"/>
    <x v="0"/>
    <x v="1"/>
    <x v="0"/>
    <x v="17"/>
    <x v="3"/>
    <x v="7"/>
    <x v="2"/>
  </r>
  <r>
    <x v="1271"/>
    <x v="16"/>
    <x v="1"/>
    <n v="51"/>
    <n v="102"/>
    <x v="48"/>
    <d v="2025-02-18T00:00:00"/>
    <x v="1"/>
    <x v="1"/>
    <x v="0"/>
    <x v="0"/>
    <x v="26"/>
    <x v="7"/>
    <x v="7"/>
    <x v="1"/>
  </r>
  <r>
    <x v="1272"/>
    <x v="4"/>
    <x v="1"/>
    <n v="23.1"/>
    <n v="46.2"/>
    <x v="48"/>
    <d v="2025-02-21T00:00:00"/>
    <x v="1"/>
    <x v="1"/>
    <x v="0"/>
    <x v="0"/>
    <x v="10"/>
    <x v="2"/>
    <x v="7"/>
    <x v="1"/>
  </r>
  <r>
    <x v="1273"/>
    <x v="12"/>
    <x v="13"/>
    <n v="60.1"/>
    <n v="360.6"/>
    <x v="48"/>
    <d v="2025-02-18T00:00:00"/>
    <x v="2"/>
    <x v="3"/>
    <x v="0"/>
    <x v="0"/>
    <x v="11"/>
    <x v="7"/>
    <x v="7"/>
    <x v="2"/>
  </r>
  <r>
    <x v="1274"/>
    <x v="2"/>
    <x v="3"/>
    <n v="87.5"/>
    <n v="612.5"/>
    <x v="48"/>
    <d v="2025-02-20T00:00:00"/>
    <x v="2"/>
    <x v="0"/>
    <x v="1"/>
    <x v="0"/>
    <x v="11"/>
    <x v="1"/>
    <x v="7"/>
    <x v="2"/>
  </r>
  <r>
    <x v="1275"/>
    <x v="1"/>
    <x v="2"/>
    <n v="51"/>
    <n v="153"/>
    <x v="48"/>
    <d v="2025-02-19T00:00:00"/>
    <x v="2"/>
    <x v="1"/>
    <x v="0"/>
    <x v="0"/>
    <x v="11"/>
    <x v="3"/>
    <x v="7"/>
    <x v="2"/>
  </r>
  <r>
    <x v="1276"/>
    <x v="8"/>
    <x v="12"/>
    <n v="19.2"/>
    <n v="76.8"/>
    <x v="48"/>
    <d v="2025-02-20T00:00:00"/>
    <x v="2"/>
    <x v="0"/>
    <x v="0"/>
    <x v="0"/>
    <x v="11"/>
    <x v="1"/>
    <x v="7"/>
    <x v="2"/>
  </r>
  <r>
    <x v="1277"/>
    <x v="5"/>
    <x v="8"/>
    <n v="26.5"/>
    <n v="212"/>
    <x v="48"/>
    <d v="2025-02-19T00:00:00"/>
    <x v="0"/>
    <x v="3"/>
    <x v="2"/>
    <x v="0"/>
    <x v="11"/>
    <x v="3"/>
    <x v="7"/>
    <x v="0"/>
  </r>
  <r>
    <x v="1278"/>
    <x v="2"/>
    <x v="1"/>
    <n v="220.3"/>
    <n v="440.6"/>
    <x v="48"/>
    <d v="2025-02-19T00:00:00"/>
    <x v="2"/>
    <x v="1"/>
    <x v="4"/>
    <x v="0"/>
    <x v="53"/>
    <x v="3"/>
    <x v="7"/>
    <x v="2"/>
  </r>
  <r>
    <x v="1279"/>
    <x v="8"/>
    <x v="2"/>
    <n v="45.7"/>
    <n v="137.10000000000002"/>
    <x v="48"/>
    <d v="2025-02-19T00:00:00"/>
    <x v="2"/>
    <x v="4"/>
    <x v="0"/>
    <x v="0"/>
    <x v="30"/>
    <x v="3"/>
    <x v="7"/>
    <x v="2"/>
  </r>
  <r>
    <x v="1280"/>
    <x v="5"/>
    <x v="9"/>
    <n v="47.1"/>
    <n v="235.5"/>
    <x v="48"/>
    <d v="2025-02-22T00:00:00"/>
    <x v="2"/>
    <x v="3"/>
    <x v="0"/>
    <x v="0"/>
    <x v="13"/>
    <x v="5"/>
    <x v="7"/>
    <x v="2"/>
  </r>
  <r>
    <x v="1281"/>
    <x v="1"/>
    <x v="9"/>
    <n v="81.7"/>
    <n v="408.5"/>
    <x v="48"/>
    <d v="2025-02-19T00:00:00"/>
    <x v="2"/>
    <x v="0"/>
    <x v="2"/>
    <x v="0"/>
    <x v="21"/>
    <x v="3"/>
    <x v="7"/>
    <x v="2"/>
  </r>
  <r>
    <x v="1282"/>
    <x v="6"/>
    <x v="7"/>
    <n v="97.8"/>
    <n v="978"/>
    <x v="48"/>
    <d v="2025-02-18T00:00:00"/>
    <x v="1"/>
    <x v="1"/>
    <x v="1"/>
    <x v="0"/>
    <x v="21"/>
    <x v="7"/>
    <x v="7"/>
    <x v="1"/>
  </r>
  <r>
    <x v="1283"/>
    <x v="6"/>
    <x v="2"/>
    <n v="42.4"/>
    <n v="127.19999999999999"/>
    <x v="48"/>
    <d v="2025-02-19T00:00:00"/>
    <x v="2"/>
    <x v="0"/>
    <x v="2"/>
    <x v="0"/>
    <x v="54"/>
    <x v="3"/>
    <x v="7"/>
    <x v="2"/>
  </r>
  <r>
    <x v="1284"/>
    <x v="2"/>
    <x v="7"/>
    <n v="74.5"/>
    <n v="745"/>
    <x v="48"/>
    <d v="2025-02-19T00:00:00"/>
    <x v="1"/>
    <x v="2"/>
    <x v="1"/>
    <x v="0"/>
    <x v="1"/>
    <x v="3"/>
    <x v="7"/>
    <x v="1"/>
  </r>
  <r>
    <x v="1285"/>
    <x v="17"/>
    <x v="13"/>
    <n v="47.4"/>
    <n v="284.39999999999998"/>
    <x v="48"/>
    <d v="2025-02-19T00:00:00"/>
    <x v="1"/>
    <x v="1"/>
    <x v="0"/>
    <x v="0"/>
    <x v="1"/>
    <x v="3"/>
    <x v="7"/>
    <x v="1"/>
  </r>
  <r>
    <x v="1286"/>
    <x v="14"/>
    <x v="2"/>
    <n v="17.3"/>
    <n v="51.900000000000006"/>
    <x v="49"/>
    <d v="2025-02-22T00:00:00"/>
    <x v="1"/>
    <x v="2"/>
    <x v="2"/>
    <x v="0"/>
    <x v="1"/>
    <x v="2"/>
    <x v="7"/>
    <x v="1"/>
  </r>
  <r>
    <x v="1287"/>
    <x v="12"/>
    <x v="12"/>
    <n v="77.900000000000006"/>
    <n v="311.60000000000002"/>
    <x v="49"/>
    <d v="2025-02-20T00:00:00"/>
    <x v="1"/>
    <x v="1"/>
    <x v="0"/>
    <x v="0"/>
    <x v="2"/>
    <x v="3"/>
    <x v="7"/>
    <x v="1"/>
  </r>
  <r>
    <x v="1288"/>
    <x v="8"/>
    <x v="0"/>
    <n v="29.1"/>
    <n v="29.1"/>
    <x v="49"/>
    <d v="2025-02-22T00:00:00"/>
    <x v="1"/>
    <x v="0"/>
    <x v="2"/>
    <x v="0"/>
    <x v="50"/>
    <x v="2"/>
    <x v="7"/>
    <x v="1"/>
  </r>
  <r>
    <x v="1289"/>
    <x v="8"/>
    <x v="0"/>
    <n v="49"/>
    <n v="49"/>
    <x v="49"/>
    <d v="2025-02-20T00:00:00"/>
    <x v="1"/>
    <x v="1"/>
    <x v="0"/>
    <x v="0"/>
    <x v="3"/>
    <x v="3"/>
    <x v="7"/>
    <x v="1"/>
  </r>
  <r>
    <x v="1290"/>
    <x v="8"/>
    <x v="13"/>
    <n v="21.1"/>
    <n v="126.60000000000001"/>
    <x v="49"/>
    <d v="2025-02-26T00:00:00"/>
    <x v="1"/>
    <x v="0"/>
    <x v="2"/>
    <x v="0"/>
    <x v="3"/>
    <x v="6"/>
    <x v="7"/>
    <x v="1"/>
  </r>
  <r>
    <x v="1291"/>
    <x v="4"/>
    <x v="10"/>
    <n v="36.9"/>
    <n v="701.1"/>
    <x v="49"/>
    <d v="2025-02-19T00:00:00"/>
    <x v="2"/>
    <x v="0"/>
    <x v="0"/>
    <x v="0"/>
    <x v="3"/>
    <x v="7"/>
    <x v="7"/>
    <x v="2"/>
  </r>
  <r>
    <x v="1292"/>
    <x v="1"/>
    <x v="7"/>
    <n v="92.6"/>
    <n v="926"/>
    <x v="49"/>
    <d v="2025-02-24T00:00:00"/>
    <x v="1"/>
    <x v="4"/>
    <x v="2"/>
    <x v="0"/>
    <x v="3"/>
    <x v="0"/>
    <x v="7"/>
    <x v="1"/>
  </r>
  <r>
    <x v="1293"/>
    <x v="10"/>
    <x v="1"/>
    <n v="38"/>
    <n v="76"/>
    <x v="49"/>
    <d v="2025-02-20T00:00:00"/>
    <x v="1"/>
    <x v="1"/>
    <x v="1"/>
    <x v="0"/>
    <x v="3"/>
    <x v="3"/>
    <x v="7"/>
    <x v="1"/>
  </r>
  <r>
    <x v="1294"/>
    <x v="5"/>
    <x v="2"/>
    <n v="54.8"/>
    <n v="164.39999999999998"/>
    <x v="49"/>
    <d v="2025-02-23T00:00:00"/>
    <x v="0"/>
    <x v="0"/>
    <x v="1"/>
    <x v="0"/>
    <x v="3"/>
    <x v="5"/>
    <x v="7"/>
    <x v="0"/>
  </r>
  <r>
    <x v="1295"/>
    <x v="10"/>
    <x v="4"/>
    <n v="56.8"/>
    <n v="681.59999999999991"/>
    <x v="49"/>
    <d v="2025-02-21T00:00:00"/>
    <x v="1"/>
    <x v="1"/>
    <x v="0"/>
    <x v="0"/>
    <x v="3"/>
    <x v="1"/>
    <x v="7"/>
    <x v="1"/>
  </r>
  <r>
    <x v="1296"/>
    <x v="11"/>
    <x v="40"/>
    <n v="47.2"/>
    <n v="1557.6000000000001"/>
    <x v="49"/>
    <d v="2025-02-22T00:00:00"/>
    <x v="2"/>
    <x v="1"/>
    <x v="0"/>
    <x v="0"/>
    <x v="3"/>
    <x v="2"/>
    <x v="7"/>
    <x v="2"/>
  </r>
  <r>
    <x v="1297"/>
    <x v="7"/>
    <x v="13"/>
    <n v="45.1"/>
    <n v="270.60000000000002"/>
    <x v="49"/>
    <d v="2025-02-20T00:00:00"/>
    <x v="2"/>
    <x v="2"/>
    <x v="0"/>
    <x v="0"/>
    <x v="43"/>
    <x v="3"/>
    <x v="7"/>
    <x v="2"/>
  </r>
  <r>
    <x v="1298"/>
    <x v="4"/>
    <x v="4"/>
    <n v="25.2"/>
    <n v="302.39999999999998"/>
    <x v="49"/>
    <d v="2025-02-24T00:00:00"/>
    <x v="2"/>
    <x v="2"/>
    <x v="0"/>
    <x v="0"/>
    <x v="16"/>
    <x v="0"/>
    <x v="7"/>
    <x v="2"/>
  </r>
  <r>
    <x v="1299"/>
    <x v="8"/>
    <x v="0"/>
    <n v="22"/>
    <n v="22"/>
    <x v="49"/>
    <d v="2025-02-20T00:00:00"/>
    <x v="2"/>
    <x v="0"/>
    <x v="0"/>
    <x v="0"/>
    <x v="5"/>
    <x v="3"/>
    <x v="7"/>
    <x v="2"/>
  </r>
  <r>
    <x v="1300"/>
    <x v="6"/>
    <x v="1"/>
    <n v="42.2"/>
    <n v="84.4"/>
    <x v="49"/>
    <d v="2025-02-20T00:00:00"/>
    <x v="2"/>
    <x v="1"/>
    <x v="1"/>
    <x v="0"/>
    <x v="23"/>
    <x v="3"/>
    <x v="7"/>
    <x v="2"/>
  </r>
  <r>
    <x v="1301"/>
    <x v="13"/>
    <x v="2"/>
    <n v="20.5"/>
    <n v="61.5"/>
    <x v="49"/>
    <d v="2025-02-20T00:00:00"/>
    <x v="1"/>
    <x v="0"/>
    <x v="1"/>
    <x v="0"/>
    <x v="6"/>
    <x v="3"/>
    <x v="7"/>
    <x v="1"/>
  </r>
  <r>
    <x v="1302"/>
    <x v="2"/>
    <x v="0"/>
    <n v="190.4"/>
    <n v="190.4"/>
    <x v="49"/>
    <d v="2025-02-24T00:00:00"/>
    <x v="1"/>
    <x v="1"/>
    <x v="4"/>
    <x v="0"/>
    <x v="6"/>
    <x v="0"/>
    <x v="7"/>
    <x v="1"/>
  </r>
  <r>
    <x v="1303"/>
    <x v="2"/>
    <x v="0"/>
    <n v="121.9"/>
    <n v="121.9"/>
    <x v="49"/>
    <d v="2025-02-21T00:00:00"/>
    <x v="2"/>
    <x v="1"/>
    <x v="2"/>
    <x v="0"/>
    <x v="6"/>
    <x v="1"/>
    <x v="7"/>
    <x v="2"/>
  </r>
  <r>
    <x v="1304"/>
    <x v="2"/>
    <x v="13"/>
    <n v="149.19999999999999"/>
    <n v="895.19999999999993"/>
    <x v="49"/>
    <d v="2025-02-20T00:00:00"/>
    <x v="2"/>
    <x v="2"/>
    <x v="2"/>
    <x v="0"/>
    <x v="7"/>
    <x v="3"/>
    <x v="7"/>
    <x v="2"/>
  </r>
  <r>
    <x v="1305"/>
    <x v="2"/>
    <x v="0"/>
    <n v="54.1"/>
    <n v="54.1"/>
    <x v="49"/>
    <d v="2025-02-28T00:00:00"/>
    <x v="2"/>
    <x v="2"/>
    <x v="2"/>
    <x v="0"/>
    <x v="7"/>
    <x v="8"/>
    <x v="7"/>
    <x v="2"/>
  </r>
  <r>
    <x v="1306"/>
    <x v="5"/>
    <x v="1"/>
    <n v="27.4"/>
    <n v="54.8"/>
    <x v="49"/>
    <d v="2025-02-21T00:00:00"/>
    <x v="1"/>
    <x v="1"/>
    <x v="0"/>
    <x v="0"/>
    <x v="8"/>
    <x v="1"/>
    <x v="7"/>
    <x v="1"/>
  </r>
  <r>
    <x v="1307"/>
    <x v="0"/>
    <x v="15"/>
    <n v="30.4"/>
    <n v="395.2"/>
    <x v="49"/>
    <d v="2025-02-20T00:00:00"/>
    <x v="2"/>
    <x v="0"/>
    <x v="2"/>
    <x v="0"/>
    <x v="8"/>
    <x v="3"/>
    <x v="7"/>
    <x v="2"/>
  </r>
  <r>
    <x v="1308"/>
    <x v="12"/>
    <x v="2"/>
    <n v="46.2"/>
    <n v="138.60000000000002"/>
    <x v="49"/>
    <d v="2025-02-21T00:00:00"/>
    <x v="1"/>
    <x v="2"/>
    <x v="1"/>
    <x v="0"/>
    <x v="17"/>
    <x v="1"/>
    <x v="7"/>
    <x v="1"/>
  </r>
  <r>
    <x v="1309"/>
    <x v="7"/>
    <x v="8"/>
    <n v="78.599999999999994"/>
    <n v="628.79999999999995"/>
    <x v="49"/>
    <d v="2025-02-23T00:00:00"/>
    <x v="1"/>
    <x v="3"/>
    <x v="0"/>
    <x v="0"/>
    <x v="17"/>
    <x v="5"/>
    <x v="7"/>
    <x v="1"/>
  </r>
  <r>
    <x v="1310"/>
    <x v="17"/>
    <x v="7"/>
    <n v="25.9"/>
    <n v="259"/>
    <x v="49"/>
    <d v="2025-02-25T00:00:00"/>
    <x v="1"/>
    <x v="4"/>
    <x v="0"/>
    <x v="0"/>
    <x v="9"/>
    <x v="4"/>
    <x v="7"/>
    <x v="1"/>
  </r>
  <r>
    <x v="1311"/>
    <x v="6"/>
    <x v="0"/>
    <n v="134.80000000000001"/>
    <n v="134.80000000000001"/>
    <x v="49"/>
    <d v="2025-02-21T00:00:00"/>
    <x v="1"/>
    <x v="2"/>
    <x v="2"/>
    <x v="0"/>
    <x v="9"/>
    <x v="1"/>
    <x v="7"/>
    <x v="1"/>
  </r>
  <r>
    <x v="1312"/>
    <x v="15"/>
    <x v="9"/>
    <n v="43.1"/>
    <n v="215.5"/>
    <x v="49"/>
    <d v="2025-02-21T00:00:00"/>
    <x v="2"/>
    <x v="0"/>
    <x v="0"/>
    <x v="0"/>
    <x v="11"/>
    <x v="1"/>
    <x v="7"/>
    <x v="2"/>
  </r>
  <r>
    <x v="1313"/>
    <x v="2"/>
    <x v="1"/>
    <n v="215.6"/>
    <n v="431.2"/>
    <x v="49"/>
    <d v="2025-02-20T00:00:00"/>
    <x v="2"/>
    <x v="2"/>
    <x v="0"/>
    <x v="0"/>
    <x v="18"/>
    <x v="3"/>
    <x v="7"/>
    <x v="2"/>
  </r>
  <r>
    <x v="1314"/>
    <x v="6"/>
    <x v="1"/>
    <n v="80.7"/>
    <n v="161.4"/>
    <x v="49"/>
    <d v="2025-02-22T00:00:00"/>
    <x v="2"/>
    <x v="3"/>
    <x v="0"/>
    <x v="0"/>
    <x v="18"/>
    <x v="2"/>
    <x v="7"/>
    <x v="2"/>
  </r>
  <r>
    <x v="1315"/>
    <x v="10"/>
    <x v="3"/>
    <n v="20.6"/>
    <n v="144.20000000000002"/>
    <x v="49"/>
    <d v="2025-02-24T00:00:00"/>
    <x v="0"/>
    <x v="2"/>
    <x v="1"/>
    <x v="0"/>
    <x v="19"/>
    <x v="0"/>
    <x v="7"/>
    <x v="0"/>
  </r>
  <r>
    <x v="1316"/>
    <x v="12"/>
    <x v="2"/>
    <n v="37.1"/>
    <n v="111.30000000000001"/>
    <x v="49"/>
    <d v="2025-02-20T00:00:00"/>
    <x v="2"/>
    <x v="0"/>
    <x v="0"/>
    <x v="0"/>
    <x v="52"/>
    <x v="3"/>
    <x v="7"/>
    <x v="2"/>
  </r>
  <r>
    <x v="1317"/>
    <x v="12"/>
    <x v="0"/>
    <n v="104.8"/>
    <n v="104.8"/>
    <x v="50"/>
    <d v="2025-02-22T00:00:00"/>
    <x v="2"/>
    <x v="0"/>
    <x v="0"/>
    <x v="0"/>
    <x v="13"/>
    <x v="1"/>
    <x v="7"/>
    <x v="2"/>
  </r>
  <r>
    <x v="1318"/>
    <x v="8"/>
    <x v="1"/>
    <n v="59"/>
    <n v="118"/>
    <x v="50"/>
    <d v="2025-02-21T00:00:00"/>
    <x v="1"/>
    <x v="1"/>
    <x v="0"/>
    <x v="0"/>
    <x v="21"/>
    <x v="3"/>
    <x v="7"/>
    <x v="1"/>
  </r>
  <r>
    <x v="1319"/>
    <x v="8"/>
    <x v="1"/>
    <n v="32.299999999999997"/>
    <n v="64.599999999999994"/>
    <x v="50"/>
    <d v="2025-02-21T00:00:00"/>
    <x v="1"/>
    <x v="0"/>
    <x v="2"/>
    <x v="0"/>
    <x v="21"/>
    <x v="3"/>
    <x v="7"/>
    <x v="1"/>
  </r>
  <r>
    <x v="1320"/>
    <x v="8"/>
    <x v="12"/>
    <n v="28.9"/>
    <n v="115.6"/>
    <x v="50"/>
    <d v="2025-02-27T00:00:00"/>
    <x v="1"/>
    <x v="0"/>
    <x v="0"/>
    <x v="0"/>
    <x v="1"/>
    <x v="6"/>
    <x v="7"/>
    <x v="1"/>
  </r>
  <r>
    <x v="1321"/>
    <x v="0"/>
    <x v="1"/>
    <n v="29.6"/>
    <n v="59.2"/>
    <x v="50"/>
    <d v="2025-02-22T00:00:00"/>
    <x v="1"/>
    <x v="0"/>
    <x v="0"/>
    <x v="0"/>
    <x v="1"/>
    <x v="1"/>
    <x v="7"/>
    <x v="1"/>
  </r>
  <r>
    <x v="1322"/>
    <x v="0"/>
    <x v="9"/>
    <n v="29.4"/>
    <n v="147"/>
    <x v="50"/>
    <d v="2025-02-23T00:00:00"/>
    <x v="2"/>
    <x v="0"/>
    <x v="0"/>
    <x v="0"/>
    <x v="1"/>
    <x v="2"/>
    <x v="7"/>
    <x v="2"/>
  </r>
  <r>
    <x v="1323"/>
    <x v="1"/>
    <x v="1"/>
    <n v="40.6"/>
    <n v="81.2"/>
    <x v="50"/>
    <d v="2025-02-21T00:00:00"/>
    <x v="1"/>
    <x v="0"/>
    <x v="4"/>
    <x v="0"/>
    <x v="2"/>
    <x v="3"/>
    <x v="7"/>
    <x v="1"/>
  </r>
  <r>
    <x v="1324"/>
    <x v="0"/>
    <x v="2"/>
    <n v="32.5"/>
    <n v="97.5"/>
    <x v="50"/>
    <d v="2025-02-21T00:00:00"/>
    <x v="1"/>
    <x v="3"/>
    <x v="2"/>
    <x v="0"/>
    <x v="22"/>
    <x v="3"/>
    <x v="7"/>
    <x v="1"/>
  </r>
  <r>
    <x v="1325"/>
    <x v="15"/>
    <x v="0"/>
    <n v="26.2"/>
    <n v="26.2"/>
    <x v="50"/>
    <d v="2025-02-22T00:00:00"/>
    <x v="1"/>
    <x v="2"/>
    <x v="0"/>
    <x v="0"/>
    <x v="55"/>
    <x v="1"/>
    <x v="7"/>
    <x v="1"/>
  </r>
  <r>
    <x v="1326"/>
    <x v="10"/>
    <x v="17"/>
    <n v="44"/>
    <n v="1320"/>
    <x v="50"/>
    <d v="2025-02-26T00:00:00"/>
    <x v="1"/>
    <x v="4"/>
    <x v="0"/>
    <x v="0"/>
    <x v="3"/>
    <x v="4"/>
    <x v="7"/>
    <x v="1"/>
  </r>
  <r>
    <x v="1327"/>
    <x v="7"/>
    <x v="12"/>
    <n v="65.599999999999994"/>
    <n v="262.39999999999998"/>
    <x v="50"/>
    <d v="2025-02-21T00:00:00"/>
    <x v="2"/>
    <x v="1"/>
    <x v="1"/>
    <x v="0"/>
    <x v="3"/>
    <x v="3"/>
    <x v="7"/>
    <x v="2"/>
  </r>
  <r>
    <x v="1328"/>
    <x v="5"/>
    <x v="4"/>
    <n v="32.6"/>
    <n v="391.20000000000005"/>
    <x v="50"/>
    <d v="2025-02-21T00:00:00"/>
    <x v="1"/>
    <x v="4"/>
    <x v="0"/>
    <x v="0"/>
    <x v="3"/>
    <x v="3"/>
    <x v="7"/>
    <x v="1"/>
  </r>
  <r>
    <x v="1329"/>
    <x v="16"/>
    <x v="1"/>
    <n v="88.7"/>
    <n v="177.4"/>
    <x v="50"/>
    <d v="2025-02-21T00:00:00"/>
    <x v="0"/>
    <x v="3"/>
    <x v="2"/>
    <x v="0"/>
    <x v="3"/>
    <x v="3"/>
    <x v="7"/>
    <x v="0"/>
  </r>
  <r>
    <x v="1330"/>
    <x v="4"/>
    <x v="1"/>
    <n v="21.3"/>
    <n v="42.6"/>
    <x v="50"/>
    <d v="2025-02-21T00:00:00"/>
    <x v="1"/>
    <x v="0"/>
    <x v="0"/>
    <x v="0"/>
    <x v="3"/>
    <x v="3"/>
    <x v="7"/>
    <x v="1"/>
  </r>
  <r>
    <x v="1331"/>
    <x v="4"/>
    <x v="13"/>
    <n v="50.6"/>
    <n v="303.60000000000002"/>
    <x v="50"/>
    <d v="2025-02-24T00:00:00"/>
    <x v="2"/>
    <x v="2"/>
    <x v="0"/>
    <x v="0"/>
    <x v="3"/>
    <x v="5"/>
    <x v="7"/>
    <x v="2"/>
  </r>
  <r>
    <x v="1332"/>
    <x v="9"/>
    <x v="38"/>
    <n v="86.9"/>
    <n v="1824.9"/>
    <x v="50"/>
    <d v="2025-02-23T00:00:00"/>
    <x v="2"/>
    <x v="0"/>
    <x v="1"/>
    <x v="0"/>
    <x v="3"/>
    <x v="2"/>
    <x v="7"/>
    <x v="2"/>
  </r>
  <r>
    <x v="1333"/>
    <x v="11"/>
    <x v="2"/>
    <n v="31.8"/>
    <n v="95.4"/>
    <x v="50"/>
    <d v="2025-02-22T00:00:00"/>
    <x v="1"/>
    <x v="0"/>
    <x v="2"/>
    <x v="0"/>
    <x v="3"/>
    <x v="1"/>
    <x v="7"/>
    <x v="1"/>
  </r>
  <r>
    <x v="1334"/>
    <x v="8"/>
    <x v="0"/>
    <n v="19"/>
    <n v="19"/>
    <x v="50"/>
    <d v="2025-02-21T00:00:00"/>
    <x v="2"/>
    <x v="0"/>
    <x v="2"/>
    <x v="0"/>
    <x v="3"/>
    <x v="3"/>
    <x v="7"/>
    <x v="2"/>
  </r>
  <r>
    <x v="1335"/>
    <x v="5"/>
    <x v="0"/>
    <n v="54.5"/>
    <n v="54.5"/>
    <x v="50"/>
    <d v="2025-02-22T00:00:00"/>
    <x v="1"/>
    <x v="0"/>
    <x v="0"/>
    <x v="0"/>
    <x v="3"/>
    <x v="1"/>
    <x v="7"/>
    <x v="1"/>
  </r>
  <r>
    <x v="1336"/>
    <x v="9"/>
    <x v="9"/>
    <n v="68.900000000000006"/>
    <n v="344.5"/>
    <x v="50"/>
    <d v="2025-02-22T00:00:00"/>
    <x v="1"/>
    <x v="4"/>
    <x v="1"/>
    <x v="0"/>
    <x v="3"/>
    <x v="1"/>
    <x v="7"/>
    <x v="1"/>
  </r>
  <r>
    <x v="1337"/>
    <x v="6"/>
    <x v="2"/>
    <n v="84"/>
    <n v="252"/>
    <x v="50"/>
    <d v="2025-02-21T00:00:00"/>
    <x v="1"/>
    <x v="1"/>
    <x v="4"/>
    <x v="0"/>
    <x v="16"/>
    <x v="3"/>
    <x v="7"/>
    <x v="1"/>
  </r>
  <r>
    <x v="1338"/>
    <x v="15"/>
    <x v="8"/>
    <n v="23.1"/>
    <n v="184.8"/>
    <x v="50"/>
    <d v="2025-02-25T00:00:00"/>
    <x v="1"/>
    <x v="0"/>
    <x v="2"/>
    <x v="0"/>
    <x v="23"/>
    <x v="0"/>
    <x v="7"/>
    <x v="1"/>
  </r>
  <r>
    <x v="1339"/>
    <x v="7"/>
    <x v="1"/>
    <n v="62.4"/>
    <n v="124.8"/>
    <x v="50"/>
    <d v="2025-02-21T00:00:00"/>
    <x v="2"/>
    <x v="0"/>
    <x v="1"/>
    <x v="0"/>
    <x v="6"/>
    <x v="3"/>
    <x v="7"/>
    <x v="2"/>
  </r>
  <r>
    <x v="1340"/>
    <x v="6"/>
    <x v="4"/>
    <n v="40.700000000000003"/>
    <n v="488.40000000000003"/>
    <x v="50"/>
    <d v="2025-02-22T00:00:00"/>
    <x v="1"/>
    <x v="1"/>
    <x v="2"/>
    <x v="0"/>
    <x v="6"/>
    <x v="1"/>
    <x v="7"/>
    <x v="1"/>
  </r>
  <r>
    <x v="1341"/>
    <x v="6"/>
    <x v="0"/>
    <n v="49.6"/>
    <n v="49.6"/>
    <x v="50"/>
    <d v="2025-02-23T00:00:00"/>
    <x v="1"/>
    <x v="2"/>
    <x v="0"/>
    <x v="0"/>
    <x v="7"/>
    <x v="2"/>
    <x v="7"/>
    <x v="1"/>
  </r>
  <r>
    <x v="1342"/>
    <x v="7"/>
    <x v="41"/>
    <n v="66.599999999999994"/>
    <n v="2996.9999999999995"/>
    <x v="50"/>
    <d v="2025-02-23T00:00:00"/>
    <x v="1"/>
    <x v="2"/>
    <x v="0"/>
    <x v="0"/>
    <x v="8"/>
    <x v="2"/>
    <x v="7"/>
    <x v="1"/>
  </r>
  <r>
    <x v="1343"/>
    <x v="8"/>
    <x v="2"/>
    <n v="26.4"/>
    <n v="79.199999999999989"/>
    <x v="50"/>
    <d v="2025-02-21T00:00:00"/>
    <x v="2"/>
    <x v="1"/>
    <x v="1"/>
    <x v="0"/>
    <x v="8"/>
    <x v="3"/>
    <x v="7"/>
    <x v="2"/>
  </r>
  <r>
    <x v="1344"/>
    <x v="0"/>
    <x v="1"/>
    <n v="17.2"/>
    <n v="34.4"/>
    <x v="50"/>
    <d v="2025-02-23T00:00:00"/>
    <x v="1"/>
    <x v="2"/>
    <x v="1"/>
    <x v="0"/>
    <x v="8"/>
    <x v="2"/>
    <x v="7"/>
    <x v="1"/>
  </r>
  <r>
    <x v="1345"/>
    <x v="5"/>
    <x v="8"/>
    <n v="58.1"/>
    <n v="464.8"/>
    <x v="50"/>
    <d v="2025-02-23T00:00:00"/>
    <x v="2"/>
    <x v="4"/>
    <x v="0"/>
    <x v="0"/>
    <x v="8"/>
    <x v="2"/>
    <x v="7"/>
    <x v="2"/>
  </r>
  <r>
    <x v="1346"/>
    <x v="15"/>
    <x v="12"/>
    <n v="31.5"/>
    <n v="126"/>
    <x v="50"/>
    <d v="2025-02-23T00:00:00"/>
    <x v="2"/>
    <x v="4"/>
    <x v="4"/>
    <x v="0"/>
    <x v="8"/>
    <x v="2"/>
    <x v="7"/>
    <x v="2"/>
  </r>
  <r>
    <x v="1347"/>
    <x v="0"/>
    <x v="0"/>
    <n v="27.1"/>
    <n v="27.1"/>
    <x v="50"/>
    <d v="2025-02-22T00:00:00"/>
    <x v="2"/>
    <x v="0"/>
    <x v="1"/>
    <x v="0"/>
    <x v="17"/>
    <x v="1"/>
    <x v="7"/>
    <x v="2"/>
  </r>
  <r>
    <x v="1348"/>
    <x v="18"/>
    <x v="12"/>
    <n v="28.5"/>
    <n v="114"/>
    <x v="50"/>
    <d v="2025-02-22T00:00:00"/>
    <x v="1"/>
    <x v="1"/>
    <x v="2"/>
    <x v="0"/>
    <x v="9"/>
    <x v="1"/>
    <x v="7"/>
    <x v="1"/>
  </r>
  <r>
    <x v="1349"/>
    <x v="10"/>
    <x v="0"/>
    <n v="40.5"/>
    <n v="40.5"/>
    <x v="51"/>
    <d v="2025-02-23T00:00:00"/>
    <x v="3"/>
    <x v="2"/>
    <x v="0"/>
    <x v="0"/>
    <x v="9"/>
    <x v="1"/>
    <x v="7"/>
    <x v="3"/>
  </r>
  <r>
    <x v="1350"/>
    <x v="2"/>
    <x v="2"/>
    <n v="77.900000000000006"/>
    <n v="233.70000000000002"/>
    <x v="51"/>
    <d v="2025-02-25T00:00:00"/>
    <x v="2"/>
    <x v="1"/>
    <x v="2"/>
    <x v="0"/>
    <x v="19"/>
    <x v="5"/>
    <x v="7"/>
    <x v="2"/>
  </r>
  <r>
    <x v="1351"/>
    <x v="18"/>
    <x v="12"/>
    <n v="37.1"/>
    <n v="148.4"/>
    <x v="51"/>
    <d v="2025-02-23T00:00:00"/>
    <x v="1"/>
    <x v="4"/>
    <x v="2"/>
    <x v="0"/>
    <x v="19"/>
    <x v="1"/>
    <x v="7"/>
    <x v="1"/>
  </r>
  <r>
    <x v="1352"/>
    <x v="16"/>
    <x v="2"/>
    <n v="51.6"/>
    <n v="154.80000000000001"/>
    <x v="51"/>
    <d v="2025-03-01T00:00:00"/>
    <x v="2"/>
    <x v="0"/>
    <x v="4"/>
    <x v="0"/>
    <x v="19"/>
    <x v="9"/>
    <x v="7"/>
    <x v="2"/>
  </r>
  <r>
    <x v="1353"/>
    <x v="7"/>
    <x v="2"/>
    <n v="98"/>
    <n v="294"/>
    <x v="51"/>
    <d v="2025-02-22T00:00:00"/>
    <x v="1"/>
    <x v="1"/>
    <x v="1"/>
    <x v="0"/>
    <x v="19"/>
    <x v="3"/>
    <x v="7"/>
    <x v="1"/>
  </r>
  <r>
    <x v="1354"/>
    <x v="6"/>
    <x v="3"/>
    <n v="41.4"/>
    <n v="289.8"/>
    <x v="51"/>
    <d v="2025-02-22T00:00:00"/>
    <x v="1"/>
    <x v="1"/>
    <x v="0"/>
    <x v="0"/>
    <x v="20"/>
    <x v="3"/>
    <x v="7"/>
    <x v="1"/>
  </r>
  <r>
    <x v="1355"/>
    <x v="11"/>
    <x v="8"/>
    <n v="34"/>
    <n v="272"/>
    <x v="51"/>
    <d v="2025-02-26T00:00:00"/>
    <x v="2"/>
    <x v="0"/>
    <x v="2"/>
    <x v="0"/>
    <x v="52"/>
    <x v="0"/>
    <x v="7"/>
    <x v="2"/>
  </r>
  <r>
    <x v="1356"/>
    <x v="6"/>
    <x v="0"/>
    <n v="66.3"/>
    <n v="66.3"/>
    <x v="51"/>
    <d v="2025-02-22T00:00:00"/>
    <x v="2"/>
    <x v="1"/>
    <x v="0"/>
    <x v="0"/>
    <x v="13"/>
    <x v="3"/>
    <x v="7"/>
    <x v="2"/>
  </r>
  <r>
    <x v="1357"/>
    <x v="7"/>
    <x v="0"/>
    <n v="33.5"/>
    <n v="33.5"/>
    <x v="51"/>
    <d v="2025-02-25T00:00:00"/>
    <x v="1"/>
    <x v="2"/>
    <x v="0"/>
    <x v="0"/>
    <x v="13"/>
    <x v="5"/>
    <x v="7"/>
    <x v="1"/>
  </r>
  <r>
    <x v="1358"/>
    <x v="12"/>
    <x v="1"/>
    <n v="70.8"/>
    <n v="141.6"/>
    <x v="51"/>
    <d v="2025-02-22T00:00:00"/>
    <x v="0"/>
    <x v="0"/>
    <x v="0"/>
    <x v="0"/>
    <x v="28"/>
    <x v="3"/>
    <x v="7"/>
    <x v="0"/>
  </r>
  <r>
    <x v="1359"/>
    <x v="6"/>
    <x v="1"/>
    <n v="127.6"/>
    <n v="255.2"/>
    <x v="51"/>
    <d v="2025-02-22T00:00:00"/>
    <x v="1"/>
    <x v="0"/>
    <x v="0"/>
    <x v="0"/>
    <x v="21"/>
    <x v="3"/>
    <x v="7"/>
    <x v="1"/>
  </r>
  <r>
    <x v="1360"/>
    <x v="6"/>
    <x v="2"/>
    <n v="95.9"/>
    <n v="287.70000000000005"/>
    <x v="51"/>
    <d v="2025-02-22T00:00:00"/>
    <x v="2"/>
    <x v="1"/>
    <x v="1"/>
    <x v="0"/>
    <x v="21"/>
    <x v="3"/>
    <x v="7"/>
    <x v="2"/>
  </r>
  <r>
    <x v="1361"/>
    <x v="2"/>
    <x v="1"/>
    <n v="78.099999999999994"/>
    <n v="156.19999999999999"/>
    <x v="51"/>
    <d v="2025-02-22T00:00:00"/>
    <x v="1"/>
    <x v="0"/>
    <x v="0"/>
    <x v="0"/>
    <x v="1"/>
    <x v="3"/>
    <x v="7"/>
    <x v="1"/>
  </r>
  <r>
    <x v="1362"/>
    <x v="13"/>
    <x v="1"/>
    <n v="43.2"/>
    <n v="86.4"/>
    <x v="51"/>
    <d v="2025-02-22T00:00:00"/>
    <x v="0"/>
    <x v="1"/>
    <x v="1"/>
    <x v="0"/>
    <x v="1"/>
    <x v="3"/>
    <x v="7"/>
    <x v="0"/>
  </r>
  <r>
    <x v="1363"/>
    <x v="8"/>
    <x v="12"/>
    <n v="28.4"/>
    <n v="113.6"/>
    <x v="51"/>
    <d v="2025-02-27T00:00:00"/>
    <x v="1"/>
    <x v="2"/>
    <x v="0"/>
    <x v="0"/>
    <x v="3"/>
    <x v="4"/>
    <x v="7"/>
    <x v="1"/>
  </r>
  <r>
    <x v="1364"/>
    <x v="2"/>
    <x v="1"/>
    <n v="81.7"/>
    <n v="163.4"/>
    <x v="51"/>
    <d v="2025-02-21T00:00:00"/>
    <x v="1"/>
    <x v="0"/>
    <x v="0"/>
    <x v="0"/>
    <x v="3"/>
    <x v="7"/>
    <x v="7"/>
    <x v="1"/>
  </r>
  <r>
    <x v="1365"/>
    <x v="18"/>
    <x v="1"/>
    <n v="56.7"/>
    <n v="113.4"/>
    <x v="51"/>
    <d v="2025-02-23T00:00:00"/>
    <x v="0"/>
    <x v="0"/>
    <x v="2"/>
    <x v="0"/>
    <x v="3"/>
    <x v="1"/>
    <x v="7"/>
    <x v="0"/>
  </r>
  <r>
    <x v="1366"/>
    <x v="3"/>
    <x v="12"/>
    <n v="66.5"/>
    <n v="266"/>
    <x v="51"/>
    <d v="2025-02-21T00:00:00"/>
    <x v="2"/>
    <x v="0"/>
    <x v="2"/>
    <x v="0"/>
    <x v="3"/>
    <x v="7"/>
    <x v="7"/>
    <x v="2"/>
  </r>
  <r>
    <x v="1367"/>
    <x v="1"/>
    <x v="1"/>
    <n v="105.3"/>
    <n v="210.6"/>
    <x v="51"/>
    <d v="2025-02-25T00:00:00"/>
    <x v="1"/>
    <x v="0"/>
    <x v="1"/>
    <x v="0"/>
    <x v="3"/>
    <x v="5"/>
    <x v="7"/>
    <x v="1"/>
  </r>
  <r>
    <x v="1368"/>
    <x v="10"/>
    <x v="9"/>
    <n v="33.799999999999997"/>
    <n v="169"/>
    <x v="51"/>
    <d v="2025-02-26T00:00:00"/>
    <x v="1"/>
    <x v="0"/>
    <x v="0"/>
    <x v="0"/>
    <x v="3"/>
    <x v="0"/>
    <x v="7"/>
    <x v="1"/>
  </r>
  <r>
    <x v="1369"/>
    <x v="6"/>
    <x v="2"/>
    <n v="63.4"/>
    <n v="190.2"/>
    <x v="51"/>
    <d v="2025-02-26T00:00:00"/>
    <x v="1"/>
    <x v="3"/>
    <x v="1"/>
    <x v="0"/>
    <x v="24"/>
    <x v="0"/>
    <x v="7"/>
    <x v="1"/>
  </r>
  <r>
    <x v="1370"/>
    <x v="6"/>
    <x v="2"/>
    <n v="49"/>
    <n v="147"/>
    <x v="51"/>
    <d v="2025-02-25T00:00:00"/>
    <x v="1"/>
    <x v="3"/>
    <x v="0"/>
    <x v="0"/>
    <x v="49"/>
    <x v="5"/>
    <x v="7"/>
    <x v="1"/>
  </r>
  <r>
    <x v="1371"/>
    <x v="1"/>
    <x v="1"/>
    <n v="40"/>
    <n v="80"/>
    <x v="51"/>
    <d v="2025-02-22T00:00:00"/>
    <x v="2"/>
    <x v="4"/>
    <x v="1"/>
    <x v="0"/>
    <x v="23"/>
    <x v="3"/>
    <x v="7"/>
    <x v="2"/>
  </r>
  <r>
    <x v="1372"/>
    <x v="6"/>
    <x v="12"/>
    <n v="86.3"/>
    <n v="345.2"/>
    <x v="51"/>
    <d v="2025-02-22T00:00:00"/>
    <x v="3"/>
    <x v="0"/>
    <x v="0"/>
    <x v="0"/>
    <x v="6"/>
    <x v="3"/>
    <x v="7"/>
    <x v="3"/>
  </r>
  <r>
    <x v="1373"/>
    <x v="6"/>
    <x v="0"/>
    <n v="51.6"/>
    <n v="51.6"/>
    <x v="51"/>
    <d v="2025-02-23T00:00:00"/>
    <x v="2"/>
    <x v="2"/>
    <x v="2"/>
    <x v="0"/>
    <x v="6"/>
    <x v="1"/>
    <x v="7"/>
    <x v="2"/>
  </r>
  <r>
    <x v="1374"/>
    <x v="10"/>
    <x v="2"/>
    <n v="26.7"/>
    <n v="80.099999999999994"/>
    <x v="51"/>
    <d v="2025-02-26T00:00:00"/>
    <x v="2"/>
    <x v="2"/>
    <x v="1"/>
    <x v="0"/>
    <x v="6"/>
    <x v="0"/>
    <x v="7"/>
    <x v="2"/>
  </r>
  <r>
    <x v="1375"/>
    <x v="18"/>
    <x v="1"/>
    <n v="68.099999999999994"/>
    <n v="136.19999999999999"/>
    <x v="51"/>
    <d v="2025-02-22T00:00:00"/>
    <x v="1"/>
    <x v="0"/>
    <x v="1"/>
    <x v="0"/>
    <x v="6"/>
    <x v="3"/>
    <x v="7"/>
    <x v="1"/>
  </r>
  <r>
    <x v="1376"/>
    <x v="1"/>
    <x v="0"/>
    <n v="81.7"/>
    <n v="81.7"/>
    <x v="51"/>
    <d v="2025-02-22T00:00:00"/>
    <x v="1"/>
    <x v="0"/>
    <x v="0"/>
    <x v="0"/>
    <x v="7"/>
    <x v="3"/>
    <x v="7"/>
    <x v="1"/>
  </r>
  <r>
    <x v="1377"/>
    <x v="18"/>
    <x v="7"/>
    <n v="25.1"/>
    <n v="251"/>
    <x v="51"/>
    <d v="2025-02-24T00:00:00"/>
    <x v="1"/>
    <x v="3"/>
    <x v="1"/>
    <x v="0"/>
    <x v="8"/>
    <x v="2"/>
    <x v="7"/>
    <x v="1"/>
  </r>
  <r>
    <x v="1378"/>
    <x v="8"/>
    <x v="0"/>
    <n v="20.2"/>
    <n v="20.2"/>
    <x v="51"/>
    <d v="2025-02-25T00:00:00"/>
    <x v="2"/>
    <x v="0"/>
    <x v="0"/>
    <x v="0"/>
    <x v="8"/>
    <x v="5"/>
    <x v="7"/>
    <x v="2"/>
  </r>
  <r>
    <x v="1379"/>
    <x v="8"/>
    <x v="2"/>
    <n v="15.4"/>
    <n v="46.2"/>
    <x v="51"/>
    <d v="2025-02-22T00:00:00"/>
    <x v="1"/>
    <x v="1"/>
    <x v="2"/>
    <x v="0"/>
    <x v="8"/>
    <x v="3"/>
    <x v="7"/>
    <x v="1"/>
  </r>
  <r>
    <x v="1380"/>
    <x v="10"/>
    <x v="0"/>
    <n v="59.2"/>
    <n v="59.2"/>
    <x v="51"/>
    <d v="2025-02-22T00:00:00"/>
    <x v="1"/>
    <x v="2"/>
    <x v="2"/>
    <x v="0"/>
    <x v="17"/>
    <x v="3"/>
    <x v="7"/>
    <x v="1"/>
  </r>
  <r>
    <x v="1381"/>
    <x v="0"/>
    <x v="0"/>
    <n v="46.7"/>
    <n v="46.7"/>
    <x v="51"/>
    <d v="2025-02-26T00:00:00"/>
    <x v="1"/>
    <x v="0"/>
    <x v="0"/>
    <x v="0"/>
    <x v="17"/>
    <x v="0"/>
    <x v="7"/>
    <x v="1"/>
  </r>
  <r>
    <x v="1382"/>
    <x v="6"/>
    <x v="20"/>
    <n v="41.6"/>
    <n v="624"/>
    <x v="51"/>
    <d v="2025-02-23T00:00:00"/>
    <x v="1"/>
    <x v="1"/>
    <x v="0"/>
    <x v="0"/>
    <x v="26"/>
    <x v="1"/>
    <x v="7"/>
    <x v="1"/>
  </r>
  <r>
    <x v="1383"/>
    <x v="8"/>
    <x v="1"/>
    <n v="19.2"/>
    <n v="38.4"/>
    <x v="51"/>
    <d v="2025-02-24T00:00:00"/>
    <x v="1"/>
    <x v="4"/>
    <x v="2"/>
    <x v="0"/>
    <x v="9"/>
    <x v="2"/>
    <x v="7"/>
    <x v="1"/>
  </r>
  <r>
    <x v="1384"/>
    <x v="17"/>
    <x v="3"/>
    <n v="41.8"/>
    <n v="292.59999999999997"/>
    <x v="51"/>
    <d v="2025-02-23T00:00:00"/>
    <x v="2"/>
    <x v="2"/>
    <x v="0"/>
    <x v="0"/>
    <x v="11"/>
    <x v="1"/>
    <x v="7"/>
    <x v="2"/>
  </r>
  <r>
    <x v="1385"/>
    <x v="8"/>
    <x v="13"/>
    <n v="37.4"/>
    <n v="224.39999999999998"/>
    <x v="51"/>
    <d v="2025-02-23T00:00:00"/>
    <x v="1"/>
    <x v="0"/>
    <x v="2"/>
    <x v="0"/>
    <x v="11"/>
    <x v="1"/>
    <x v="7"/>
    <x v="1"/>
  </r>
  <r>
    <x v="1386"/>
    <x v="10"/>
    <x v="2"/>
    <n v="60.2"/>
    <n v="180.60000000000002"/>
    <x v="51"/>
    <d v="2025-02-24T00:00:00"/>
    <x v="1"/>
    <x v="4"/>
    <x v="1"/>
    <x v="0"/>
    <x v="38"/>
    <x v="2"/>
    <x v="7"/>
    <x v="1"/>
  </r>
  <r>
    <x v="1387"/>
    <x v="9"/>
    <x v="1"/>
    <n v="91.5"/>
    <n v="183"/>
    <x v="52"/>
    <d v="2025-02-23T00:00:00"/>
    <x v="1"/>
    <x v="0"/>
    <x v="0"/>
    <x v="0"/>
    <x v="13"/>
    <x v="3"/>
    <x v="7"/>
    <x v="1"/>
  </r>
  <r>
    <x v="1388"/>
    <x v="3"/>
    <x v="9"/>
    <n v="55.7"/>
    <n v="278.5"/>
    <x v="52"/>
    <d v="2025-02-24T00:00:00"/>
    <x v="0"/>
    <x v="1"/>
    <x v="2"/>
    <x v="0"/>
    <x v="21"/>
    <x v="1"/>
    <x v="7"/>
    <x v="0"/>
  </r>
  <r>
    <x v="1389"/>
    <x v="7"/>
    <x v="1"/>
    <n v="76.7"/>
    <n v="153.4"/>
    <x v="52"/>
    <d v="2025-02-24T00:00:00"/>
    <x v="1"/>
    <x v="0"/>
    <x v="1"/>
    <x v="0"/>
    <x v="21"/>
    <x v="1"/>
    <x v="7"/>
    <x v="1"/>
  </r>
  <r>
    <x v="1390"/>
    <x v="8"/>
    <x v="38"/>
    <n v="28.2"/>
    <n v="592.19999999999993"/>
    <x v="52"/>
    <d v="2025-02-27T00:00:00"/>
    <x v="1"/>
    <x v="2"/>
    <x v="0"/>
    <x v="0"/>
    <x v="1"/>
    <x v="0"/>
    <x v="7"/>
    <x v="1"/>
  </r>
  <r>
    <x v="1391"/>
    <x v="7"/>
    <x v="9"/>
    <n v="93.2"/>
    <n v="466"/>
    <x v="52"/>
    <d v="2025-02-24T00:00:00"/>
    <x v="2"/>
    <x v="4"/>
    <x v="2"/>
    <x v="0"/>
    <x v="1"/>
    <x v="1"/>
    <x v="7"/>
    <x v="2"/>
  </r>
  <r>
    <x v="1392"/>
    <x v="17"/>
    <x v="0"/>
    <n v="33.299999999999997"/>
    <n v="33.299999999999997"/>
    <x v="52"/>
    <d v="2025-02-23T00:00:00"/>
    <x v="1"/>
    <x v="4"/>
    <x v="0"/>
    <x v="0"/>
    <x v="2"/>
    <x v="3"/>
    <x v="7"/>
    <x v="1"/>
  </r>
  <r>
    <x v="1393"/>
    <x v="10"/>
    <x v="1"/>
    <n v="39.1"/>
    <n v="78.2"/>
    <x v="52"/>
    <d v="2025-02-25T00:00:00"/>
    <x v="1"/>
    <x v="0"/>
    <x v="0"/>
    <x v="0"/>
    <x v="44"/>
    <x v="2"/>
    <x v="7"/>
    <x v="1"/>
  </r>
  <r>
    <x v="1394"/>
    <x v="7"/>
    <x v="4"/>
    <n v="45.3"/>
    <n v="543.59999999999991"/>
    <x v="52"/>
    <d v="2025-02-23T00:00:00"/>
    <x v="1"/>
    <x v="2"/>
    <x v="0"/>
    <x v="0"/>
    <x v="33"/>
    <x v="3"/>
    <x v="7"/>
    <x v="1"/>
  </r>
  <r>
    <x v="1395"/>
    <x v="9"/>
    <x v="3"/>
    <n v="33.9"/>
    <n v="237.29999999999998"/>
    <x v="52"/>
    <d v="2025-02-23T00:00:00"/>
    <x v="1"/>
    <x v="4"/>
    <x v="0"/>
    <x v="0"/>
    <x v="33"/>
    <x v="3"/>
    <x v="7"/>
    <x v="1"/>
  </r>
  <r>
    <x v="1396"/>
    <x v="8"/>
    <x v="2"/>
    <n v="19"/>
    <n v="57"/>
    <x v="52"/>
    <d v="2025-02-23T00:00:00"/>
    <x v="1"/>
    <x v="0"/>
    <x v="2"/>
    <x v="0"/>
    <x v="15"/>
    <x v="3"/>
    <x v="7"/>
    <x v="1"/>
  </r>
  <r>
    <x v="1397"/>
    <x v="4"/>
    <x v="0"/>
    <n v="41.9"/>
    <n v="41.9"/>
    <x v="52"/>
    <d v="2025-02-25T00:00:00"/>
    <x v="2"/>
    <x v="2"/>
    <x v="0"/>
    <x v="0"/>
    <x v="22"/>
    <x v="2"/>
    <x v="7"/>
    <x v="2"/>
  </r>
  <r>
    <x v="1398"/>
    <x v="1"/>
    <x v="12"/>
    <n v="37.5"/>
    <n v="150"/>
    <x v="52"/>
    <d v="2025-02-22T00:00:00"/>
    <x v="2"/>
    <x v="0"/>
    <x v="0"/>
    <x v="0"/>
    <x v="3"/>
    <x v="7"/>
    <x v="7"/>
    <x v="2"/>
  </r>
  <r>
    <x v="1399"/>
    <x v="0"/>
    <x v="1"/>
    <n v="40.799999999999997"/>
    <n v="81.599999999999994"/>
    <x v="52"/>
    <d v="2025-02-25T00:00:00"/>
    <x v="1"/>
    <x v="0"/>
    <x v="0"/>
    <x v="0"/>
    <x v="3"/>
    <x v="2"/>
    <x v="7"/>
    <x v="1"/>
  </r>
  <r>
    <x v="1400"/>
    <x v="0"/>
    <x v="12"/>
    <n v="23.1"/>
    <n v="92.4"/>
    <x v="52"/>
    <d v="2025-02-23T00:00:00"/>
    <x v="2"/>
    <x v="4"/>
    <x v="0"/>
    <x v="0"/>
    <x v="3"/>
    <x v="3"/>
    <x v="7"/>
    <x v="2"/>
  </r>
  <r>
    <x v="1401"/>
    <x v="8"/>
    <x v="9"/>
    <n v="39.299999999999997"/>
    <n v="196.5"/>
    <x v="52"/>
    <d v="2025-02-23T00:00:00"/>
    <x v="2"/>
    <x v="0"/>
    <x v="0"/>
    <x v="0"/>
    <x v="3"/>
    <x v="3"/>
    <x v="7"/>
    <x v="2"/>
  </r>
  <r>
    <x v="1402"/>
    <x v="2"/>
    <x v="12"/>
    <n v="85.2"/>
    <n v="340.8"/>
    <x v="52"/>
    <d v="2025-02-27T00:00:00"/>
    <x v="1"/>
    <x v="2"/>
    <x v="0"/>
    <x v="0"/>
    <x v="3"/>
    <x v="0"/>
    <x v="7"/>
    <x v="1"/>
  </r>
  <r>
    <x v="1403"/>
    <x v="8"/>
    <x v="13"/>
    <n v="16"/>
    <n v="96"/>
    <x v="52"/>
    <d v="2025-02-25T00:00:00"/>
    <x v="1"/>
    <x v="1"/>
    <x v="0"/>
    <x v="0"/>
    <x v="3"/>
    <x v="2"/>
    <x v="7"/>
    <x v="1"/>
  </r>
  <r>
    <x v="1404"/>
    <x v="1"/>
    <x v="1"/>
    <n v="33.799999999999997"/>
    <n v="67.599999999999994"/>
    <x v="52"/>
    <d v="2025-02-26T00:00:00"/>
    <x v="2"/>
    <x v="1"/>
    <x v="0"/>
    <x v="0"/>
    <x v="3"/>
    <x v="5"/>
    <x v="7"/>
    <x v="2"/>
  </r>
  <r>
    <x v="1405"/>
    <x v="3"/>
    <x v="0"/>
    <n v="70"/>
    <n v="70"/>
    <x v="52"/>
    <d v="2025-02-23T00:00:00"/>
    <x v="2"/>
    <x v="0"/>
    <x v="0"/>
    <x v="0"/>
    <x v="3"/>
    <x v="3"/>
    <x v="7"/>
    <x v="2"/>
  </r>
  <r>
    <x v="1406"/>
    <x v="9"/>
    <x v="0"/>
    <n v="88"/>
    <n v="88"/>
    <x v="52"/>
    <d v="2025-02-27T00:00:00"/>
    <x v="2"/>
    <x v="3"/>
    <x v="0"/>
    <x v="0"/>
    <x v="3"/>
    <x v="0"/>
    <x v="7"/>
    <x v="2"/>
  </r>
  <r>
    <x v="1407"/>
    <x v="2"/>
    <x v="2"/>
    <n v="74.099999999999994"/>
    <n v="222.29999999999998"/>
    <x v="52"/>
    <d v="2025-02-22T00:00:00"/>
    <x v="1"/>
    <x v="4"/>
    <x v="1"/>
    <x v="0"/>
    <x v="3"/>
    <x v="7"/>
    <x v="7"/>
    <x v="1"/>
  </r>
  <r>
    <x v="1408"/>
    <x v="2"/>
    <x v="0"/>
    <n v="161.9"/>
    <n v="161.9"/>
    <x v="52"/>
    <d v="2025-02-24T00:00:00"/>
    <x v="1"/>
    <x v="2"/>
    <x v="0"/>
    <x v="0"/>
    <x v="3"/>
    <x v="1"/>
    <x v="7"/>
    <x v="1"/>
  </r>
  <r>
    <x v="1409"/>
    <x v="4"/>
    <x v="1"/>
    <n v="44"/>
    <n v="88"/>
    <x v="52"/>
    <d v="2025-02-23T00:00:00"/>
    <x v="3"/>
    <x v="4"/>
    <x v="1"/>
    <x v="0"/>
    <x v="3"/>
    <x v="3"/>
    <x v="7"/>
    <x v="3"/>
  </r>
  <r>
    <x v="1410"/>
    <x v="11"/>
    <x v="0"/>
    <n v="32.1"/>
    <n v="32.1"/>
    <x v="52"/>
    <d v="2025-02-22T00:00:00"/>
    <x v="2"/>
    <x v="3"/>
    <x v="3"/>
    <x v="0"/>
    <x v="3"/>
    <x v="7"/>
    <x v="7"/>
    <x v="2"/>
  </r>
  <r>
    <x v="1411"/>
    <x v="2"/>
    <x v="12"/>
    <n v="104.8"/>
    <n v="419.2"/>
    <x v="53"/>
    <d v="2025-02-25T00:00:00"/>
    <x v="3"/>
    <x v="0"/>
    <x v="0"/>
    <x v="0"/>
    <x v="3"/>
    <x v="1"/>
    <x v="8"/>
    <x v="3"/>
  </r>
  <r>
    <x v="1412"/>
    <x v="9"/>
    <x v="13"/>
    <n v="67.400000000000006"/>
    <n v="404.40000000000003"/>
    <x v="53"/>
    <d v="2025-02-24T00:00:00"/>
    <x v="2"/>
    <x v="3"/>
    <x v="0"/>
    <x v="0"/>
    <x v="3"/>
    <x v="3"/>
    <x v="8"/>
    <x v="2"/>
  </r>
  <r>
    <x v="1413"/>
    <x v="6"/>
    <x v="1"/>
    <n v="115.2"/>
    <n v="230.4"/>
    <x v="53"/>
    <d v="2025-02-24T00:00:00"/>
    <x v="2"/>
    <x v="1"/>
    <x v="0"/>
    <x v="0"/>
    <x v="4"/>
    <x v="3"/>
    <x v="8"/>
    <x v="2"/>
  </r>
  <r>
    <x v="1414"/>
    <x v="8"/>
    <x v="19"/>
    <n v="15.5"/>
    <n v="449.5"/>
    <x v="53"/>
    <d v="2025-02-25T00:00:00"/>
    <x v="2"/>
    <x v="0"/>
    <x v="1"/>
    <x v="0"/>
    <x v="23"/>
    <x v="1"/>
    <x v="8"/>
    <x v="2"/>
  </r>
  <r>
    <x v="1415"/>
    <x v="6"/>
    <x v="5"/>
    <n v="66.400000000000006"/>
    <n v="730.40000000000009"/>
    <x v="53"/>
    <d v="2025-02-25T00:00:00"/>
    <x v="2"/>
    <x v="0"/>
    <x v="0"/>
    <x v="0"/>
    <x v="6"/>
    <x v="1"/>
    <x v="8"/>
    <x v="2"/>
  </r>
  <r>
    <x v="1416"/>
    <x v="9"/>
    <x v="4"/>
    <n v="68.099999999999994"/>
    <n v="817.19999999999993"/>
    <x v="53"/>
    <d v="2025-02-24T00:00:00"/>
    <x v="2"/>
    <x v="2"/>
    <x v="0"/>
    <x v="0"/>
    <x v="8"/>
    <x v="3"/>
    <x v="8"/>
    <x v="2"/>
  </r>
  <r>
    <x v="1417"/>
    <x v="8"/>
    <x v="9"/>
    <n v="32.5"/>
    <n v="162.5"/>
    <x v="53"/>
    <d v="2025-02-27T00:00:00"/>
    <x v="1"/>
    <x v="2"/>
    <x v="1"/>
    <x v="0"/>
    <x v="8"/>
    <x v="5"/>
    <x v="8"/>
    <x v="1"/>
  </r>
  <r>
    <x v="1418"/>
    <x v="15"/>
    <x v="2"/>
    <n v="61.2"/>
    <n v="183.60000000000002"/>
    <x v="53"/>
    <d v="2025-02-25T00:00:00"/>
    <x v="2"/>
    <x v="1"/>
    <x v="1"/>
    <x v="0"/>
    <x v="8"/>
    <x v="1"/>
    <x v="8"/>
    <x v="2"/>
  </r>
  <r>
    <x v="1419"/>
    <x v="9"/>
    <x v="1"/>
    <n v="54.2"/>
    <n v="108.4"/>
    <x v="53"/>
    <d v="2025-02-24T00:00:00"/>
    <x v="2"/>
    <x v="1"/>
    <x v="0"/>
    <x v="0"/>
    <x v="8"/>
    <x v="3"/>
    <x v="8"/>
    <x v="2"/>
  </r>
  <r>
    <x v="1420"/>
    <x v="11"/>
    <x v="8"/>
    <n v="28.7"/>
    <n v="229.6"/>
    <x v="53"/>
    <d v="2025-02-25T00:00:00"/>
    <x v="1"/>
    <x v="1"/>
    <x v="0"/>
    <x v="0"/>
    <x v="9"/>
    <x v="1"/>
    <x v="8"/>
    <x v="1"/>
  </r>
  <r>
    <x v="1421"/>
    <x v="12"/>
    <x v="13"/>
    <n v="38.200000000000003"/>
    <n v="229.20000000000002"/>
    <x v="53"/>
    <d v="2025-02-27T00:00:00"/>
    <x v="2"/>
    <x v="0"/>
    <x v="1"/>
    <x v="0"/>
    <x v="9"/>
    <x v="5"/>
    <x v="8"/>
    <x v="2"/>
  </r>
  <r>
    <x v="1422"/>
    <x v="8"/>
    <x v="4"/>
    <n v="17.600000000000001"/>
    <n v="211.20000000000002"/>
    <x v="53"/>
    <d v="2025-02-24T00:00:00"/>
    <x v="2"/>
    <x v="2"/>
    <x v="1"/>
    <x v="0"/>
    <x v="9"/>
    <x v="3"/>
    <x v="8"/>
    <x v="2"/>
  </r>
  <r>
    <x v="1423"/>
    <x v="10"/>
    <x v="2"/>
    <n v="74.599999999999994"/>
    <n v="223.79999999999998"/>
    <x v="53"/>
    <d v="2025-02-23T00:00:00"/>
    <x v="2"/>
    <x v="2"/>
    <x v="0"/>
    <x v="0"/>
    <x v="11"/>
    <x v="7"/>
    <x v="8"/>
    <x v="2"/>
  </r>
  <r>
    <x v="1424"/>
    <x v="16"/>
    <x v="20"/>
    <n v="72.599999999999994"/>
    <n v="1089"/>
    <x v="53"/>
    <d v="2025-02-23T00:00:00"/>
    <x v="0"/>
    <x v="1"/>
    <x v="1"/>
    <x v="0"/>
    <x v="11"/>
    <x v="7"/>
    <x v="8"/>
    <x v="0"/>
  </r>
  <r>
    <x v="1425"/>
    <x v="7"/>
    <x v="0"/>
    <n v="62.3"/>
    <n v="62.3"/>
    <x v="53"/>
    <d v="2025-02-24T00:00:00"/>
    <x v="2"/>
    <x v="1"/>
    <x v="0"/>
    <x v="0"/>
    <x v="11"/>
    <x v="3"/>
    <x v="8"/>
    <x v="2"/>
  </r>
  <r>
    <x v="1426"/>
    <x v="3"/>
    <x v="2"/>
    <n v="33.799999999999997"/>
    <n v="101.39999999999999"/>
    <x v="53"/>
    <d v="2025-02-25T00:00:00"/>
    <x v="1"/>
    <x v="0"/>
    <x v="2"/>
    <x v="0"/>
    <x v="20"/>
    <x v="1"/>
    <x v="8"/>
    <x v="1"/>
  </r>
  <r>
    <x v="1427"/>
    <x v="9"/>
    <x v="0"/>
    <n v="85.7"/>
    <n v="85.7"/>
    <x v="53"/>
    <d v="2025-02-26T00:00:00"/>
    <x v="1"/>
    <x v="3"/>
    <x v="1"/>
    <x v="0"/>
    <x v="21"/>
    <x v="2"/>
    <x v="8"/>
    <x v="1"/>
  </r>
  <r>
    <x v="1428"/>
    <x v="6"/>
    <x v="1"/>
    <n v="92.1"/>
    <n v="184.2"/>
    <x v="53"/>
    <d v="2025-02-25T00:00:00"/>
    <x v="1"/>
    <x v="1"/>
    <x v="0"/>
    <x v="0"/>
    <x v="21"/>
    <x v="1"/>
    <x v="8"/>
    <x v="1"/>
  </r>
  <r>
    <x v="1429"/>
    <x v="16"/>
    <x v="2"/>
    <n v="65.099999999999994"/>
    <n v="195.29999999999998"/>
    <x v="53"/>
    <d v="2025-02-26T00:00:00"/>
    <x v="1"/>
    <x v="0"/>
    <x v="0"/>
    <x v="0"/>
    <x v="1"/>
    <x v="2"/>
    <x v="8"/>
    <x v="1"/>
  </r>
  <r>
    <x v="1430"/>
    <x v="9"/>
    <x v="3"/>
    <n v="20.3"/>
    <n v="142.1"/>
    <x v="53"/>
    <d v="2025-02-24T00:00:00"/>
    <x v="2"/>
    <x v="2"/>
    <x v="2"/>
    <x v="0"/>
    <x v="2"/>
    <x v="3"/>
    <x v="8"/>
    <x v="2"/>
  </r>
  <r>
    <x v="1431"/>
    <x v="19"/>
    <x v="1"/>
    <n v="29.8"/>
    <n v="59.6"/>
    <x v="53"/>
    <d v="2025-02-25T00:00:00"/>
    <x v="2"/>
    <x v="1"/>
    <x v="2"/>
    <x v="0"/>
    <x v="34"/>
    <x v="1"/>
    <x v="8"/>
    <x v="2"/>
  </r>
  <r>
    <x v="1432"/>
    <x v="0"/>
    <x v="1"/>
    <n v="24.2"/>
    <n v="48.4"/>
    <x v="53"/>
    <d v="2025-02-25T00:00:00"/>
    <x v="2"/>
    <x v="3"/>
    <x v="2"/>
    <x v="0"/>
    <x v="3"/>
    <x v="1"/>
    <x v="8"/>
    <x v="2"/>
  </r>
  <r>
    <x v="1433"/>
    <x v="3"/>
    <x v="0"/>
    <n v="57.3"/>
    <n v="57.3"/>
    <x v="53"/>
    <d v="2025-02-25T00:00:00"/>
    <x v="1"/>
    <x v="0"/>
    <x v="0"/>
    <x v="0"/>
    <x v="3"/>
    <x v="1"/>
    <x v="8"/>
    <x v="1"/>
  </r>
  <r>
    <x v="1434"/>
    <x v="2"/>
    <x v="0"/>
    <n v="108.9"/>
    <n v="108.9"/>
    <x v="53"/>
    <d v="2025-02-25T00:00:00"/>
    <x v="2"/>
    <x v="1"/>
    <x v="0"/>
    <x v="0"/>
    <x v="3"/>
    <x v="1"/>
    <x v="8"/>
    <x v="2"/>
  </r>
  <r>
    <x v="1435"/>
    <x v="7"/>
    <x v="9"/>
    <n v="50.7"/>
    <n v="253.5"/>
    <x v="53"/>
    <d v="2025-02-24T00:00:00"/>
    <x v="2"/>
    <x v="0"/>
    <x v="0"/>
    <x v="0"/>
    <x v="3"/>
    <x v="3"/>
    <x v="8"/>
    <x v="2"/>
  </r>
  <r>
    <x v="1436"/>
    <x v="7"/>
    <x v="11"/>
    <n v="66.099999999999994"/>
    <n v="594.9"/>
    <x v="53"/>
    <d v="2025-03-09T00:00:00"/>
    <x v="2"/>
    <x v="1"/>
    <x v="0"/>
    <x v="0"/>
    <x v="3"/>
    <x v="12"/>
    <x v="8"/>
    <x v="2"/>
  </r>
  <r>
    <x v="1437"/>
    <x v="12"/>
    <x v="9"/>
    <n v="36.700000000000003"/>
    <n v="183.5"/>
    <x v="53"/>
    <d v="2025-02-27T00:00:00"/>
    <x v="2"/>
    <x v="4"/>
    <x v="0"/>
    <x v="0"/>
    <x v="3"/>
    <x v="5"/>
    <x v="8"/>
    <x v="2"/>
  </r>
  <r>
    <x v="1438"/>
    <x v="8"/>
    <x v="14"/>
    <n v="19.3"/>
    <n v="328.1"/>
    <x v="53"/>
    <d v="2025-02-25T00:00:00"/>
    <x v="1"/>
    <x v="0"/>
    <x v="0"/>
    <x v="0"/>
    <x v="43"/>
    <x v="1"/>
    <x v="8"/>
    <x v="1"/>
  </r>
  <r>
    <x v="1439"/>
    <x v="8"/>
    <x v="12"/>
    <n v="20.7"/>
    <n v="82.8"/>
    <x v="53"/>
    <d v="2025-02-24T00:00:00"/>
    <x v="1"/>
    <x v="1"/>
    <x v="2"/>
    <x v="0"/>
    <x v="6"/>
    <x v="3"/>
    <x v="8"/>
    <x v="1"/>
  </r>
  <r>
    <x v="1440"/>
    <x v="5"/>
    <x v="2"/>
    <n v="54.7"/>
    <n v="164.10000000000002"/>
    <x v="53"/>
    <d v="2025-02-23T00:00:00"/>
    <x v="3"/>
    <x v="1"/>
    <x v="4"/>
    <x v="0"/>
    <x v="6"/>
    <x v="7"/>
    <x v="8"/>
    <x v="3"/>
  </r>
  <r>
    <x v="1441"/>
    <x v="4"/>
    <x v="1"/>
    <n v="19.8"/>
    <n v="39.6"/>
    <x v="53"/>
    <d v="2025-02-27T00:00:00"/>
    <x v="2"/>
    <x v="4"/>
    <x v="1"/>
    <x v="0"/>
    <x v="8"/>
    <x v="5"/>
    <x v="8"/>
    <x v="2"/>
  </r>
  <r>
    <x v="1442"/>
    <x v="7"/>
    <x v="0"/>
    <n v="41.1"/>
    <n v="41.1"/>
    <x v="53"/>
    <d v="2025-02-25T00:00:00"/>
    <x v="2"/>
    <x v="0"/>
    <x v="2"/>
    <x v="0"/>
    <x v="8"/>
    <x v="1"/>
    <x v="8"/>
    <x v="2"/>
  </r>
  <r>
    <x v="1443"/>
    <x v="11"/>
    <x v="8"/>
    <n v="43.5"/>
    <n v="348"/>
    <x v="53"/>
    <d v="2025-02-27T00:00:00"/>
    <x v="2"/>
    <x v="3"/>
    <x v="0"/>
    <x v="0"/>
    <x v="8"/>
    <x v="5"/>
    <x v="8"/>
    <x v="2"/>
  </r>
  <r>
    <x v="1444"/>
    <x v="8"/>
    <x v="21"/>
    <n v="19"/>
    <n v="266"/>
    <x v="53"/>
    <d v="2025-02-24T00:00:00"/>
    <x v="1"/>
    <x v="0"/>
    <x v="0"/>
    <x v="0"/>
    <x v="26"/>
    <x v="3"/>
    <x v="8"/>
    <x v="1"/>
  </r>
  <r>
    <x v="1445"/>
    <x v="2"/>
    <x v="12"/>
    <n v="51.4"/>
    <n v="205.6"/>
    <x v="53"/>
    <d v="2025-02-23T00:00:00"/>
    <x v="2"/>
    <x v="0"/>
    <x v="0"/>
    <x v="0"/>
    <x v="26"/>
    <x v="7"/>
    <x v="8"/>
    <x v="2"/>
  </r>
  <r>
    <x v="1446"/>
    <x v="10"/>
    <x v="1"/>
    <n v="39.799999999999997"/>
    <n v="79.599999999999994"/>
    <x v="53"/>
    <d v="2025-02-26T00:00:00"/>
    <x v="1"/>
    <x v="3"/>
    <x v="1"/>
    <x v="0"/>
    <x v="13"/>
    <x v="2"/>
    <x v="8"/>
    <x v="1"/>
  </r>
  <r>
    <x v="1447"/>
    <x v="6"/>
    <x v="9"/>
    <n v="61"/>
    <n v="305"/>
    <x v="53"/>
    <d v="2025-02-24T00:00:00"/>
    <x v="0"/>
    <x v="0"/>
    <x v="2"/>
    <x v="0"/>
    <x v="21"/>
    <x v="3"/>
    <x v="8"/>
    <x v="0"/>
  </r>
  <r>
    <x v="1448"/>
    <x v="8"/>
    <x v="5"/>
    <n v="15.1"/>
    <n v="166.1"/>
    <x v="54"/>
    <d v="2025-03-01T00:00:00"/>
    <x v="1"/>
    <x v="3"/>
    <x v="2"/>
    <x v="0"/>
    <x v="2"/>
    <x v="0"/>
    <x v="8"/>
    <x v="1"/>
  </r>
  <r>
    <x v="1449"/>
    <x v="1"/>
    <x v="3"/>
    <n v="71.3"/>
    <n v="499.09999999999997"/>
    <x v="54"/>
    <d v="2025-02-25T00:00:00"/>
    <x v="1"/>
    <x v="4"/>
    <x v="0"/>
    <x v="0"/>
    <x v="3"/>
    <x v="3"/>
    <x v="8"/>
    <x v="1"/>
  </r>
  <r>
    <x v="1450"/>
    <x v="10"/>
    <x v="0"/>
    <n v="25.8"/>
    <n v="25.8"/>
    <x v="54"/>
    <d v="2025-02-26T00:00:00"/>
    <x v="2"/>
    <x v="0"/>
    <x v="2"/>
    <x v="0"/>
    <x v="3"/>
    <x v="1"/>
    <x v="8"/>
    <x v="2"/>
  </r>
  <r>
    <x v="1451"/>
    <x v="8"/>
    <x v="9"/>
    <n v="39.6"/>
    <n v="198"/>
    <x v="54"/>
    <d v="2025-02-26T00:00:00"/>
    <x v="1"/>
    <x v="1"/>
    <x v="2"/>
    <x v="0"/>
    <x v="3"/>
    <x v="1"/>
    <x v="8"/>
    <x v="1"/>
  </r>
  <r>
    <x v="1452"/>
    <x v="5"/>
    <x v="1"/>
    <n v="64"/>
    <n v="128"/>
    <x v="54"/>
    <d v="2025-02-24T00:00:00"/>
    <x v="1"/>
    <x v="1"/>
    <x v="1"/>
    <x v="0"/>
    <x v="3"/>
    <x v="7"/>
    <x v="8"/>
    <x v="1"/>
  </r>
  <r>
    <x v="1453"/>
    <x v="8"/>
    <x v="1"/>
    <n v="30.6"/>
    <n v="61.2"/>
    <x v="54"/>
    <d v="2025-02-27T00:00:00"/>
    <x v="1"/>
    <x v="0"/>
    <x v="2"/>
    <x v="0"/>
    <x v="3"/>
    <x v="2"/>
    <x v="8"/>
    <x v="1"/>
  </r>
  <r>
    <x v="1454"/>
    <x v="8"/>
    <x v="1"/>
    <n v="21.3"/>
    <n v="42.6"/>
    <x v="54"/>
    <d v="2025-02-25T00:00:00"/>
    <x v="1"/>
    <x v="0"/>
    <x v="1"/>
    <x v="0"/>
    <x v="3"/>
    <x v="3"/>
    <x v="8"/>
    <x v="1"/>
  </r>
  <r>
    <x v="1455"/>
    <x v="7"/>
    <x v="0"/>
    <n v="40.799999999999997"/>
    <n v="40.799999999999997"/>
    <x v="54"/>
    <d v="2025-02-26T00:00:00"/>
    <x v="2"/>
    <x v="4"/>
    <x v="0"/>
    <x v="0"/>
    <x v="3"/>
    <x v="1"/>
    <x v="8"/>
    <x v="2"/>
  </r>
  <r>
    <x v="1456"/>
    <x v="9"/>
    <x v="12"/>
    <n v="27.7"/>
    <n v="110.8"/>
    <x v="54"/>
    <d v="2025-02-25T00:00:00"/>
    <x v="2"/>
    <x v="0"/>
    <x v="1"/>
    <x v="0"/>
    <x v="3"/>
    <x v="3"/>
    <x v="8"/>
    <x v="2"/>
  </r>
  <r>
    <x v="1457"/>
    <x v="6"/>
    <x v="1"/>
    <n v="64.599999999999994"/>
    <n v="129.19999999999999"/>
    <x v="54"/>
    <d v="2025-02-25T00:00:00"/>
    <x v="1"/>
    <x v="0"/>
    <x v="1"/>
    <x v="0"/>
    <x v="3"/>
    <x v="3"/>
    <x v="8"/>
    <x v="1"/>
  </r>
  <r>
    <x v="1458"/>
    <x v="6"/>
    <x v="27"/>
    <n v="91.1"/>
    <n v="1457.6"/>
    <x v="54"/>
    <d v="2025-02-25T00:00:00"/>
    <x v="2"/>
    <x v="1"/>
    <x v="2"/>
    <x v="0"/>
    <x v="3"/>
    <x v="3"/>
    <x v="8"/>
    <x v="2"/>
  </r>
  <r>
    <x v="1459"/>
    <x v="1"/>
    <x v="0"/>
    <n v="39.5"/>
    <n v="39.5"/>
    <x v="54"/>
    <d v="2025-03-04T00:00:00"/>
    <x v="2"/>
    <x v="0"/>
    <x v="0"/>
    <x v="0"/>
    <x v="3"/>
    <x v="9"/>
    <x v="8"/>
    <x v="2"/>
  </r>
  <r>
    <x v="1460"/>
    <x v="9"/>
    <x v="1"/>
    <n v="21.8"/>
    <n v="43.6"/>
    <x v="54"/>
    <d v="2025-02-28T00:00:00"/>
    <x v="1"/>
    <x v="4"/>
    <x v="2"/>
    <x v="0"/>
    <x v="3"/>
    <x v="5"/>
    <x v="8"/>
    <x v="1"/>
  </r>
  <r>
    <x v="1461"/>
    <x v="8"/>
    <x v="1"/>
    <n v="51"/>
    <n v="102"/>
    <x v="54"/>
    <d v="2025-02-27T00:00:00"/>
    <x v="1"/>
    <x v="3"/>
    <x v="2"/>
    <x v="0"/>
    <x v="3"/>
    <x v="2"/>
    <x v="8"/>
    <x v="1"/>
  </r>
  <r>
    <x v="1462"/>
    <x v="2"/>
    <x v="0"/>
    <n v="92.6"/>
    <n v="92.6"/>
    <x v="54"/>
    <d v="2025-02-27T00:00:00"/>
    <x v="2"/>
    <x v="0"/>
    <x v="2"/>
    <x v="0"/>
    <x v="35"/>
    <x v="2"/>
    <x v="8"/>
    <x v="2"/>
  </r>
  <r>
    <x v="1463"/>
    <x v="9"/>
    <x v="1"/>
    <n v="31.1"/>
    <n v="62.2"/>
    <x v="54"/>
    <d v="2025-03-01T00:00:00"/>
    <x v="0"/>
    <x v="1"/>
    <x v="3"/>
    <x v="0"/>
    <x v="23"/>
    <x v="0"/>
    <x v="8"/>
    <x v="0"/>
  </r>
  <r>
    <x v="1464"/>
    <x v="5"/>
    <x v="2"/>
    <n v="56.4"/>
    <n v="169.2"/>
    <x v="54"/>
    <d v="2025-02-25T00:00:00"/>
    <x v="0"/>
    <x v="1"/>
    <x v="0"/>
    <x v="0"/>
    <x v="6"/>
    <x v="3"/>
    <x v="8"/>
    <x v="0"/>
  </r>
  <r>
    <x v="1465"/>
    <x v="9"/>
    <x v="0"/>
    <n v="41.9"/>
    <n v="41.9"/>
    <x v="54"/>
    <d v="2025-02-24T00:00:00"/>
    <x v="1"/>
    <x v="1"/>
    <x v="0"/>
    <x v="0"/>
    <x v="6"/>
    <x v="7"/>
    <x v="8"/>
    <x v="1"/>
  </r>
  <r>
    <x v="1466"/>
    <x v="10"/>
    <x v="3"/>
    <n v="45.9"/>
    <n v="321.3"/>
    <x v="54"/>
    <d v="2025-02-25T00:00:00"/>
    <x v="1"/>
    <x v="3"/>
    <x v="2"/>
    <x v="0"/>
    <x v="8"/>
    <x v="3"/>
    <x v="8"/>
    <x v="1"/>
  </r>
  <r>
    <x v="1467"/>
    <x v="14"/>
    <x v="11"/>
    <n v="24.4"/>
    <n v="219.6"/>
    <x v="54"/>
    <d v="2025-02-28T00:00:00"/>
    <x v="1"/>
    <x v="3"/>
    <x v="2"/>
    <x v="0"/>
    <x v="8"/>
    <x v="5"/>
    <x v="8"/>
    <x v="1"/>
  </r>
  <r>
    <x v="1468"/>
    <x v="8"/>
    <x v="0"/>
    <n v="18.2"/>
    <n v="18.2"/>
    <x v="54"/>
    <d v="2025-02-25T00:00:00"/>
    <x v="2"/>
    <x v="2"/>
    <x v="2"/>
    <x v="0"/>
    <x v="8"/>
    <x v="3"/>
    <x v="8"/>
    <x v="2"/>
  </r>
  <r>
    <x v="1469"/>
    <x v="8"/>
    <x v="12"/>
    <n v="51.2"/>
    <n v="204.8"/>
    <x v="54"/>
    <d v="2025-02-25T00:00:00"/>
    <x v="2"/>
    <x v="0"/>
    <x v="0"/>
    <x v="0"/>
    <x v="8"/>
    <x v="3"/>
    <x v="8"/>
    <x v="2"/>
  </r>
  <r>
    <x v="1470"/>
    <x v="6"/>
    <x v="0"/>
    <n v="59.7"/>
    <n v="59.7"/>
    <x v="54"/>
    <d v="2025-02-27T00:00:00"/>
    <x v="1"/>
    <x v="0"/>
    <x v="2"/>
    <x v="0"/>
    <x v="8"/>
    <x v="2"/>
    <x v="8"/>
    <x v="1"/>
  </r>
  <r>
    <x v="1471"/>
    <x v="4"/>
    <x v="1"/>
    <n v="33.6"/>
    <n v="67.2"/>
    <x v="54"/>
    <d v="2025-02-26T00:00:00"/>
    <x v="2"/>
    <x v="0"/>
    <x v="0"/>
    <x v="0"/>
    <x v="17"/>
    <x v="1"/>
    <x v="8"/>
    <x v="2"/>
  </r>
  <r>
    <x v="1472"/>
    <x v="12"/>
    <x v="0"/>
    <n v="90.4"/>
    <n v="90.4"/>
    <x v="54"/>
    <d v="2025-02-28T00:00:00"/>
    <x v="1"/>
    <x v="1"/>
    <x v="2"/>
    <x v="0"/>
    <x v="10"/>
    <x v="5"/>
    <x v="8"/>
    <x v="1"/>
  </r>
  <r>
    <x v="1473"/>
    <x v="11"/>
    <x v="2"/>
    <n v="70.3"/>
    <n v="210.89999999999998"/>
    <x v="54"/>
    <d v="2025-02-24T00:00:00"/>
    <x v="1"/>
    <x v="1"/>
    <x v="2"/>
    <x v="0"/>
    <x v="11"/>
    <x v="7"/>
    <x v="8"/>
    <x v="1"/>
  </r>
  <r>
    <x v="1474"/>
    <x v="4"/>
    <x v="1"/>
    <n v="20.5"/>
    <n v="41"/>
    <x v="54"/>
    <d v="2025-02-27T00:00:00"/>
    <x v="2"/>
    <x v="0"/>
    <x v="1"/>
    <x v="0"/>
    <x v="11"/>
    <x v="2"/>
    <x v="8"/>
    <x v="2"/>
  </r>
  <r>
    <x v="1475"/>
    <x v="5"/>
    <x v="5"/>
    <n v="37.6"/>
    <n v="413.6"/>
    <x v="54"/>
    <d v="2025-02-25T00:00:00"/>
    <x v="1"/>
    <x v="0"/>
    <x v="0"/>
    <x v="0"/>
    <x v="38"/>
    <x v="3"/>
    <x v="8"/>
    <x v="1"/>
  </r>
  <r>
    <x v="1476"/>
    <x v="5"/>
    <x v="12"/>
    <n v="61.5"/>
    <n v="246"/>
    <x v="54"/>
    <d v="2025-03-03T00:00:00"/>
    <x v="2"/>
    <x v="1"/>
    <x v="4"/>
    <x v="0"/>
    <x v="13"/>
    <x v="6"/>
    <x v="8"/>
    <x v="2"/>
  </r>
  <r>
    <x v="1477"/>
    <x v="9"/>
    <x v="0"/>
    <n v="33.5"/>
    <n v="33.5"/>
    <x v="55"/>
    <d v="2025-03-01T00:00:00"/>
    <x v="1"/>
    <x v="4"/>
    <x v="1"/>
    <x v="0"/>
    <x v="21"/>
    <x v="5"/>
    <x v="8"/>
    <x v="1"/>
  </r>
  <r>
    <x v="1478"/>
    <x v="4"/>
    <x v="2"/>
    <n v="29.3"/>
    <n v="87.9"/>
    <x v="55"/>
    <d v="2025-02-27T00:00:00"/>
    <x v="2"/>
    <x v="1"/>
    <x v="2"/>
    <x v="0"/>
    <x v="1"/>
    <x v="1"/>
    <x v="8"/>
    <x v="2"/>
  </r>
  <r>
    <x v="1479"/>
    <x v="2"/>
    <x v="1"/>
    <n v="125.9"/>
    <n v="251.8"/>
    <x v="55"/>
    <d v="2025-03-02T00:00:00"/>
    <x v="2"/>
    <x v="4"/>
    <x v="1"/>
    <x v="0"/>
    <x v="1"/>
    <x v="0"/>
    <x v="8"/>
    <x v="2"/>
  </r>
  <r>
    <x v="1480"/>
    <x v="5"/>
    <x v="9"/>
    <n v="29.3"/>
    <n v="146.5"/>
    <x v="55"/>
    <d v="2025-02-25T00:00:00"/>
    <x v="1"/>
    <x v="2"/>
    <x v="0"/>
    <x v="0"/>
    <x v="44"/>
    <x v="7"/>
    <x v="8"/>
    <x v="1"/>
  </r>
  <r>
    <x v="1481"/>
    <x v="9"/>
    <x v="0"/>
    <n v="37.799999999999997"/>
    <n v="37.799999999999997"/>
    <x v="55"/>
    <d v="2025-02-28T00:00:00"/>
    <x v="2"/>
    <x v="0"/>
    <x v="2"/>
    <x v="0"/>
    <x v="3"/>
    <x v="2"/>
    <x v="8"/>
    <x v="2"/>
  </r>
  <r>
    <x v="1482"/>
    <x v="0"/>
    <x v="12"/>
    <n v="31.7"/>
    <n v="126.8"/>
    <x v="55"/>
    <d v="2025-02-26T00:00:00"/>
    <x v="1"/>
    <x v="2"/>
    <x v="2"/>
    <x v="0"/>
    <x v="3"/>
    <x v="3"/>
    <x v="8"/>
    <x v="1"/>
  </r>
  <r>
    <x v="1483"/>
    <x v="8"/>
    <x v="9"/>
    <n v="26.3"/>
    <n v="131.5"/>
    <x v="55"/>
    <d v="2025-02-26T00:00:00"/>
    <x v="2"/>
    <x v="3"/>
    <x v="2"/>
    <x v="0"/>
    <x v="3"/>
    <x v="3"/>
    <x v="8"/>
    <x v="2"/>
  </r>
  <r>
    <x v="1484"/>
    <x v="8"/>
    <x v="2"/>
    <n v="23.1"/>
    <n v="69.300000000000011"/>
    <x v="55"/>
    <d v="2025-02-26T00:00:00"/>
    <x v="3"/>
    <x v="2"/>
    <x v="1"/>
    <x v="0"/>
    <x v="3"/>
    <x v="3"/>
    <x v="8"/>
    <x v="3"/>
  </r>
  <r>
    <x v="1485"/>
    <x v="4"/>
    <x v="0"/>
    <n v="22.3"/>
    <n v="22.3"/>
    <x v="55"/>
    <d v="2025-02-27T00:00:00"/>
    <x v="2"/>
    <x v="2"/>
    <x v="0"/>
    <x v="0"/>
    <x v="3"/>
    <x v="1"/>
    <x v="8"/>
    <x v="2"/>
  </r>
  <r>
    <x v="1486"/>
    <x v="12"/>
    <x v="1"/>
    <n v="99.5"/>
    <n v="199"/>
    <x v="55"/>
    <d v="2025-02-27T00:00:00"/>
    <x v="2"/>
    <x v="2"/>
    <x v="0"/>
    <x v="0"/>
    <x v="3"/>
    <x v="1"/>
    <x v="8"/>
    <x v="2"/>
  </r>
  <r>
    <x v="1487"/>
    <x v="12"/>
    <x v="12"/>
    <n v="47.4"/>
    <n v="189.6"/>
    <x v="55"/>
    <d v="2025-02-28T00:00:00"/>
    <x v="2"/>
    <x v="1"/>
    <x v="0"/>
    <x v="0"/>
    <x v="3"/>
    <x v="2"/>
    <x v="8"/>
    <x v="2"/>
  </r>
  <r>
    <x v="1488"/>
    <x v="0"/>
    <x v="5"/>
    <n v="37.5"/>
    <n v="412.5"/>
    <x v="55"/>
    <d v="2025-02-27T00:00:00"/>
    <x v="2"/>
    <x v="0"/>
    <x v="3"/>
    <x v="0"/>
    <x v="3"/>
    <x v="1"/>
    <x v="8"/>
    <x v="2"/>
  </r>
  <r>
    <x v="1489"/>
    <x v="10"/>
    <x v="0"/>
    <n v="45.1"/>
    <n v="45.1"/>
    <x v="55"/>
    <d v="2025-03-02T00:00:00"/>
    <x v="1"/>
    <x v="3"/>
    <x v="2"/>
    <x v="0"/>
    <x v="24"/>
    <x v="0"/>
    <x v="8"/>
    <x v="1"/>
  </r>
  <r>
    <x v="1490"/>
    <x v="5"/>
    <x v="7"/>
    <n v="34.4"/>
    <n v="344"/>
    <x v="55"/>
    <d v="2025-02-28T00:00:00"/>
    <x v="1"/>
    <x v="2"/>
    <x v="0"/>
    <x v="0"/>
    <x v="16"/>
    <x v="2"/>
    <x v="8"/>
    <x v="1"/>
  </r>
  <r>
    <x v="1491"/>
    <x v="4"/>
    <x v="1"/>
    <n v="38"/>
    <n v="76"/>
    <x v="55"/>
    <d v="2025-02-27T00:00:00"/>
    <x v="2"/>
    <x v="1"/>
    <x v="0"/>
    <x v="0"/>
    <x v="5"/>
    <x v="1"/>
    <x v="8"/>
    <x v="2"/>
  </r>
  <r>
    <x v="1492"/>
    <x v="3"/>
    <x v="21"/>
    <n v="32.4"/>
    <n v="453.59999999999997"/>
    <x v="55"/>
    <d v="2025-02-28T00:00:00"/>
    <x v="1"/>
    <x v="4"/>
    <x v="0"/>
    <x v="0"/>
    <x v="6"/>
    <x v="2"/>
    <x v="8"/>
    <x v="1"/>
  </r>
  <r>
    <x v="1493"/>
    <x v="6"/>
    <x v="2"/>
    <n v="40.9"/>
    <n v="122.69999999999999"/>
    <x v="55"/>
    <d v="2025-02-25T00:00:00"/>
    <x v="0"/>
    <x v="1"/>
    <x v="0"/>
    <x v="0"/>
    <x v="8"/>
    <x v="7"/>
    <x v="8"/>
    <x v="0"/>
  </r>
  <r>
    <x v="1494"/>
    <x v="7"/>
    <x v="3"/>
    <n v="76.2"/>
    <n v="533.4"/>
    <x v="55"/>
    <d v="2025-02-27T00:00:00"/>
    <x v="2"/>
    <x v="2"/>
    <x v="1"/>
    <x v="0"/>
    <x v="8"/>
    <x v="1"/>
    <x v="8"/>
    <x v="2"/>
  </r>
  <r>
    <x v="1495"/>
    <x v="2"/>
    <x v="0"/>
    <n v="85.6"/>
    <n v="85.6"/>
    <x v="55"/>
    <d v="2025-02-27T00:00:00"/>
    <x v="1"/>
    <x v="2"/>
    <x v="0"/>
    <x v="0"/>
    <x v="8"/>
    <x v="1"/>
    <x v="8"/>
    <x v="1"/>
  </r>
  <r>
    <x v="1496"/>
    <x v="4"/>
    <x v="12"/>
    <n v="25"/>
    <n v="100"/>
    <x v="55"/>
    <d v="2025-02-27T00:00:00"/>
    <x v="2"/>
    <x v="2"/>
    <x v="2"/>
    <x v="0"/>
    <x v="8"/>
    <x v="1"/>
    <x v="8"/>
    <x v="2"/>
  </r>
  <r>
    <x v="1497"/>
    <x v="2"/>
    <x v="9"/>
    <n v="150.69999999999999"/>
    <n v="753.5"/>
    <x v="55"/>
    <d v="2025-02-26T00:00:00"/>
    <x v="0"/>
    <x v="0"/>
    <x v="2"/>
    <x v="0"/>
    <x v="8"/>
    <x v="3"/>
    <x v="8"/>
    <x v="0"/>
  </r>
  <r>
    <x v="1498"/>
    <x v="8"/>
    <x v="0"/>
    <n v="19.600000000000001"/>
    <n v="19.600000000000001"/>
    <x v="55"/>
    <d v="2025-02-26T00:00:00"/>
    <x v="1"/>
    <x v="1"/>
    <x v="4"/>
    <x v="0"/>
    <x v="8"/>
    <x v="3"/>
    <x v="8"/>
    <x v="1"/>
  </r>
  <r>
    <x v="1499"/>
    <x v="13"/>
    <x v="1"/>
    <n v="37.5"/>
    <n v="75"/>
    <x v="55"/>
    <d v="2025-02-28T00:00:00"/>
    <x v="2"/>
    <x v="1"/>
    <x v="2"/>
    <x v="0"/>
    <x v="17"/>
    <x v="2"/>
    <x v="8"/>
    <x v="2"/>
  </r>
  <r>
    <x v="1500"/>
    <x v="9"/>
    <x v="2"/>
    <n v="51.9"/>
    <n v="155.69999999999999"/>
    <x v="55"/>
    <d v="2025-03-03T00:00:00"/>
    <x v="2"/>
    <x v="0"/>
    <x v="4"/>
    <x v="0"/>
    <x v="11"/>
    <x v="4"/>
    <x v="8"/>
    <x v="2"/>
  </r>
  <r>
    <x v="1501"/>
    <x v="1"/>
    <x v="1"/>
    <n v="30.9"/>
    <n v="61.8"/>
    <x v="55"/>
    <d v="2025-02-27T00:00:00"/>
    <x v="2"/>
    <x v="1"/>
    <x v="0"/>
    <x v="0"/>
    <x v="18"/>
    <x v="1"/>
    <x v="8"/>
    <x v="2"/>
  </r>
  <r>
    <x v="1502"/>
    <x v="4"/>
    <x v="2"/>
    <n v="21.2"/>
    <n v="63.599999999999994"/>
    <x v="55"/>
    <d v="2025-02-28T00:00:00"/>
    <x v="2"/>
    <x v="1"/>
    <x v="0"/>
    <x v="0"/>
    <x v="19"/>
    <x v="2"/>
    <x v="8"/>
    <x v="2"/>
  </r>
  <r>
    <x v="1503"/>
    <x v="13"/>
    <x v="14"/>
    <n v="17.5"/>
    <n v="297.5"/>
    <x v="55"/>
    <d v="2025-02-26T00:00:00"/>
    <x v="1"/>
    <x v="1"/>
    <x v="1"/>
    <x v="0"/>
    <x v="13"/>
    <x v="3"/>
    <x v="8"/>
    <x v="1"/>
  </r>
  <r>
    <x v="1504"/>
    <x v="12"/>
    <x v="1"/>
    <n v="53.8"/>
    <n v="107.6"/>
    <x v="55"/>
    <d v="2025-03-02T00:00:00"/>
    <x v="2"/>
    <x v="0"/>
    <x v="2"/>
    <x v="0"/>
    <x v="21"/>
    <x v="0"/>
    <x v="8"/>
    <x v="2"/>
  </r>
  <r>
    <x v="1505"/>
    <x v="19"/>
    <x v="1"/>
    <n v="17"/>
    <n v="34"/>
    <x v="55"/>
    <d v="2025-02-26T00:00:00"/>
    <x v="1"/>
    <x v="3"/>
    <x v="0"/>
    <x v="0"/>
    <x v="21"/>
    <x v="3"/>
    <x v="8"/>
    <x v="1"/>
  </r>
  <r>
    <x v="1506"/>
    <x v="6"/>
    <x v="0"/>
    <n v="103.2"/>
    <n v="103.2"/>
    <x v="55"/>
    <d v="2025-03-05T00:00:00"/>
    <x v="1"/>
    <x v="2"/>
    <x v="1"/>
    <x v="0"/>
    <x v="1"/>
    <x v="9"/>
    <x v="8"/>
    <x v="1"/>
  </r>
  <r>
    <x v="1507"/>
    <x v="6"/>
    <x v="12"/>
    <n v="70.3"/>
    <n v="281.2"/>
    <x v="55"/>
    <d v="2025-02-26T00:00:00"/>
    <x v="1"/>
    <x v="0"/>
    <x v="0"/>
    <x v="0"/>
    <x v="3"/>
    <x v="3"/>
    <x v="8"/>
    <x v="1"/>
  </r>
  <r>
    <x v="1508"/>
    <x v="2"/>
    <x v="1"/>
    <n v="73.8"/>
    <n v="147.6"/>
    <x v="55"/>
    <d v="2025-02-25T00:00:00"/>
    <x v="1"/>
    <x v="3"/>
    <x v="2"/>
    <x v="0"/>
    <x v="3"/>
    <x v="7"/>
    <x v="8"/>
    <x v="1"/>
  </r>
  <r>
    <x v="1509"/>
    <x v="1"/>
    <x v="4"/>
    <n v="67.7"/>
    <n v="812.40000000000009"/>
    <x v="55"/>
    <d v="2025-03-01T00:00:00"/>
    <x v="1"/>
    <x v="1"/>
    <x v="1"/>
    <x v="0"/>
    <x v="3"/>
    <x v="5"/>
    <x v="8"/>
    <x v="1"/>
  </r>
  <r>
    <x v="1510"/>
    <x v="13"/>
    <x v="3"/>
    <n v="43.8"/>
    <n v="306.59999999999997"/>
    <x v="55"/>
    <d v="2025-02-27T00:00:00"/>
    <x v="1"/>
    <x v="1"/>
    <x v="0"/>
    <x v="0"/>
    <x v="3"/>
    <x v="1"/>
    <x v="8"/>
    <x v="1"/>
  </r>
  <r>
    <x v="1511"/>
    <x v="17"/>
    <x v="13"/>
    <n v="71.900000000000006"/>
    <n v="431.40000000000003"/>
    <x v="55"/>
    <d v="2025-02-26T00:00:00"/>
    <x v="2"/>
    <x v="2"/>
    <x v="0"/>
    <x v="0"/>
    <x v="3"/>
    <x v="3"/>
    <x v="8"/>
    <x v="2"/>
  </r>
  <r>
    <x v="1512"/>
    <x v="8"/>
    <x v="1"/>
    <n v="26.3"/>
    <n v="52.6"/>
    <x v="56"/>
    <d v="2025-02-28T00:00:00"/>
    <x v="2"/>
    <x v="0"/>
    <x v="1"/>
    <x v="0"/>
    <x v="3"/>
    <x v="1"/>
    <x v="8"/>
    <x v="2"/>
  </r>
  <r>
    <x v="1513"/>
    <x v="6"/>
    <x v="12"/>
    <n v="52.6"/>
    <n v="210.4"/>
    <x v="56"/>
    <d v="2025-02-28T00:00:00"/>
    <x v="2"/>
    <x v="2"/>
    <x v="1"/>
    <x v="0"/>
    <x v="3"/>
    <x v="1"/>
    <x v="8"/>
    <x v="2"/>
  </r>
  <r>
    <x v="1514"/>
    <x v="10"/>
    <x v="0"/>
    <n v="32.700000000000003"/>
    <n v="32.700000000000003"/>
    <x v="56"/>
    <d v="2025-03-05T00:00:00"/>
    <x v="2"/>
    <x v="0"/>
    <x v="2"/>
    <x v="0"/>
    <x v="3"/>
    <x v="6"/>
    <x v="8"/>
    <x v="2"/>
  </r>
  <r>
    <x v="1515"/>
    <x v="5"/>
    <x v="12"/>
    <n v="38.9"/>
    <n v="155.6"/>
    <x v="56"/>
    <d v="2025-02-27T00:00:00"/>
    <x v="2"/>
    <x v="0"/>
    <x v="0"/>
    <x v="0"/>
    <x v="3"/>
    <x v="3"/>
    <x v="8"/>
    <x v="2"/>
  </r>
  <r>
    <x v="1516"/>
    <x v="9"/>
    <x v="9"/>
    <n v="35"/>
    <n v="175"/>
    <x v="56"/>
    <d v="2025-02-28T00:00:00"/>
    <x v="1"/>
    <x v="0"/>
    <x v="0"/>
    <x v="0"/>
    <x v="3"/>
    <x v="1"/>
    <x v="8"/>
    <x v="1"/>
  </r>
  <r>
    <x v="1517"/>
    <x v="2"/>
    <x v="1"/>
    <n v="121"/>
    <n v="242"/>
    <x v="56"/>
    <d v="2025-02-27T00:00:00"/>
    <x v="2"/>
    <x v="1"/>
    <x v="1"/>
    <x v="0"/>
    <x v="3"/>
    <x v="3"/>
    <x v="8"/>
    <x v="2"/>
  </r>
  <r>
    <x v="1518"/>
    <x v="6"/>
    <x v="2"/>
    <n v="65.099999999999994"/>
    <n v="195.29999999999998"/>
    <x v="56"/>
    <d v="2025-03-02T00:00:00"/>
    <x v="1"/>
    <x v="2"/>
    <x v="0"/>
    <x v="0"/>
    <x v="36"/>
    <x v="5"/>
    <x v="8"/>
    <x v="1"/>
  </r>
  <r>
    <x v="1519"/>
    <x v="1"/>
    <x v="38"/>
    <n v="63.8"/>
    <n v="1339.8"/>
    <x v="56"/>
    <d v="2025-02-28T00:00:00"/>
    <x v="2"/>
    <x v="0"/>
    <x v="0"/>
    <x v="0"/>
    <x v="8"/>
    <x v="1"/>
    <x v="8"/>
    <x v="2"/>
  </r>
  <r>
    <x v="1520"/>
    <x v="7"/>
    <x v="0"/>
    <n v="77.7"/>
    <n v="77.7"/>
    <x v="56"/>
    <d v="2025-02-28T00:00:00"/>
    <x v="1"/>
    <x v="0"/>
    <x v="0"/>
    <x v="0"/>
    <x v="8"/>
    <x v="1"/>
    <x v="8"/>
    <x v="1"/>
  </r>
  <r>
    <x v="1521"/>
    <x v="5"/>
    <x v="12"/>
    <n v="60.3"/>
    <n v="241.2"/>
    <x v="56"/>
    <d v="2025-02-26T00:00:00"/>
    <x v="1"/>
    <x v="0"/>
    <x v="2"/>
    <x v="0"/>
    <x v="8"/>
    <x v="7"/>
    <x v="8"/>
    <x v="1"/>
  </r>
  <r>
    <x v="1522"/>
    <x v="5"/>
    <x v="1"/>
    <n v="124.1"/>
    <n v="248.2"/>
    <x v="56"/>
    <d v="2025-03-01T00:00:00"/>
    <x v="2"/>
    <x v="0"/>
    <x v="2"/>
    <x v="0"/>
    <x v="8"/>
    <x v="2"/>
    <x v="8"/>
    <x v="2"/>
  </r>
  <r>
    <x v="1523"/>
    <x v="16"/>
    <x v="3"/>
    <n v="66"/>
    <n v="462"/>
    <x v="56"/>
    <d v="2025-02-26T00:00:00"/>
    <x v="0"/>
    <x v="3"/>
    <x v="0"/>
    <x v="0"/>
    <x v="17"/>
    <x v="7"/>
    <x v="8"/>
    <x v="0"/>
  </r>
  <r>
    <x v="1524"/>
    <x v="2"/>
    <x v="42"/>
    <n v="118.2"/>
    <n v="7446.6"/>
    <x v="56"/>
    <d v="2025-03-03T00:00:00"/>
    <x v="0"/>
    <x v="0"/>
    <x v="0"/>
    <x v="0"/>
    <x v="17"/>
    <x v="0"/>
    <x v="8"/>
    <x v="0"/>
  </r>
  <r>
    <x v="1525"/>
    <x v="5"/>
    <x v="9"/>
    <n v="64.3"/>
    <n v="321.5"/>
    <x v="56"/>
    <d v="2025-02-27T00:00:00"/>
    <x v="1"/>
    <x v="4"/>
    <x v="4"/>
    <x v="0"/>
    <x v="26"/>
    <x v="3"/>
    <x v="8"/>
    <x v="1"/>
  </r>
  <r>
    <x v="1526"/>
    <x v="1"/>
    <x v="1"/>
    <n v="54.8"/>
    <n v="109.6"/>
    <x v="56"/>
    <d v="2025-02-26T00:00:00"/>
    <x v="1"/>
    <x v="0"/>
    <x v="1"/>
    <x v="0"/>
    <x v="26"/>
    <x v="7"/>
    <x v="8"/>
    <x v="1"/>
  </r>
  <r>
    <x v="1527"/>
    <x v="7"/>
    <x v="1"/>
    <n v="78.599999999999994"/>
    <n v="157.19999999999999"/>
    <x v="56"/>
    <d v="2025-02-27T00:00:00"/>
    <x v="1"/>
    <x v="0"/>
    <x v="2"/>
    <x v="0"/>
    <x v="9"/>
    <x v="3"/>
    <x v="8"/>
    <x v="1"/>
  </r>
  <r>
    <x v="1528"/>
    <x v="2"/>
    <x v="9"/>
    <n v="158.5"/>
    <n v="792.5"/>
    <x v="56"/>
    <d v="2025-02-28T00:00:00"/>
    <x v="0"/>
    <x v="2"/>
    <x v="2"/>
    <x v="0"/>
    <x v="9"/>
    <x v="1"/>
    <x v="8"/>
    <x v="0"/>
  </r>
  <r>
    <x v="1529"/>
    <x v="4"/>
    <x v="7"/>
    <n v="23.5"/>
    <n v="235"/>
    <x v="56"/>
    <d v="2025-03-01T00:00:00"/>
    <x v="1"/>
    <x v="0"/>
    <x v="4"/>
    <x v="0"/>
    <x v="10"/>
    <x v="2"/>
    <x v="8"/>
    <x v="1"/>
  </r>
  <r>
    <x v="1530"/>
    <x v="5"/>
    <x v="1"/>
    <n v="32.1"/>
    <n v="64.2"/>
    <x v="56"/>
    <d v="2025-02-28T00:00:00"/>
    <x v="0"/>
    <x v="3"/>
    <x v="0"/>
    <x v="0"/>
    <x v="10"/>
    <x v="1"/>
    <x v="8"/>
    <x v="0"/>
  </r>
  <r>
    <x v="1531"/>
    <x v="17"/>
    <x v="12"/>
    <n v="71.900000000000006"/>
    <n v="287.60000000000002"/>
    <x v="56"/>
    <d v="2025-02-26T00:00:00"/>
    <x v="1"/>
    <x v="2"/>
    <x v="0"/>
    <x v="0"/>
    <x v="19"/>
    <x v="7"/>
    <x v="8"/>
    <x v="1"/>
  </r>
  <r>
    <x v="1532"/>
    <x v="4"/>
    <x v="13"/>
    <n v="22.3"/>
    <n v="133.80000000000001"/>
    <x v="56"/>
    <d v="2025-02-27T00:00:00"/>
    <x v="0"/>
    <x v="3"/>
    <x v="2"/>
    <x v="0"/>
    <x v="13"/>
    <x v="3"/>
    <x v="8"/>
    <x v="0"/>
  </r>
  <r>
    <x v="1533"/>
    <x v="11"/>
    <x v="1"/>
    <n v="29.5"/>
    <n v="59"/>
    <x v="56"/>
    <d v="2025-02-27T00:00:00"/>
    <x v="2"/>
    <x v="0"/>
    <x v="2"/>
    <x v="0"/>
    <x v="13"/>
    <x v="3"/>
    <x v="8"/>
    <x v="2"/>
  </r>
  <r>
    <x v="1534"/>
    <x v="6"/>
    <x v="12"/>
    <n v="41.9"/>
    <n v="167.6"/>
    <x v="56"/>
    <d v="2025-03-02T00:00:00"/>
    <x v="2"/>
    <x v="0"/>
    <x v="1"/>
    <x v="0"/>
    <x v="21"/>
    <x v="5"/>
    <x v="8"/>
    <x v="2"/>
  </r>
  <r>
    <x v="1535"/>
    <x v="6"/>
    <x v="2"/>
    <n v="107.8"/>
    <n v="323.39999999999998"/>
    <x v="56"/>
    <d v="2025-02-27T00:00:00"/>
    <x v="1"/>
    <x v="1"/>
    <x v="2"/>
    <x v="0"/>
    <x v="46"/>
    <x v="3"/>
    <x v="8"/>
    <x v="1"/>
  </r>
  <r>
    <x v="1536"/>
    <x v="4"/>
    <x v="9"/>
    <n v="18.100000000000001"/>
    <n v="90.5"/>
    <x v="56"/>
    <d v="2025-03-01T00:00:00"/>
    <x v="1"/>
    <x v="0"/>
    <x v="2"/>
    <x v="0"/>
    <x v="2"/>
    <x v="2"/>
    <x v="8"/>
    <x v="1"/>
  </r>
  <r>
    <x v="1537"/>
    <x v="12"/>
    <x v="11"/>
    <n v="79.8"/>
    <n v="718.19999999999993"/>
    <x v="56"/>
    <d v="2025-02-27T00:00:00"/>
    <x v="2"/>
    <x v="1"/>
    <x v="1"/>
    <x v="0"/>
    <x v="22"/>
    <x v="3"/>
    <x v="8"/>
    <x v="2"/>
  </r>
  <r>
    <x v="1538"/>
    <x v="0"/>
    <x v="2"/>
    <n v="22.3"/>
    <n v="66.900000000000006"/>
    <x v="56"/>
    <d v="2025-03-01T00:00:00"/>
    <x v="2"/>
    <x v="0"/>
    <x v="2"/>
    <x v="0"/>
    <x v="22"/>
    <x v="2"/>
    <x v="8"/>
    <x v="2"/>
  </r>
  <r>
    <x v="1539"/>
    <x v="8"/>
    <x v="0"/>
    <n v="22.9"/>
    <n v="22.9"/>
    <x v="56"/>
    <d v="2025-02-26T00:00:00"/>
    <x v="2"/>
    <x v="1"/>
    <x v="0"/>
    <x v="0"/>
    <x v="22"/>
    <x v="7"/>
    <x v="8"/>
    <x v="2"/>
  </r>
  <r>
    <x v="1540"/>
    <x v="0"/>
    <x v="2"/>
    <n v="16.2"/>
    <n v="48.599999999999994"/>
    <x v="57"/>
    <d v="2025-02-27T00:00:00"/>
    <x v="1"/>
    <x v="4"/>
    <x v="2"/>
    <x v="0"/>
    <x v="3"/>
    <x v="7"/>
    <x v="8"/>
    <x v="1"/>
  </r>
  <r>
    <x v="1541"/>
    <x v="10"/>
    <x v="12"/>
    <n v="59.5"/>
    <n v="238"/>
    <x v="57"/>
    <d v="2025-02-28T00:00:00"/>
    <x v="1"/>
    <x v="1"/>
    <x v="2"/>
    <x v="0"/>
    <x v="3"/>
    <x v="3"/>
    <x v="8"/>
    <x v="1"/>
  </r>
  <r>
    <x v="1542"/>
    <x v="18"/>
    <x v="9"/>
    <n v="26.2"/>
    <n v="131"/>
    <x v="57"/>
    <d v="2025-03-02T00:00:00"/>
    <x v="1"/>
    <x v="3"/>
    <x v="4"/>
    <x v="0"/>
    <x v="3"/>
    <x v="2"/>
    <x v="8"/>
    <x v="1"/>
  </r>
  <r>
    <x v="1543"/>
    <x v="3"/>
    <x v="0"/>
    <n v="44.2"/>
    <n v="44.2"/>
    <x v="57"/>
    <d v="2025-03-02T00:00:00"/>
    <x v="2"/>
    <x v="1"/>
    <x v="0"/>
    <x v="0"/>
    <x v="3"/>
    <x v="2"/>
    <x v="8"/>
    <x v="2"/>
  </r>
  <r>
    <x v="1544"/>
    <x v="9"/>
    <x v="1"/>
    <n v="59.2"/>
    <n v="118.4"/>
    <x v="57"/>
    <d v="2025-02-27T00:00:00"/>
    <x v="2"/>
    <x v="1"/>
    <x v="4"/>
    <x v="0"/>
    <x v="3"/>
    <x v="7"/>
    <x v="8"/>
    <x v="2"/>
  </r>
  <r>
    <x v="1545"/>
    <x v="15"/>
    <x v="12"/>
    <n v="41.5"/>
    <n v="166"/>
    <x v="57"/>
    <d v="2025-03-01T00:00:00"/>
    <x v="2"/>
    <x v="0"/>
    <x v="0"/>
    <x v="0"/>
    <x v="16"/>
    <x v="1"/>
    <x v="8"/>
    <x v="2"/>
  </r>
  <r>
    <x v="1546"/>
    <x v="6"/>
    <x v="4"/>
    <n v="67.099999999999994"/>
    <n v="805.19999999999993"/>
    <x v="57"/>
    <d v="2025-03-13T00:00:00"/>
    <x v="2"/>
    <x v="0"/>
    <x v="2"/>
    <x v="0"/>
    <x v="23"/>
    <x v="12"/>
    <x v="8"/>
    <x v="2"/>
  </r>
  <r>
    <x v="1547"/>
    <x v="8"/>
    <x v="1"/>
    <n v="28.7"/>
    <n v="57.4"/>
    <x v="57"/>
    <d v="2025-03-03T00:00:00"/>
    <x v="2"/>
    <x v="1"/>
    <x v="0"/>
    <x v="0"/>
    <x v="6"/>
    <x v="5"/>
    <x v="8"/>
    <x v="2"/>
  </r>
  <r>
    <x v="1548"/>
    <x v="2"/>
    <x v="12"/>
    <n v="132.1"/>
    <n v="528.4"/>
    <x v="57"/>
    <d v="2025-02-28T00:00:00"/>
    <x v="2"/>
    <x v="0"/>
    <x v="1"/>
    <x v="0"/>
    <x v="6"/>
    <x v="3"/>
    <x v="8"/>
    <x v="2"/>
  </r>
  <r>
    <x v="1549"/>
    <x v="18"/>
    <x v="1"/>
    <n v="47"/>
    <n v="94"/>
    <x v="57"/>
    <d v="2025-03-01T00:00:00"/>
    <x v="1"/>
    <x v="4"/>
    <x v="0"/>
    <x v="0"/>
    <x v="8"/>
    <x v="1"/>
    <x v="8"/>
    <x v="1"/>
  </r>
  <r>
    <x v="1550"/>
    <x v="8"/>
    <x v="1"/>
    <n v="41.6"/>
    <n v="83.2"/>
    <x v="57"/>
    <d v="2025-03-03T00:00:00"/>
    <x v="1"/>
    <x v="1"/>
    <x v="2"/>
    <x v="0"/>
    <x v="8"/>
    <x v="5"/>
    <x v="8"/>
    <x v="1"/>
  </r>
  <r>
    <x v="1551"/>
    <x v="8"/>
    <x v="43"/>
    <n v="17.3"/>
    <n v="657.4"/>
    <x v="57"/>
    <d v="2025-03-01T00:00:00"/>
    <x v="1"/>
    <x v="2"/>
    <x v="2"/>
    <x v="0"/>
    <x v="8"/>
    <x v="1"/>
    <x v="8"/>
    <x v="1"/>
  </r>
  <r>
    <x v="1552"/>
    <x v="13"/>
    <x v="2"/>
    <n v="41.8"/>
    <n v="125.39999999999999"/>
    <x v="57"/>
    <d v="2025-03-02T00:00:00"/>
    <x v="1"/>
    <x v="0"/>
    <x v="2"/>
    <x v="0"/>
    <x v="8"/>
    <x v="2"/>
    <x v="8"/>
    <x v="1"/>
  </r>
  <r>
    <x v="1553"/>
    <x v="10"/>
    <x v="0"/>
    <n v="24"/>
    <n v="24"/>
    <x v="57"/>
    <d v="2025-02-28T00:00:00"/>
    <x v="2"/>
    <x v="0"/>
    <x v="0"/>
    <x v="0"/>
    <x v="17"/>
    <x v="3"/>
    <x v="8"/>
    <x v="2"/>
  </r>
  <r>
    <x v="1554"/>
    <x v="14"/>
    <x v="11"/>
    <n v="18.5"/>
    <n v="166.5"/>
    <x v="57"/>
    <d v="2025-03-01T00:00:00"/>
    <x v="2"/>
    <x v="0"/>
    <x v="0"/>
    <x v="0"/>
    <x v="9"/>
    <x v="1"/>
    <x v="8"/>
    <x v="2"/>
  </r>
  <r>
    <x v="1555"/>
    <x v="3"/>
    <x v="4"/>
    <n v="66.7"/>
    <n v="800.40000000000009"/>
    <x v="57"/>
    <d v="2025-03-02T00:00:00"/>
    <x v="0"/>
    <x v="0"/>
    <x v="2"/>
    <x v="0"/>
    <x v="11"/>
    <x v="2"/>
    <x v="8"/>
    <x v="0"/>
  </r>
  <r>
    <x v="1556"/>
    <x v="1"/>
    <x v="12"/>
    <n v="33.1"/>
    <n v="132.4"/>
    <x v="57"/>
    <d v="2025-03-04T00:00:00"/>
    <x v="1"/>
    <x v="3"/>
    <x v="0"/>
    <x v="0"/>
    <x v="11"/>
    <x v="0"/>
    <x v="8"/>
    <x v="1"/>
  </r>
  <r>
    <x v="1557"/>
    <x v="19"/>
    <x v="11"/>
    <n v="42.1"/>
    <n v="378.90000000000003"/>
    <x v="57"/>
    <d v="2025-03-10T00:00:00"/>
    <x v="1"/>
    <x v="1"/>
    <x v="0"/>
    <x v="0"/>
    <x v="18"/>
    <x v="11"/>
    <x v="8"/>
    <x v="1"/>
  </r>
  <r>
    <x v="1558"/>
    <x v="18"/>
    <x v="3"/>
    <n v="58.7"/>
    <n v="410.90000000000003"/>
    <x v="57"/>
    <d v="2025-02-27T00:00:00"/>
    <x v="3"/>
    <x v="3"/>
    <x v="0"/>
    <x v="0"/>
    <x v="31"/>
    <x v="7"/>
    <x v="8"/>
    <x v="3"/>
  </r>
  <r>
    <x v="1559"/>
    <x v="6"/>
    <x v="12"/>
    <n v="54"/>
    <n v="216"/>
    <x v="57"/>
    <d v="2025-03-01T00:00:00"/>
    <x v="2"/>
    <x v="1"/>
    <x v="0"/>
    <x v="0"/>
    <x v="1"/>
    <x v="1"/>
    <x v="8"/>
    <x v="2"/>
  </r>
  <r>
    <x v="1560"/>
    <x v="8"/>
    <x v="0"/>
    <n v="52.1"/>
    <n v="52.1"/>
    <x v="57"/>
    <d v="2025-02-28T00:00:00"/>
    <x v="2"/>
    <x v="2"/>
    <x v="2"/>
    <x v="0"/>
    <x v="2"/>
    <x v="3"/>
    <x v="8"/>
    <x v="2"/>
  </r>
  <r>
    <x v="1561"/>
    <x v="19"/>
    <x v="1"/>
    <n v="27"/>
    <n v="54"/>
    <x v="57"/>
    <d v="2025-03-02T00:00:00"/>
    <x v="3"/>
    <x v="2"/>
    <x v="0"/>
    <x v="0"/>
    <x v="22"/>
    <x v="2"/>
    <x v="8"/>
    <x v="3"/>
  </r>
  <r>
    <x v="1562"/>
    <x v="12"/>
    <x v="7"/>
    <n v="31"/>
    <n v="310"/>
    <x v="58"/>
    <d v="2025-03-01T00:00:00"/>
    <x v="2"/>
    <x v="3"/>
    <x v="2"/>
    <x v="0"/>
    <x v="22"/>
    <x v="3"/>
    <x v="8"/>
    <x v="2"/>
  </r>
  <r>
    <x v="1563"/>
    <x v="10"/>
    <x v="1"/>
    <n v="46.7"/>
    <n v="93.4"/>
    <x v="58"/>
    <d v="2025-02-28T00:00:00"/>
    <x v="2"/>
    <x v="0"/>
    <x v="0"/>
    <x v="0"/>
    <x v="34"/>
    <x v="7"/>
    <x v="8"/>
    <x v="2"/>
  </r>
  <r>
    <x v="1564"/>
    <x v="6"/>
    <x v="0"/>
    <n v="144.69999999999999"/>
    <n v="144.69999999999999"/>
    <x v="58"/>
    <d v="2025-03-03T00:00:00"/>
    <x v="1"/>
    <x v="0"/>
    <x v="2"/>
    <x v="0"/>
    <x v="3"/>
    <x v="2"/>
    <x v="8"/>
    <x v="1"/>
  </r>
  <r>
    <x v="1565"/>
    <x v="2"/>
    <x v="11"/>
    <n v="90.9"/>
    <n v="818.1"/>
    <x v="58"/>
    <d v="2025-03-01T00:00:00"/>
    <x v="1"/>
    <x v="0"/>
    <x v="2"/>
    <x v="0"/>
    <x v="3"/>
    <x v="3"/>
    <x v="8"/>
    <x v="1"/>
  </r>
  <r>
    <x v="1566"/>
    <x v="1"/>
    <x v="1"/>
    <n v="75.8"/>
    <n v="151.6"/>
    <x v="58"/>
    <d v="2025-03-01T00:00:00"/>
    <x v="2"/>
    <x v="2"/>
    <x v="1"/>
    <x v="0"/>
    <x v="3"/>
    <x v="3"/>
    <x v="8"/>
    <x v="2"/>
  </r>
  <r>
    <x v="1567"/>
    <x v="7"/>
    <x v="9"/>
    <n v="57.9"/>
    <n v="289.5"/>
    <x v="58"/>
    <d v="2025-03-02T00:00:00"/>
    <x v="1"/>
    <x v="2"/>
    <x v="2"/>
    <x v="0"/>
    <x v="3"/>
    <x v="1"/>
    <x v="8"/>
    <x v="1"/>
  </r>
  <r>
    <x v="1568"/>
    <x v="8"/>
    <x v="9"/>
    <n v="44.8"/>
    <n v="224"/>
    <x v="58"/>
    <d v="2025-03-01T00:00:00"/>
    <x v="2"/>
    <x v="3"/>
    <x v="2"/>
    <x v="0"/>
    <x v="3"/>
    <x v="3"/>
    <x v="8"/>
    <x v="2"/>
  </r>
  <r>
    <x v="1569"/>
    <x v="9"/>
    <x v="2"/>
    <n v="44.2"/>
    <n v="132.60000000000002"/>
    <x v="58"/>
    <d v="2025-03-04T00:00:00"/>
    <x v="1"/>
    <x v="2"/>
    <x v="2"/>
    <x v="0"/>
    <x v="3"/>
    <x v="5"/>
    <x v="8"/>
    <x v="1"/>
  </r>
  <r>
    <x v="1570"/>
    <x v="5"/>
    <x v="9"/>
    <n v="53.5"/>
    <n v="267.5"/>
    <x v="58"/>
    <d v="2025-03-02T00:00:00"/>
    <x v="1"/>
    <x v="0"/>
    <x v="0"/>
    <x v="0"/>
    <x v="37"/>
    <x v="1"/>
    <x v="8"/>
    <x v="1"/>
  </r>
  <r>
    <x v="1571"/>
    <x v="6"/>
    <x v="1"/>
    <n v="72.2"/>
    <n v="144.4"/>
    <x v="58"/>
    <d v="2025-03-01T00:00:00"/>
    <x v="1"/>
    <x v="0"/>
    <x v="2"/>
    <x v="0"/>
    <x v="25"/>
    <x v="3"/>
    <x v="8"/>
    <x v="1"/>
  </r>
  <r>
    <x v="1572"/>
    <x v="6"/>
    <x v="12"/>
    <n v="62.4"/>
    <n v="249.6"/>
    <x v="58"/>
    <d v="2025-03-03T00:00:00"/>
    <x v="2"/>
    <x v="0"/>
    <x v="1"/>
    <x v="0"/>
    <x v="23"/>
    <x v="2"/>
    <x v="8"/>
    <x v="2"/>
  </r>
  <r>
    <x v="1573"/>
    <x v="10"/>
    <x v="9"/>
    <n v="24.7"/>
    <n v="123.5"/>
    <x v="58"/>
    <d v="2025-03-01T00:00:00"/>
    <x v="2"/>
    <x v="0"/>
    <x v="0"/>
    <x v="0"/>
    <x v="6"/>
    <x v="3"/>
    <x v="8"/>
    <x v="2"/>
  </r>
  <r>
    <x v="1574"/>
    <x v="1"/>
    <x v="9"/>
    <n v="61.7"/>
    <n v="308.5"/>
    <x v="58"/>
    <d v="2025-03-02T00:00:00"/>
    <x v="2"/>
    <x v="2"/>
    <x v="0"/>
    <x v="0"/>
    <x v="8"/>
    <x v="1"/>
    <x v="8"/>
    <x v="2"/>
  </r>
  <r>
    <x v="1575"/>
    <x v="8"/>
    <x v="9"/>
    <n v="18.2"/>
    <n v="91"/>
    <x v="58"/>
    <d v="2025-03-02T00:00:00"/>
    <x v="2"/>
    <x v="3"/>
    <x v="0"/>
    <x v="0"/>
    <x v="8"/>
    <x v="1"/>
    <x v="8"/>
    <x v="2"/>
  </r>
  <r>
    <x v="1576"/>
    <x v="10"/>
    <x v="12"/>
    <n v="37.200000000000003"/>
    <n v="148.80000000000001"/>
    <x v="58"/>
    <d v="2025-03-06T00:00:00"/>
    <x v="2"/>
    <x v="0"/>
    <x v="0"/>
    <x v="0"/>
    <x v="8"/>
    <x v="4"/>
    <x v="8"/>
    <x v="2"/>
  </r>
  <r>
    <x v="1577"/>
    <x v="9"/>
    <x v="2"/>
    <n v="53.5"/>
    <n v="160.5"/>
    <x v="58"/>
    <d v="2025-03-02T00:00:00"/>
    <x v="2"/>
    <x v="1"/>
    <x v="2"/>
    <x v="0"/>
    <x v="9"/>
    <x v="1"/>
    <x v="8"/>
    <x v="2"/>
  </r>
  <r>
    <x v="1578"/>
    <x v="8"/>
    <x v="2"/>
    <n v="43.6"/>
    <n v="130.80000000000001"/>
    <x v="58"/>
    <d v="2025-02-28T00:00:00"/>
    <x v="2"/>
    <x v="0"/>
    <x v="0"/>
    <x v="0"/>
    <x v="9"/>
    <x v="7"/>
    <x v="8"/>
    <x v="2"/>
  </r>
  <r>
    <x v="1579"/>
    <x v="1"/>
    <x v="7"/>
    <n v="135"/>
    <n v="1350"/>
    <x v="58"/>
    <d v="2025-03-02T00:00:00"/>
    <x v="2"/>
    <x v="0"/>
    <x v="2"/>
    <x v="0"/>
    <x v="9"/>
    <x v="1"/>
    <x v="8"/>
    <x v="2"/>
  </r>
  <r>
    <x v="1580"/>
    <x v="8"/>
    <x v="9"/>
    <n v="38.5"/>
    <n v="192.5"/>
    <x v="58"/>
    <d v="2025-02-28T00:00:00"/>
    <x v="1"/>
    <x v="4"/>
    <x v="2"/>
    <x v="0"/>
    <x v="10"/>
    <x v="7"/>
    <x v="8"/>
    <x v="1"/>
  </r>
  <r>
    <x v="1581"/>
    <x v="9"/>
    <x v="1"/>
    <n v="24"/>
    <n v="48"/>
    <x v="58"/>
    <d v="2025-03-05T00:00:00"/>
    <x v="2"/>
    <x v="0"/>
    <x v="0"/>
    <x v="0"/>
    <x v="11"/>
    <x v="0"/>
    <x v="8"/>
    <x v="2"/>
  </r>
  <r>
    <x v="1582"/>
    <x v="4"/>
    <x v="2"/>
    <n v="28.2"/>
    <n v="84.6"/>
    <x v="58"/>
    <d v="2025-03-02T00:00:00"/>
    <x v="1"/>
    <x v="0"/>
    <x v="3"/>
    <x v="0"/>
    <x v="18"/>
    <x v="1"/>
    <x v="8"/>
    <x v="1"/>
  </r>
  <r>
    <x v="1583"/>
    <x v="7"/>
    <x v="2"/>
    <n v="37.4"/>
    <n v="112.19999999999999"/>
    <x v="58"/>
    <d v="2025-03-01T00:00:00"/>
    <x v="2"/>
    <x v="3"/>
    <x v="0"/>
    <x v="0"/>
    <x v="1"/>
    <x v="3"/>
    <x v="8"/>
    <x v="2"/>
  </r>
  <r>
    <x v="1584"/>
    <x v="6"/>
    <x v="2"/>
    <n v="53.5"/>
    <n v="160.5"/>
    <x v="58"/>
    <d v="2025-03-03T00:00:00"/>
    <x v="0"/>
    <x v="4"/>
    <x v="4"/>
    <x v="0"/>
    <x v="1"/>
    <x v="2"/>
    <x v="8"/>
    <x v="0"/>
  </r>
  <r>
    <x v="1585"/>
    <x v="11"/>
    <x v="9"/>
    <n v="36.200000000000003"/>
    <n v="181"/>
    <x v="58"/>
    <d v="2025-03-01T00:00:00"/>
    <x v="1"/>
    <x v="1"/>
    <x v="2"/>
    <x v="0"/>
    <x v="33"/>
    <x v="3"/>
    <x v="8"/>
    <x v="1"/>
  </r>
  <r>
    <x v="1586"/>
    <x v="0"/>
    <x v="8"/>
    <n v="31.9"/>
    <n v="255.2"/>
    <x v="58"/>
    <d v="2025-03-01T00:00:00"/>
    <x v="2"/>
    <x v="4"/>
    <x v="0"/>
    <x v="0"/>
    <x v="3"/>
    <x v="3"/>
    <x v="8"/>
    <x v="2"/>
  </r>
  <r>
    <x v="1587"/>
    <x v="8"/>
    <x v="2"/>
    <n v="21.3"/>
    <n v="63.900000000000006"/>
    <x v="58"/>
    <d v="2025-03-01T00:00:00"/>
    <x v="1"/>
    <x v="0"/>
    <x v="2"/>
    <x v="0"/>
    <x v="3"/>
    <x v="3"/>
    <x v="8"/>
    <x v="1"/>
  </r>
  <r>
    <x v="1588"/>
    <x v="8"/>
    <x v="0"/>
    <n v="36.299999999999997"/>
    <n v="36.299999999999997"/>
    <x v="58"/>
    <d v="2025-03-02T00:00:00"/>
    <x v="3"/>
    <x v="4"/>
    <x v="0"/>
    <x v="0"/>
    <x v="3"/>
    <x v="1"/>
    <x v="8"/>
    <x v="3"/>
  </r>
  <r>
    <x v="1589"/>
    <x v="6"/>
    <x v="2"/>
    <n v="110.5"/>
    <n v="331.5"/>
    <x v="58"/>
    <d v="2025-03-01T00:00:00"/>
    <x v="2"/>
    <x v="0"/>
    <x v="3"/>
    <x v="0"/>
    <x v="3"/>
    <x v="3"/>
    <x v="8"/>
    <x v="2"/>
  </r>
  <r>
    <x v="1590"/>
    <x v="10"/>
    <x v="3"/>
    <n v="32.6"/>
    <n v="228.20000000000002"/>
    <x v="58"/>
    <d v="2025-03-02T00:00:00"/>
    <x v="2"/>
    <x v="0"/>
    <x v="1"/>
    <x v="0"/>
    <x v="3"/>
    <x v="1"/>
    <x v="8"/>
    <x v="2"/>
  </r>
  <r>
    <x v="1591"/>
    <x v="5"/>
    <x v="2"/>
    <n v="55.6"/>
    <n v="166.8"/>
    <x v="59"/>
    <d v="2025-03-14T00:00:00"/>
    <x v="2"/>
    <x v="0"/>
    <x v="0"/>
    <x v="0"/>
    <x v="3"/>
    <x v="10"/>
    <x v="8"/>
    <x v="2"/>
  </r>
  <r>
    <x v="1592"/>
    <x v="1"/>
    <x v="12"/>
    <n v="38"/>
    <n v="152"/>
    <x v="59"/>
    <d v="2025-03-02T00:00:00"/>
    <x v="2"/>
    <x v="3"/>
    <x v="2"/>
    <x v="0"/>
    <x v="5"/>
    <x v="3"/>
    <x v="8"/>
    <x v="2"/>
  </r>
  <r>
    <x v="1593"/>
    <x v="10"/>
    <x v="1"/>
    <n v="51.8"/>
    <n v="103.6"/>
    <x v="59"/>
    <d v="2025-03-07T00:00:00"/>
    <x v="1"/>
    <x v="1"/>
    <x v="4"/>
    <x v="0"/>
    <x v="6"/>
    <x v="4"/>
    <x v="8"/>
    <x v="1"/>
  </r>
  <r>
    <x v="1594"/>
    <x v="11"/>
    <x v="8"/>
    <n v="28.7"/>
    <n v="229.6"/>
    <x v="59"/>
    <d v="2025-03-06T00:00:00"/>
    <x v="2"/>
    <x v="0"/>
    <x v="0"/>
    <x v="0"/>
    <x v="6"/>
    <x v="0"/>
    <x v="8"/>
    <x v="2"/>
  </r>
  <r>
    <x v="1595"/>
    <x v="6"/>
    <x v="4"/>
    <n v="52.2"/>
    <n v="626.40000000000009"/>
    <x v="59"/>
    <d v="2025-03-01T00:00:00"/>
    <x v="1"/>
    <x v="0"/>
    <x v="1"/>
    <x v="0"/>
    <x v="6"/>
    <x v="7"/>
    <x v="8"/>
    <x v="1"/>
  </r>
  <r>
    <x v="1596"/>
    <x v="1"/>
    <x v="1"/>
    <n v="68.2"/>
    <n v="136.4"/>
    <x v="59"/>
    <d v="2025-03-02T00:00:00"/>
    <x v="0"/>
    <x v="2"/>
    <x v="0"/>
    <x v="0"/>
    <x v="7"/>
    <x v="3"/>
    <x v="8"/>
    <x v="0"/>
  </r>
  <r>
    <x v="1597"/>
    <x v="0"/>
    <x v="2"/>
    <n v="34"/>
    <n v="102"/>
    <x v="59"/>
    <d v="2025-03-05T00:00:00"/>
    <x v="2"/>
    <x v="0"/>
    <x v="0"/>
    <x v="0"/>
    <x v="8"/>
    <x v="5"/>
    <x v="8"/>
    <x v="2"/>
  </r>
  <r>
    <x v="1598"/>
    <x v="8"/>
    <x v="2"/>
    <n v="19.100000000000001"/>
    <n v="57.300000000000004"/>
    <x v="59"/>
    <d v="2025-03-02T00:00:00"/>
    <x v="2"/>
    <x v="4"/>
    <x v="0"/>
    <x v="0"/>
    <x v="8"/>
    <x v="3"/>
    <x v="8"/>
    <x v="2"/>
  </r>
  <r>
    <x v="1599"/>
    <x v="5"/>
    <x v="8"/>
    <n v="34"/>
    <n v="272"/>
    <x v="59"/>
    <d v="2025-03-09T00:00:00"/>
    <x v="2"/>
    <x v="4"/>
    <x v="0"/>
    <x v="0"/>
    <x v="8"/>
    <x v="9"/>
    <x v="8"/>
    <x v="2"/>
  </r>
  <r>
    <x v="1600"/>
    <x v="12"/>
    <x v="1"/>
    <n v="109.1"/>
    <n v="218.2"/>
    <x v="59"/>
    <d v="2025-03-03T00:00:00"/>
    <x v="1"/>
    <x v="0"/>
    <x v="2"/>
    <x v="0"/>
    <x v="8"/>
    <x v="1"/>
    <x v="8"/>
    <x v="1"/>
  </r>
  <r>
    <x v="1601"/>
    <x v="18"/>
    <x v="1"/>
    <n v="64.8"/>
    <n v="129.6"/>
    <x v="59"/>
    <d v="2025-03-03T00:00:00"/>
    <x v="1"/>
    <x v="0"/>
    <x v="2"/>
    <x v="0"/>
    <x v="8"/>
    <x v="1"/>
    <x v="8"/>
    <x v="1"/>
  </r>
  <r>
    <x v="1602"/>
    <x v="10"/>
    <x v="1"/>
    <n v="21.1"/>
    <n v="42.2"/>
    <x v="59"/>
    <d v="2025-03-01T00:00:00"/>
    <x v="2"/>
    <x v="1"/>
    <x v="0"/>
    <x v="0"/>
    <x v="11"/>
    <x v="7"/>
    <x v="8"/>
    <x v="2"/>
  </r>
  <r>
    <x v="1603"/>
    <x v="0"/>
    <x v="8"/>
    <n v="21.3"/>
    <n v="170.4"/>
    <x v="59"/>
    <d v="2025-03-03T00:00:00"/>
    <x v="1"/>
    <x v="3"/>
    <x v="1"/>
    <x v="0"/>
    <x v="18"/>
    <x v="1"/>
    <x v="8"/>
    <x v="1"/>
  </r>
  <r>
    <x v="1604"/>
    <x v="9"/>
    <x v="2"/>
    <n v="24.3"/>
    <n v="72.900000000000006"/>
    <x v="59"/>
    <d v="2025-03-02T00:00:00"/>
    <x v="1"/>
    <x v="1"/>
    <x v="0"/>
    <x v="0"/>
    <x v="19"/>
    <x v="3"/>
    <x v="8"/>
    <x v="1"/>
  </r>
  <r>
    <x v="1605"/>
    <x v="8"/>
    <x v="0"/>
    <n v="43.3"/>
    <n v="43.3"/>
    <x v="59"/>
    <d v="2025-03-05T00:00:00"/>
    <x v="1"/>
    <x v="1"/>
    <x v="1"/>
    <x v="0"/>
    <x v="13"/>
    <x v="5"/>
    <x v="8"/>
    <x v="1"/>
  </r>
  <r>
    <x v="1606"/>
    <x v="9"/>
    <x v="2"/>
    <n v="41"/>
    <n v="123"/>
    <x v="59"/>
    <d v="2025-03-02T00:00:00"/>
    <x v="2"/>
    <x v="3"/>
    <x v="4"/>
    <x v="0"/>
    <x v="21"/>
    <x v="3"/>
    <x v="8"/>
    <x v="2"/>
  </r>
  <r>
    <x v="1607"/>
    <x v="16"/>
    <x v="2"/>
    <n v="54.1"/>
    <n v="162.30000000000001"/>
    <x v="59"/>
    <d v="2025-03-03T00:00:00"/>
    <x v="2"/>
    <x v="4"/>
    <x v="0"/>
    <x v="0"/>
    <x v="21"/>
    <x v="1"/>
    <x v="8"/>
    <x v="2"/>
  </r>
  <r>
    <x v="1608"/>
    <x v="11"/>
    <x v="1"/>
    <n v="39"/>
    <n v="78"/>
    <x v="59"/>
    <d v="2025-03-02T00:00:00"/>
    <x v="1"/>
    <x v="1"/>
    <x v="2"/>
    <x v="0"/>
    <x v="1"/>
    <x v="3"/>
    <x v="8"/>
    <x v="1"/>
  </r>
  <r>
    <x v="1609"/>
    <x v="8"/>
    <x v="1"/>
    <n v="40.299999999999997"/>
    <n v="80.599999999999994"/>
    <x v="59"/>
    <d v="2025-03-03T00:00:00"/>
    <x v="1"/>
    <x v="3"/>
    <x v="0"/>
    <x v="0"/>
    <x v="27"/>
    <x v="1"/>
    <x v="8"/>
    <x v="1"/>
  </r>
  <r>
    <x v="1610"/>
    <x v="8"/>
    <x v="2"/>
    <n v="24.1"/>
    <n v="72.300000000000011"/>
    <x v="59"/>
    <d v="2025-03-02T00:00:00"/>
    <x v="1"/>
    <x v="0"/>
    <x v="2"/>
    <x v="0"/>
    <x v="34"/>
    <x v="3"/>
    <x v="8"/>
    <x v="1"/>
  </r>
  <r>
    <x v="1611"/>
    <x v="6"/>
    <x v="9"/>
    <n v="52.3"/>
    <n v="261.5"/>
    <x v="59"/>
    <d v="2025-03-02T00:00:00"/>
    <x v="1"/>
    <x v="2"/>
    <x v="0"/>
    <x v="0"/>
    <x v="3"/>
    <x v="3"/>
    <x v="8"/>
    <x v="1"/>
  </r>
  <r>
    <x v="1612"/>
    <x v="12"/>
    <x v="12"/>
    <n v="68.8"/>
    <n v="275.2"/>
    <x v="59"/>
    <d v="2025-03-05T00:00:00"/>
    <x v="2"/>
    <x v="4"/>
    <x v="2"/>
    <x v="0"/>
    <x v="3"/>
    <x v="5"/>
    <x v="8"/>
    <x v="2"/>
  </r>
  <r>
    <x v="1613"/>
    <x v="2"/>
    <x v="1"/>
    <n v="128.80000000000001"/>
    <n v="257.60000000000002"/>
    <x v="60"/>
    <d v="2025-03-05T00:00:00"/>
    <x v="2"/>
    <x v="1"/>
    <x v="1"/>
    <x v="0"/>
    <x v="3"/>
    <x v="2"/>
    <x v="9"/>
    <x v="2"/>
  </r>
  <r>
    <x v="1614"/>
    <x v="15"/>
    <x v="9"/>
    <n v="48.2"/>
    <n v="241"/>
    <x v="60"/>
    <d v="2025-03-04T00:00:00"/>
    <x v="2"/>
    <x v="3"/>
    <x v="0"/>
    <x v="0"/>
    <x v="3"/>
    <x v="1"/>
    <x v="9"/>
    <x v="2"/>
  </r>
  <r>
    <x v="1615"/>
    <x v="10"/>
    <x v="0"/>
    <n v="39.700000000000003"/>
    <n v="39.700000000000003"/>
    <x v="60"/>
    <d v="2025-03-04T00:00:00"/>
    <x v="2"/>
    <x v="0"/>
    <x v="1"/>
    <x v="0"/>
    <x v="3"/>
    <x v="1"/>
    <x v="9"/>
    <x v="2"/>
  </r>
  <r>
    <x v="1616"/>
    <x v="9"/>
    <x v="0"/>
    <n v="59.7"/>
    <n v="59.7"/>
    <x v="60"/>
    <d v="2025-03-05T00:00:00"/>
    <x v="2"/>
    <x v="4"/>
    <x v="0"/>
    <x v="0"/>
    <x v="3"/>
    <x v="2"/>
    <x v="9"/>
    <x v="2"/>
  </r>
  <r>
    <x v="1617"/>
    <x v="6"/>
    <x v="0"/>
    <n v="48.3"/>
    <n v="48.3"/>
    <x v="60"/>
    <d v="2025-03-16T00:00:00"/>
    <x v="3"/>
    <x v="0"/>
    <x v="2"/>
    <x v="0"/>
    <x v="3"/>
    <x v="12"/>
    <x v="9"/>
    <x v="3"/>
  </r>
  <r>
    <x v="1618"/>
    <x v="8"/>
    <x v="2"/>
    <n v="45.5"/>
    <n v="136.5"/>
    <x v="60"/>
    <d v="2025-03-04T00:00:00"/>
    <x v="1"/>
    <x v="2"/>
    <x v="1"/>
    <x v="0"/>
    <x v="3"/>
    <x v="1"/>
    <x v="9"/>
    <x v="1"/>
  </r>
  <r>
    <x v="1619"/>
    <x v="9"/>
    <x v="6"/>
    <n v="51"/>
    <n v="1377"/>
    <x v="60"/>
    <d v="2025-03-02T00:00:00"/>
    <x v="2"/>
    <x v="2"/>
    <x v="0"/>
    <x v="0"/>
    <x v="3"/>
    <x v="7"/>
    <x v="9"/>
    <x v="2"/>
  </r>
  <r>
    <x v="1620"/>
    <x v="4"/>
    <x v="13"/>
    <n v="20.399999999999999"/>
    <n v="122.39999999999999"/>
    <x v="60"/>
    <d v="2025-03-03T00:00:00"/>
    <x v="1"/>
    <x v="2"/>
    <x v="0"/>
    <x v="0"/>
    <x v="3"/>
    <x v="3"/>
    <x v="9"/>
    <x v="1"/>
  </r>
  <r>
    <x v="1621"/>
    <x v="10"/>
    <x v="1"/>
    <n v="30.4"/>
    <n v="60.8"/>
    <x v="60"/>
    <d v="2025-03-04T00:00:00"/>
    <x v="1"/>
    <x v="2"/>
    <x v="0"/>
    <x v="0"/>
    <x v="3"/>
    <x v="1"/>
    <x v="9"/>
    <x v="1"/>
  </r>
  <r>
    <x v="1622"/>
    <x v="7"/>
    <x v="1"/>
    <n v="71.5"/>
    <n v="143"/>
    <x v="60"/>
    <d v="2025-03-06T00:00:00"/>
    <x v="2"/>
    <x v="0"/>
    <x v="0"/>
    <x v="0"/>
    <x v="3"/>
    <x v="5"/>
    <x v="9"/>
    <x v="2"/>
  </r>
  <r>
    <x v="1623"/>
    <x v="8"/>
    <x v="13"/>
    <n v="18"/>
    <n v="108"/>
    <x v="60"/>
    <d v="2025-03-03T00:00:00"/>
    <x v="3"/>
    <x v="1"/>
    <x v="2"/>
    <x v="0"/>
    <x v="6"/>
    <x v="3"/>
    <x v="9"/>
    <x v="3"/>
  </r>
  <r>
    <x v="1624"/>
    <x v="15"/>
    <x v="5"/>
    <n v="45.6"/>
    <n v="501.6"/>
    <x v="60"/>
    <d v="2025-03-03T00:00:00"/>
    <x v="3"/>
    <x v="1"/>
    <x v="1"/>
    <x v="0"/>
    <x v="7"/>
    <x v="3"/>
    <x v="9"/>
    <x v="3"/>
  </r>
  <r>
    <x v="1625"/>
    <x v="9"/>
    <x v="0"/>
    <n v="31.8"/>
    <n v="31.8"/>
    <x v="60"/>
    <d v="2025-03-06T00:00:00"/>
    <x v="2"/>
    <x v="0"/>
    <x v="2"/>
    <x v="0"/>
    <x v="7"/>
    <x v="5"/>
    <x v="9"/>
    <x v="2"/>
  </r>
  <r>
    <x v="1626"/>
    <x v="8"/>
    <x v="9"/>
    <n v="19.899999999999999"/>
    <n v="99.5"/>
    <x v="60"/>
    <d v="2025-03-03T00:00:00"/>
    <x v="2"/>
    <x v="1"/>
    <x v="0"/>
    <x v="0"/>
    <x v="7"/>
    <x v="3"/>
    <x v="9"/>
    <x v="2"/>
  </r>
  <r>
    <x v="1627"/>
    <x v="12"/>
    <x v="11"/>
    <n v="52.1"/>
    <n v="468.90000000000003"/>
    <x v="60"/>
    <d v="2025-03-04T00:00:00"/>
    <x v="1"/>
    <x v="0"/>
    <x v="0"/>
    <x v="0"/>
    <x v="8"/>
    <x v="1"/>
    <x v="9"/>
    <x v="1"/>
  </r>
  <r>
    <x v="1628"/>
    <x v="1"/>
    <x v="3"/>
    <n v="45.9"/>
    <n v="321.3"/>
    <x v="60"/>
    <d v="2025-03-03T00:00:00"/>
    <x v="1"/>
    <x v="0"/>
    <x v="1"/>
    <x v="0"/>
    <x v="8"/>
    <x v="3"/>
    <x v="9"/>
    <x v="1"/>
  </r>
  <r>
    <x v="1629"/>
    <x v="1"/>
    <x v="7"/>
    <n v="115.9"/>
    <n v="1159"/>
    <x v="60"/>
    <d v="2025-03-05T00:00:00"/>
    <x v="2"/>
    <x v="1"/>
    <x v="0"/>
    <x v="0"/>
    <x v="8"/>
    <x v="2"/>
    <x v="9"/>
    <x v="2"/>
  </r>
  <r>
    <x v="1630"/>
    <x v="6"/>
    <x v="11"/>
    <n v="86"/>
    <n v="774"/>
    <x v="60"/>
    <d v="2025-03-07T00:00:00"/>
    <x v="2"/>
    <x v="0"/>
    <x v="1"/>
    <x v="0"/>
    <x v="8"/>
    <x v="0"/>
    <x v="9"/>
    <x v="2"/>
  </r>
  <r>
    <x v="1631"/>
    <x v="7"/>
    <x v="3"/>
    <n v="73.599999999999994"/>
    <n v="515.19999999999993"/>
    <x v="60"/>
    <d v="2025-03-04T00:00:00"/>
    <x v="2"/>
    <x v="0"/>
    <x v="0"/>
    <x v="0"/>
    <x v="17"/>
    <x v="1"/>
    <x v="9"/>
    <x v="2"/>
  </r>
  <r>
    <x v="1632"/>
    <x v="10"/>
    <x v="2"/>
    <n v="26.7"/>
    <n v="80.099999999999994"/>
    <x v="60"/>
    <d v="2025-03-06T00:00:00"/>
    <x v="2"/>
    <x v="0"/>
    <x v="0"/>
    <x v="0"/>
    <x v="11"/>
    <x v="5"/>
    <x v="9"/>
    <x v="2"/>
  </r>
  <r>
    <x v="1633"/>
    <x v="8"/>
    <x v="3"/>
    <n v="46.6"/>
    <n v="326.2"/>
    <x v="60"/>
    <d v="2025-03-04T00:00:00"/>
    <x v="0"/>
    <x v="3"/>
    <x v="0"/>
    <x v="0"/>
    <x v="11"/>
    <x v="1"/>
    <x v="9"/>
    <x v="0"/>
  </r>
  <r>
    <x v="1634"/>
    <x v="3"/>
    <x v="2"/>
    <n v="84.6"/>
    <n v="253.79999999999998"/>
    <x v="60"/>
    <d v="2025-03-04T00:00:00"/>
    <x v="1"/>
    <x v="4"/>
    <x v="0"/>
    <x v="0"/>
    <x v="11"/>
    <x v="1"/>
    <x v="9"/>
    <x v="1"/>
  </r>
  <r>
    <x v="1635"/>
    <x v="7"/>
    <x v="21"/>
    <n v="41.5"/>
    <n v="581"/>
    <x v="60"/>
    <d v="2025-03-16T00:00:00"/>
    <x v="1"/>
    <x v="1"/>
    <x v="0"/>
    <x v="0"/>
    <x v="53"/>
    <x v="12"/>
    <x v="9"/>
    <x v="1"/>
  </r>
  <r>
    <x v="1636"/>
    <x v="8"/>
    <x v="0"/>
    <n v="32.799999999999997"/>
    <n v="32.799999999999997"/>
    <x v="60"/>
    <d v="2025-03-05T00:00:00"/>
    <x v="1"/>
    <x v="0"/>
    <x v="2"/>
    <x v="0"/>
    <x v="30"/>
    <x v="2"/>
    <x v="9"/>
    <x v="1"/>
  </r>
  <r>
    <x v="1637"/>
    <x v="4"/>
    <x v="3"/>
    <n v="46.7"/>
    <n v="326.90000000000003"/>
    <x v="60"/>
    <d v="2025-03-04T00:00:00"/>
    <x v="3"/>
    <x v="0"/>
    <x v="2"/>
    <x v="0"/>
    <x v="18"/>
    <x v="1"/>
    <x v="9"/>
    <x v="3"/>
  </r>
  <r>
    <x v="1638"/>
    <x v="15"/>
    <x v="3"/>
    <n v="21"/>
    <n v="147"/>
    <x v="60"/>
    <d v="2025-03-05T00:00:00"/>
    <x v="1"/>
    <x v="2"/>
    <x v="1"/>
    <x v="0"/>
    <x v="21"/>
    <x v="2"/>
    <x v="9"/>
    <x v="1"/>
  </r>
  <r>
    <x v="1639"/>
    <x v="5"/>
    <x v="3"/>
    <n v="29.4"/>
    <n v="205.79999999999998"/>
    <x v="60"/>
    <d v="2025-03-02T00:00:00"/>
    <x v="1"/>
    <x v="3"/>
    <x v="2"/>
    <x v="0"/>
    <x v="21"/>
    <x v="7"/>
    <x v="9"/>
    <x v="1"/>
  </r>
  <r>
    <x v="1640"/>
    <x v="15"/>
    <x v="1"/>
    <n v="32.299999999999997"/>
    <n v="64.599999999999994"/>
    <x v="60"/>
    <d v="2025-03-03T00:00:00"/>
    <x v="1"/>
    <x v="0"/>
    <x v="2"/>
    <x v="0"/>
    <x v="21"/>
    <x v="3"/>
    <x v="9"/>
    <x v="1"/>
  </r>
  <r>
    <x v="1641"/>
    <x v="6"/>
    <x v="0"/>
    <n v="42.2"/>
    <n v="42.2"/>
    <x v="61"/>
    <d v="2025-03-05T00:00:00"/>
    <x v="2"/>
    <x v="0"/>
    <x v="2"/>
    <x v="0"/>
    <x v="21"/>
    <x v="1"/>
    <x v="9"/>
    <x v="2"/>
  </r>
  <r>
    <x v="1642"/>
    <x v="6"/>
    <x v="0"/>
    <n v="53.7"/>
    <n v="53.7"/>
    <x v="61"/>
    <d v="2025-03-05T00:00:00"/>
    <x v="1"/>
    <x v="1"/>
    <x v="1"/>
    <x v="0"/>
    <x v="1"/>
    <x v="1"/>
    <x v="9"/>
    <x v="1"/>
  </r>
  <r>
    <x v="1643"/>
    <x v="2"/>
    <x v="1"/>
    <n v="123.9"/>
    <n v="247.8"/>
    <x v="61"/>
    <d v="2025-03-06T00:00:00"/>
    <x v="1"/>
    <x v="2"/>
    <x v="0"/>
    <x v="0"/>
    <x v="1"/>
    <x v="2"/>
    <x v="9"/>
    <x v="1"/>
  </r>
  <r>
    <x v="1644"/>
    <x v="4"/>
    <x v="2"/>
    <n v="35.9"/>
    <n v="107.69999999999999"/>
    <x v="61"/>
    <d v="2025-03-05T00:00:00"/>
    <x v="1"/>
    <x v="2"/>
    <x v="0"/>
    <x v="0"/>
    <x v="22"/>
    <x v="1"/>
    <x v="9"/>
    <x v="1"/>
  </r>
  <r>
    <x v="1645"/>
    <x v="4"/>
    <x v="1"/>
    <n v="23.6"/>
    <n v="47.2"/>
    <x v="61"/>
    <d v="2025-03-06T00:00:00"/>
    <x v="1"/>
    <x v="0"/>
    <x v="2"/>
    <x v="0"/>
    <x v="3"/>
    <x v="2"/>
    <x v="9"/>
    <x v="1"/>
  </r>
  <r>
    <x v="1646"/>
    <x v="15"/>
    <x v="36"/>
    <n v="45.7"/>
    <n v="1599.5"/>
    <x v="61"/>
    <d v="2025-03-04T00:00:00"/>
    <x v="1"/>
    <x v="0"/>
    <x v="1"/>
    <x v="0"/>
    <x v="3"/>
    <x v="3"/>
    <x v="9"/>
    <x v="1"/>
  </r>
  <r>
    <x v="1647"/>
    <x v="6"/>
    <x v="5"/>
    <n v="118.3"/>
    <n v="1301.3"/>
    <x v="61"/>
    <d v="2025-03-05T00:00:00"/>
    <x v="1"/>
    <x v="4"/>
    <x v="2"/>
    <x v="0"/>
    <x v="3"/>
    <x v="1"/>
    <x v="9"/>
    <x v="1"/>
  </r>
  <r>
    <x v="1648"/>
    <x v="19"/>
    <x v="0"/>
    <n v="36"/>
    <n v="36"/>
    <x v="61"/>
    <d v="2025-03-04T00:00:00"/>
    <x v="2"/>
    <x v="0"/>
    <x v="1"/>
    <x v="0"/>
    <x v="3"/>
    <x v="3"/>
    <x v="9"/>
    <x v="2"/>
  </r>
  <r>
    <x v="1649"/>
    <x v="8"/>
    <x v="1"/>
    <n v="37.1"/>
    <n v="74.2"/>
    <x v="61"/>
    <d v="2025-03-06T00:00:00"/>
    <x v="2"/>
    <x v="2"/>
    <x v="0"/>
    <x v="0"/>
    <x v="3"/>
    <x v="2"/>
    <x v="9"/>
    <x v="2"/>
  </r>
  <r>
    <x v="1650"/>
    <x v="18"/>
    <x v="2"/>
    <n v="45.1"/>
    <n v="135.30000000000001"/>
    <x v="61"/>
    <d v="2025-03-05T00:00:00"/>
    <x v="2"/>
    <x v="1"/>
    <x v="2"/>
    <x v="0"/>
    <x v="3"/>
    <x v="1"/>
    <x v="9"/>
    <x v="2"/>
  </r>
  <r>
    <x v="1651"/>
    <x v="5"/>
    <x v="27"/>
    <n v="37.9"/>
    <n v="606.4"/>
    <x v="61"/>
    <d v="2025-03-04T00:00:00"/>
    <x v="2"/>
    <x v="3"/>
    <x v="2"/>
    <x v="0"/>
    <x v="3"/>
    <x v="3"/>
    <x v="9"/>
    <x v="2"/>
  </r>
  <r>
    <x v="1652"/>
    <x v="2"/>
    <x v="1"/>
    <n v="121.6"/>
    <n v="243.2"/>
    <x v="61"/>
    <d v="2025-03-06T00:00:00"/>
    <x v="1"/>
    <x v="3"/>
    <x v="2"/>
    <x v="0"/>
    <x v="3"/>
    <x v="2"/>
    <x v="9"/>
    <x v="1"/>
  </r>
  <r>
    <x v="1653"/>
    <x v="5"/>
    <x v="3"/>
    <n v="38.200000000000003"/>
    <n v="267.40000000000003"/>
    <x v="61"/>
    <d v="2025-03-06T00:00:00"/>
    <x v="2"/>
    <x v="0"/>
    <x v="0"/>
    <x v="0"/>
    <x v="3"/>
    <x v="2"/>
    <x v="9"/>
    <x v="2"/>
  </r>
  <r>
    <x v="1654"/>
    <x v="17"/>
    <x v="1"/>
    <n v="37.200000000000003"/>
    <n v="74.400000000000006"/>
    <x v="61"/>
    <d v="2025-03-06T00:00:00"/>
    <x v="1"/>
    <x v="4"/>
    <x v="0"/>
    <x v="0"/>
    <x v="3"/>
    <x v="2"/>
    <x v="9"/>
    <x v="1"/>
  </r>
  <r>
    <x v="1655"/>
    <x v="2"/>
    <x v="12"/>
    <n v="115.7"/>
    <n v="462.8"/>
    <x v="61"/>
    <d v="2025-03-06T00:00:00"/>
    <x v="2"/>
    <x v="1"/>
    <x v="0"/>
    <x v="0"/>
    <x v="3"/>
    <x v="2"/>
    <x v="9"/>
    <x v="2"/>
  </r>
  <r>
    <x v="1656"/>
    <x v="2"/>
    <x v="13"/>
    <n v="99.4"/>
    <n v="596.40000000000009"/>
    <x v="61"/>
    <d v="2025-03-06T00:00:00"/>
    <x v="1"/>
    <x v="0"/>
    <x v="2"/>
    <x v="0"/>
    <x v="3"/>
    <x v="2"/>
    <x v="9"/>
    <x v="1"/>
  </r>
  <r>
    <x v="1657"/>
    <x v="11"/>
    <x v="0"/>
    <n v="38.700000000000003"/>
    <n v="38.700000000000003"/>
    <x v="61"/>
    <d v="2025-03-04T00:00:00"/>
    <x v="2"/>
    <x v="2"/>
    <x v="0"/>
    <x v="0"/>
    <x v="25"/>
    <x v="3"/>
    <x v="9"/>
    <x v="2"/>
  </r>
  <r>
    <x v="1658"/>
    <x v="4"/>
    <x v="1"/>
    <n v="35.5"/>
    <n v="71"/>
    <x v="61"/>
    <d v="2025-03-06T00:00:00"/>
    <x v="1"/>
    <x v="0"/>
    <x v="2"/>
    <x v="0"/>
    <x v="25"/>
    <x v="2"/>
    <x v="9"/>
    <x v="1"/>
  </r>
  <r>
    <x v="1659"/>
    <x v="2"/>
    <x v="12"/>
    <n v="93.3"/>
    <n v="373.2"/>
    <x v="61"/>
    <d v="2025-03-06T00:00:00"/>
    <x v="2"/>
    <x v="0"/>
    <x v="2"/>
    <x v="0"/>
    <x v="6"/>
    <x v="2"/>
    <x v="9"/>
    <x v="2"/>
  </r>
  <r>
    <x v="1660"/>
    <x v="16"/>
    <x v="0"/>
    <n v="31.4"/>
    <n v="31.4"/>
    <x v="61"/>
    <d v="2025-03-08T00:00:00"/>
    <x v="2"/>
    <x v="2"/>
    <x v="2"/>
    <x v="0"/>
    <x v="6"/>
    <x v="0"/>
    <x v="9"/>
    <x v="2"/>
  </r>
  <r>
    <x v="1661"/>
    <x v="1"/>
    <x v="0"/>
    <n v="85.9"/>
    <n v="85.9"/>
    <x v="61"/>
    <d v="2025-03-06T00:00:00"/>
    <x v="1"/>
    <x v="1"/>
    <x v="0"/>
    <x v="0"/>
    <x v="6"/>
    <x v="2"/>
    <x v="9"/>
    <x v="1"/>
  </r>
  <r>
    <x v="1662"/>
    <x v="6"/>
    <x v="8"/>
    <n v="41.7"/>
    <n v="333.6"/>
    <x v="61"/>
    <d v="2025-03-11T00:00:00"/>
    <x v="1"/>
    <x v="0"/>
    <x v="2"/>
    <x v="0"/>
    <x v="7"/>
    <x v="9"/>
    <x v="9"/>
    <x v="1"/>
  </r>
  <r>
    <x v="1663"/>
    <x v="8"/>
    <x v="12"/>
    <n v="31.5"/>
    <n v="126"/>
    <x v="61"/>
    <d v="2025-03-04T00:00:00"/>
    <x v="2"/>
    <x v="0"/>
    <x v="0"/>
    <x v="0"/>
    <x v="7"/>
    <x v="3"/>
    <x v="9"/>
    <x v="2"/>
  </r>
  <r>
    <x v="1664"/>
    <x v="8"/>
    <x v="1"/>
    <n v="36.299999999999997"/>
    <n v="72.599999999999994"/>
    <x v="61"/>
    <d v="2025-03-04T00:00:00"/>
    <x v="2"/>
    <x v="0"/>
    <x v="4"/>
    <x v="0"/>
    <x v="8"/>
    <x v="3"/>
    <x v="9"/>
    <x v="2"/>
  </r>
  <r>
    <x v="1665"/>
    <x v="8"/>
    <x v="2"/>
    <n v="33.4"/>
    <n v="100.19999999999999"/>
    <x v="61"/>
    <d v="2025-03-04T00:00:00"/>
    <x v="2"/>
    <x v="3"/>
    <x v="0"/>
    <x v="0"/>
    <x v="17"/>
    <x v="3"/>
    <x v="9"/>
    <x v="2"/>
  </r>
  <r>
    <x v="1666"/>
    <x v="2"/>
    <x v="2"/>
    <n v="65.2"/>
    <n v="195.60000000000002"/>
    <x v="61"/>
    <d v="2025-03-04T00:00:00"/>
    <x v="2"/>
    <x v="2"/>
    <x v="2"/>
    <x v="0"/>
    <x v="26"/>
    <x v="3"/>
    <x v="9"/>
    <x v="2"/>
  </r>
  <r>
    <x v="1667"/>
    <x v="8"/>
    <x v="11"/>
    <n v="65.5"/>
    <n v="589.5"/>
    <x v="61"/>
    <d v="2025-03-06T00:00:00"/>
    <x v="2"/>
    <x v="0"/>
    <x v="2"/>
    <x v="0"/>
    <x v="9"/>
    <x v="2"/>
    <x v="9"/>
    <x v="2"/>
  </r>
  <r>
    <x v="1668"/>
    <x v="6"/>
    <x v="2"/>
    <n v="52.8"/>
    <n v="158.39999999999998"/>
    <x v="61"/>
    <d v="2025-03-06T00:00:00"/>
    <x v="1"/>
    <x v="2"/>
    <x v="0"/>
    <x v="0"/>
    <x v="9"/>
    <x v="2"/>
    <x v="9"/>
    <x v="1"/>
  </r>
  <r>
    <x v="1669"/>
    <x v="9"/>
    <x v="9"/>
    <n v="24"/>
    <n v="120"/>
    <x v="61"/>
    <d v="2025-03-07T00:00:00"/>
    <x v="1"/>
    <x v="0"/>
    <x v="1"/>
    <x v="0"/>
    <x v="11"/>
    <x v="5"/>
    <x v="9"/>
    <x v="1"/>
  </r>
  <r>
    <x v="1670"/>
    <x v="3"/>
    <x v="2"/>
    <n v="51.2"/>
    <n v="153.60000000000002"/>
    <x v="61"/>
    <d v="2025-03-04T00:00:00"/>
    <x v="2"/>
    <x v="0"/>
    <x v="0"/>
    <x v="0"/>
    <x v="32"/>
    <x v="3"/>
    <x v="9"/>
    <x v="2"/>
  </r>
  <r>
    <x v="1671"/>
    <x v="5"/>
    <x v="2"/>
    <n v="28.3"/>
    <n v="84.9"/>
    <x v="61"/>
    <d v="2025-03-05T00:00:00"/>
    <x v="1"/>
    <x v="4"/>
    <x v="0"/>
    <x v="0"/>
    <x v="19"/>
    <x v="1"/>
    <x v="9"/>
    <x v="1"/>
  </r>
  <r>
    <x v="1672"/>
    <x v="6"/>
    <x v="2"/>
    <n v="42.3"/>
    <n v="126.89999999999999"/>
    <x v="61"/>
    <d v="2025-03-03T00:00:00"/>
    <x v="2"/>
    <x v="2"/>
    <x v="1"/>
    <x v="0"/>
    <x v="19"/>
    <x v="7"/>
    <x v="9"/>
    <x v="2"/>
  </r>
  <r>
    <x v="1673"/>
    <x v="2"/>
    <x v="8"/>
    <n v="163.30000000000001"/>
    <n v="1306.4000000000001"/>
    <x v="62"/>
    <d v="2025-03-05T00:00:00"/>
    <x v="2"/>
    <x v="1"/>
    <x v="0"/>
    <x v="0"/>
    <x v="13"/>
    <x v="3"/>
    <x v="9"/>
    <x v="2"/>
  </r>
  <r>
    <x v="1674"/>
    <x v="6"/>
    <x v="3"/>
    <n v="47.3"/>
    <n v="331.09999999999997"/>
    <x v="62"/>
    <d v="2025-03-07T00:00:00"/>
    <x v="2"/>
    <x v="4"/>
    <x v="1"/>
    <x v="0"/>
    <x v="21"/>
    <x v="2"/>
    <x v="9"/>
    <x v="2"/>
  </r>
  <r>
    <x v="1675"/>
    <x v="8"/>
    <x v="27"/>
    <n v="27.3"/>
    <n v="436.8"/>
    <x v="62"/>
    <d v="2025-03-05T00:00:00"/>
    <x v="2"/>
    <x v="2"/>
    <x v="0"/>
    <x v="0"/>
    <x v="21"/>
    <x v="3"/>
    <x v="9"/>
    <x v="2"/>
  </r>
  <r>
    <x v="1676"/>
    <x v="10"/>
    <x v="13"/>
    <n v="34.9"/>
    <n v="209.39999999999998"/>
    <x v="62"/>
    <d v="2025-03-15T00:00:00"/>
    <x v="2"/>
    <x v="0"/>
    <x v="0"/>
    <x v="0"/>
    <x v="21"/>
    <x v="11"/>
    <x v="9"/>
    <x v="2"/>
  </r>
  <r>
    <x v="1677"/>
    <x v="6"/>
    <x v="1"/>
    <n v="53.9"/>
    <n v="107.8"/>
    <x v="62"/>
    <d v="2025-03-07T00:00:00"/>
    <x v="3"/>
    <x v="0"/>
    <x v="4"/>
    <x v="0"/>
    <x v="1"/>
    <x v="2"/>
    <x v="9"/>
    <x v="3"/>
  </r>
  <r>
    <x v="1678"/>
    <x v="2"/>
    <x v="1"/>
    <n v="87.2"/>
    <n v="174.4"/>
    <x v="62"/>
    <d v="2025-03-05T00:00:00"/>
    <x v="2"/>
    <x v="0"/>
    <x v="1"/>
    <x v="0"/>
    <x v="1"/>
    <x v="3"/>
    <x v="9"/>
    <x v="2"/>
  </r>
  <r>
    <x v="1679"/>
    <x v="15"/>
    <x v="0"/>
    <n v="58.8"/>
    <n v="58.8"/>
    <x v="62"/>
    <d v="2025-03-06T00:00:00"/>
    <x v="2"/>
    <x v="2"/>
    <x v="0"/>
    <x v="0"/>
    <x v="44"/>
    <x v="1"/>
    <x v="9"/>
    <x v="2"/>
  </r>
  <r>
    <x v="1680"/>
    <x v="2"/>
    <x v="3"/>
    <n v="125.5"/>
    <n v="878.5"/>
    <x v="62"/>
    <d v="2025-03-05T00:00:00"/>
    <x v="1"/>
    <x v="2"/>
    <x v="4"/>
    <x v="0"/>
    <x v="22"/>
    <x v="3"/>
    <x v="9"/>
    <x v="1"/>
  </r>
  <r>
    <x v="1681"/>
    <x v="1"/>
    <x v="12"/>
    <n v="124.6"/>
    <n v="498.4"/>
    <x v="62"/>
    <d v="2025-03-06T00:00:00"/>
    <x v="2"/>
    <x v="0"/>
    <x v="1"/>
    <x v="0"/>
    <x v="22"/>
    <x v="1"/>
    <x v="9"/>
    <x v="2"/>
  </r>
  <r>
    <x v="1682"/>
    <x v="1"/>
    <x v="3"/>
    <n v="39.9"/>
    <n v="279.3"/>
    <x v="62"/>
    <d v="2025-03-05T00:00:00"/>
    <x v="1"/>
    <x v="2"/>
    <x v="1"/>
    <x v="0"/>
    <x v="3"/>
    <x v="3"/>
    <x v="9"/>
    <x v="1"/>
  </r>
  <r>
    <x v="1683"/>
    <x v="6"/>
    <x v="0"/>
    <n v="94.6"/>
    <n v="94.6"/>
    <x v="62"/>
    <d v="2025-03-18T00:00:00"/>
    <x v="2"/>
    <x v="0"/>
    <x v="1"/>
    <x v="0"/>
    <x v="3"/>
    <x v="12"/>
    <x v="9"/>
    <x v="2"/>
  </r>
  <r>
    <x v="1684"/>
    <x v="2"/>
    <x v="1"/>
    <n v="149.6"/>
    <n v="299.2"/>
    <x v="62"/>
    <d v="2025-03-05T00:00:00"/>
    <x v="2"/>
    <x v="0"/>
    <x v="0"/>
    <x v="0"/>
    <x v="3"/>
    <x v="3"/>
    <x v="9"/>
    <x v="2"/>
  </r>
  <r>
    <x v="1685"/>
    <x v="8"/>
    <x v="0"/>
    <n v="52.2"/>
    <n v="52.2"/>
    <x v="62"/>
    <d v="2025-03-05T00:00:00"/>
    <x v="0"/>
    <x v="1"/>
    <x v="0"/>
    <x v="0"/>
    <x v="3"/>
    <x v="3"/>
    <x v="9"/>
    <x v="0"/>
  </r>
  <r>
    <x v="1686"/>
    <x v="6"/>
    <x v="1"/>
    <n v="96.5"/>
    <n v="193"/>
    <x v="62"/>
    <d v="2025-03-05T00:00:00"/>
    <x v="2"/>
    <x v="1"/>
    <x v="1"/>
    <x v="0"/>
    <x v="3"/>
    <x v="3"/>
    <x v="9"/>
    <x v="2"/>
  </r>
  <r>
    <x v="1687"/>
    <x v="8"/>
    <x v="1"/>
    <n v="79.8"/>
    <n v="159.6"/>
    <x v="62"/>
    <d v="2025-03-06T00:00:00"/>
    <x v="2"/>
    <x v="0"/>
    <x v="1"/>
    <x v="0"/>
    <x v="3"/>
    <x v="1"/>
    <x v="9"/>
    <x v="2"/>
  </r>
  <r>
    <x v="1688"/>
    <x v="8"/>
    <x v="2"/>
    <n v="35.6"/>
    <n v="106.80000000000001"/>
    <x v="62"/>
    <d v="2025-03-05T00:00:00"/>
    <x v="2"/>
    <x v="2"/>
    <x v="0"/>
    <x v="0"/>
    <x v="3"/>
    <x v="3"/>
    <x v="9"/>
    <x v="2"/>
  </r>
  <r>
    <x v="1689"/>
    <x v="16"/>
    <x v="0"/>
    <n v="50.2"/>
    <n v="50.2"/>
    <x v="62"/>
    <d v="2025-03-05T00:00:00"/>
    <x v="2"/>
    <x v="1"/>
    <x v="2"/>
    <x v="0"/>
    <x v="3"/>
    <x v="3"/>
    <x v="9"/>
    <x v="2"/>
  </r>
  <r>
    <x v="1690"/>
    <x v="1"/>
    <x v="2"/>
    <n v="55.3"/>
    <n v="165.89999999999998"/>
    <x v="62"/>
    <d v="2025-03-07T00:00:00"/>
    <x v="2"/>
    <x v="0"/>
    <x v="4"/>
    <x v="0"/>
    <x v="40"/>
    <x v="2"/>
    <x v="9"/>
    <x v="2"/>
  </r>
  <r>
    <x v="1691"/>
    <x v="6"/>
    <x v="3"/>
    <n v="104.5"/>
    <n v="731.5"/>
    <x v="62"/>
    <d v="2025-03-08T00:00:00"/>
    <x v="2"/>
    <x v="1"/>
    <x v="0"/>
    <x v="0"/>
    <x v="7"/>
    <x v="5"/>
    <x v="9"/>
    <x v="2"/>
  </r>
  <r>
    <x v="1692"/>
    <x v="6"/>
    <x v="12"/>
    <n v="66.5"/>
    <n v="266"/>
    <x v="62"/>
    <d v="2025-03-06T00:00:00"/>
    <x v="1"/>
    <x v="1"/>
    <x v="0"/>
    <x v="0"/>
    <x v="7"/>
    <x v="1"/>
    <x v="9"/>
    <x v="1"/>
  </r>
  <r>
    <x v="1693"/>
    <x v="10"/>
    <x v="8"/>
    <n v="38.299999999999997"/>
    <n v="306.39999999999998"/>
    <x v="62"/>
    <d v="2025-03-05T00:00:00"/>
    <x v="2"/>
    <x v="0"/>
    <x v="0"/>
    <x v="0"/>
    <x v="7"/>
    <x v="3"/>
    <x v="9"/>
    <x v="2"/>
  </r>
  <r>
    <x v="1694"/>
    <x v="6"/>
    <x v="2"/>
    <n v="63.8"/>
    <n v="191.39999999999998"/>
    <x v="62"/>
    <d v="2025-03-07T00:00:00"/>
    <x v="2"/>
    <x v="1"/>
    <x v="0"/>
    <x v="0"/>
    <x v="8"/>
    <x v="2"/>
    <x v="9"/>
    <x v="2"/>
  </r>
  <r>
    <x v="1695"/>
    <x v="15"/>
    <x v="0"/>
    <n v="21.4"/>
    <n v="21.4"/>
    <x v="62"/>
    <d v="2025-03-04T00:00:00"/>
    <x v="1"/>
    <x v="4"/>
    <x v="0"/>
    <x v="0"/>
    <x v="8"/>
    <x v="7"/>
    <x v="9"/>
    <x v="1"/>
  </r>
  <r>
    <x v="1696"/>
    <x v="8"/>
    <x v="12"/>
    <n v="44.1"/>
    <n v="176.4"/>
    <x v="62"/>
    <d v="2025-03-06T00:00:00"/>
    <x v="2"/>
    <x v="2"/>
    <x v="0"/>
    <x v="0"/>
    <x v="8"/>
    <x v="1"/>
    <x v="9"/>
    <x v="2"/>
  </r>
  <r>
    <x v="1697"/>
    <x v="5"/>
    <x v="8"/>
    <n v="57.6"/>
    <n v="460.8"/>
    <x v="62"/>
    <d v="2025-03-06T00:00:00"/>
    <x v="1"/>
    <x v="1"/>
    <x v="2"/>
    <x v="0"/>
    <x v="8"/>
    <x v="1"/>
    <x v="9"/>
    <x v="1"/>
  </r>
  <r>
    <x v="1698"/>
    <x v="9"/>
    <x v="1"/>
    <n v="20.3"/>
    <n v="40.6"/>
    <x v="62"/>
    <d v="2025-03-10T00:00:00"/>
    <x v="2"/>
    <x v="3"/>
    <x v="0"/>
    <x v="0"/>
    <x v="8"/>
    <x v="4"/>
    <x v="9"/>
    <x v="2"/>
  </r>
  <r>
    <x v="1699"/>
    <x v="8"/>
    <x v="0"/>
    <n v="22.9"/>
    <n v="22.9"/>
    <x v="62"/>
    <d v="2025-03-06T00:00:00"/>
    <x v="2"/>
    <x v="2"/>
    <x v="2"/>
    <x v="0"/>
    <x v="8"/>
    <x v="1"/>
    <x v="9"/>
    <x v="2"/>
  </r>
  <r>
    <x v="1700"/>
    <x v="6"/>
    <x v="12"/>
    <n v="105.9"/>
    <n v="423.6"/>
    <x v="62"/>
    <d v="2025-03-05T00:00:00"/>
    <x v="2"/>
    <x v="1"/>
    <x v="2"/>
    <x v="0"/>
    <x v="17"/>
    <x v="3"/>
    <x v="9"/>
    <x v="2"/>
  </r>
  <r>
    <x v="1701"/>
    <x v="1"/>
    <x v="11"/>
    <n v="37.4"/>
    <n v="336.59999999999997"/>
    <x v="62"/>
    <d v="2025-03-08T00:00:00"/>
    <x v="1"/>
    <x v="1"/>
    <x v="0"/>
    <x v="0"/>
    <x v="11"/>
    <x v="5"/>
    <x v="9"/>
    <x v="1"/>
  </r>
  <r>
    <x v="1702"/>
    <x v="18"/>
    <x v="1"/>
    <n v="79"/>
    <n v="158"/>
    <x v="62"/>
    <d v="2025-03-05T00:00:00"/>
    <x v="1"/>
    <x v="2"/>
    <x v="0"/>
    <x v="0"/>
    <x v="28"/>
    <x v="3"/>
    <x v="9"/>
    <x v="1"/>
  </r>
  <r>
    <x v="1703"/>
    <x v="0"/>
    <x v="2"/>
    <n v="19.3"/>
    <n v="57.900000000000006"/>
    <x v="62"/>
    <d v="2025-03-05T00:00:00"/>
    <x v="2"/>
    <x v="4"/>
    <x v="0"/>
    <x v="0"/>
    <x v="21"/>
    <x v="3"/>
    <x v="9"/>
    <x v="2"/>
  </r>
  <r>
    <x v="1704"/>
    <x v="0"/>
    <x v="0"/>
    <n v="24"/>
    <n v="24"/>
    <x v="62"/>
    <d v="2025-03-05T00:00:00"/>
    <x v="2"/>
    <x v="1"/>
    <x v="0"/>
    <x v="0"/>
    <x v="1"/>
    <x v="3"/>
    <x v="9"/>
    <x v="2"/>
  </r>
  <r>
    <x v="1705"/>
    <x v="6"/>
    <x v="9"/>
    <n v="71.3"/>
    <n v="356.5"/>
    <x v="62"/>
    <d v="2025-03-07T00:00:00"/>
    <x v="2"/>
    <x v="2"/>
    <x v="0"/>
    <x v="0"/>
    <x v="2"/>
    <x v="2"/>
    <x v="9"/>
    <x v="2"/>
  </r>
  <r>
    <x v="1706"/>
    <x v="5"/>
    <x v="1"/>
    <n v="166.2"/>
    <n v="332.4"/>
    <x v="62"/>
    <d v="2025-03-05T00:00:00"/>
    <x v="1"/>
    <x v="0"/>
    <x v="2"/>
    <x v="0"/>
    <x v="50"/>
    <x v="3"/>
    <x v="9"/>
    <x v="1"/>
  </r>
  <r>
    <x v="1707"/>
    <x v="6"/>
    <x v="0"/>
    <n v="81"/>
    <n v="81"/>
    <x v="62"/>
    <d v="2025-03-05T00:00:00"/>
    <x v="2"/>
    <x v="2"/>
    <x v="1"/>
    <x v="0"/>
    <x v="3"/>
    <x v="3"/>
    <x v="9"/>
    <x v="2"/>
  </r>
  <r>
    <x v="1708"/>
    <x v="10"/>
    <x v="13"/>
    <n v="38.5"/>
    <n v="231"/>
    <x v="62"/>
    <d v="2025-03-08T00:00:00"/>
    <x v="2"/>
    <x v="0"/>
    <x v="0"/>
    <x v="0"/>
    <x v="3"/>
    <x v="5"/>
    <x v="9"/>
    <x v="2"/>
  </r>
  <r>
    <x v="1709"/>
    <x v="6"/>
    <x v="0"/>
    <n v="86.1"/>
    <n v="86.1"/>
    <x v="62"/>
    <d v="2025-03-06T00:00:00"/>
    <x v="2"/>
    <x v="3"/>
    <x v="0"/>
    <x v="0"/>
    <x v="3"/>
    <x v="1"/>
    <x v="9"/>
    <x v="2"/>
  </r>
  <r>
    <x v="1710"/>
    <x v="2"/>
    <x v="9"/>
    <n v="51"/>
    <n v="255"/>
    <x v="62"/>
    <d v="2025-03-05T00:00:00"/>
    <x v="1"/>
    <x v="0"/>
    <x v="1"/>
    <x v="0"/>
    <x v="3"/>
    <x v="3"/>
    <x v="9"/>
    <x v="1"/>
  </r>
  <r>
    <x v="1711"/>
    <x v="3"/>
    <x v="9"/>
    <n v="115.4"/>
    <n v="577"/>
    <x v="62"/>
    <d v="2025-03-05T00:00:00"/>
    <x v="1"/>
    <x v="0"/>
    <x v="0"/>
    <x v="0"/>
    <x v="3"/>
    <x v="3"/>
    <x v="9"/>
    <x v="1"/>
  </r>
  <r>
    <x v="1712"/>
    <x v="6"/>
    <x v="12"/>
    <n v="176.5"/>
    <n v="706"/>
    <x v="62"/>
    <d v="2025-03-05T00:00:00"/>
    <x v="2"/>
    <x v="2"/>
    <x v="2"/>
    <x v="0"/>
    <x v="3"/>
    <x v="3"/>
    <x v="9"/>
    <x v="2"/>
  </r>
  <r>
    <x v="1713"/>
    <x v="7"/>
    <x v="2"/>
    <n v="48.9"/>
    <n v="146.69999999999999"/>
    <x v="62"/>
    <d v="2025-03-05T00:00:00"/>
    <x v="1"/>
    <x v="4"/>
    <x v="0"/>
    <x v="0"/>
    <x v="3"/>
    <x v="3"/>
    <x v="9"/>
    <x v="1"/>
  </r>
  <r>
    <x v="1714"/>
    <x v="8"/>
    <x v="2"/>
    <n v="18.100000000000001"/>
    <n v="54.300000000000004"/>
    <x v="62"/>
    <d v="2025-03-11T00:00:00"/>
    <x v="2"/>
    <x v="1"/>
    <x v="2"/>
    <x v="0"/>
    <x v="29"/>
    <x v="6"/>
    <x v="9"/>
    <x v="2"/>
  </r>
  <r>
    <x v="1715"/>
    <x v="2"/>
    <x v="1"/>
    <n v="118.5"/>
    <n v="237"/>
    <x v="62"/>
    <d v="2025-03-07T00:00:00"/>
    <x v="1"/>
    <x v="1"/>
    <x v="2"/>
    <x v="0"/>
    <x v="16"/>
    <x v="2"/>
    <x v="9"/>
    <x v="1"/>
  </r>
  <r>
    <x v="1716"/>
    <x v="15"/>
    <x v="3"/>
    <n v="59.1"/>
    <n v="413.7"/>
    <x v="62"/>
    <d v="2025-03-05T00:00:00"/>
    <x v="2"/>
    <x v="3"/>
    <x v="0"/>
    <x v="0"/>
    <x v="25"/>
    <x v="3"/>
    <x v="9"/>
    <x v="2"/>
  </r>
  <r>
    <x v="1717"/>
    <x v="4"/>
    <x v="0"/>
    <n v="21.2"/>
    <n v="21.2"/>
    <x v="62"/>
    <d v="2025-03-05T00:00:00"/>
    <x v="2"/>
    <x v="0"/>
    <x v="1"/>
    <x v="0"/>
    <x v="6"/>
    <x v="3"/>
    <x v="9"/>
    <x v="2"/>
  </r>
  <r>
    <x v="1718"/>
    <x v="6"/>
    <x v="1"/>
    <n v="68.8"/>
    <n v="137.6"/>
    <x v="62"/>
    <d v="2025-03-09T00:00:00"/>
    <x v="2"/>
    <x v="3"/>
    <x v="2"/>
    <x v="0"/>
    <x v="6"/>
    <x v="0"/>
    <x v="9"/>
    <x v="2"/>
  </r>
  <r>
    <x v="1719"/>
    <x v="6"/>
    <x v="1"/>
    <n v="65.400000000000006"/>
    <n v="130.80000000000001"/>
    <x v="62"/>
    <d v="2025-03-08T00:00:00"/>
    <x v="2"/>
    <x v="0"/>
    <x v="0"/>
    <x v="0"/>
    <x v="6"/>
    <x v="5"/>
    <x v="9"/>
    <x v="2"/>
  </r>
  <r>
    <x v="1720"/>
    <x v="12"/>
    <x v="9"/>
    <n v="66.3"/>
    <n v="331.5"/>
    <x v="63"/>
    <d v="2025-03-08T00:00:00"/>
    <x v="2"/>
    <x v="4"/>
    <x v="0"/>
    <x v="0"/>
    <x v="6"/>
    <x v="2"/>
    <x v="9"/>
    <x v="2"/>
  </r>
  <r>
    <x v="1721"/>
    <x v="6"/>
    <x v="2"/>
    <n v="97.5"/>
    <n v="292.5"/>
    <x v="63"/>
    <d v="2025-03-05T00:00:00"/>
    <x v="1"/>
    <x v="3"/>
    <x v="0"/>
    <x v="0"/>
    <x v="8"/>
    <x v="7"/>
    <x v="9"/>
    <x v="1"/>
  </r>
  <r>
    <x v="1722"/>
    <x v="1"/>
    <x v="1"/>
    <n v="44"/>
    <n v="88"/>
    <x v="63"/>
    <d v="2025-03-08T00:00:00"/>
    <x v="2"/>
    <x v="1"/>
    <x v="2"/>
    <x v="0"/>
    <x v="8"/>
    <x v="2"/>
    <x v="9"/>
    <x v="2"/>
  </r>
  <r>
    <x v="1723"/>
    <x v="0"/>
    <x v="0"/>
    <n v="21.9"/>
    <n v="21.9"/>
    <x v="63"/>
    <d v="2025-03-06T00:00:00"/>
    <x v="1"/>
    <x v="0"/>
    <x v="0"/>
    <x v="0"/>
    <x v="8"/>
    <x v="3"/>
    <x v="9"/>
    <x v="1"/>
  </r>
  <r>
    <x v="1724"/>
    <x v="4"/>
    <x v="3"/>
    <n v="21.5"/>
    <n v="150.5"/>
    <x v="63"/>
    <d v="2025-03-07T00:00:00"/>
    <x v="2"/>
    <x v="1"/>
    <x v="2"/>
    <x v="0"/>
    <x v="9"/>
    <x v="1"/>
    <x v="9"/>
    <x v="2"/>
  </r>
  <r>
    <x v="1725"/>
    <x v="12"/>
    <x v="13"/>
    <n v="133"/>
    <n v="798"/>
    <x v="63"/>
    <d v="2025-03-06T00:00:00"/>
    <x v="3"/>
    <x v="0"/>
    <x v="2"/>
    <x v="0"/>
    <x v="10"/>
    <x v="3"/>
    <x v="9"/>
    <x v="3"/>
  </r>
  <r>
    <x v="1726"/>
    <x v="8"/>
    <x v="1"/>
    <n v="47.7"/>
    <n v="95.4"/>
    <x v="63"/>
    <d v="2025-03-09T00:00:00"/>
    <x v="1"/>
    <x v="0"/>
    <x v="2"/>
    <x v="0"/>
    <x v="10"/>
    <x v="5"/>
    <x v="9"/>
    <x v="1"/>
  </r>
  <r>
    <x v="1727"/>
    <x v="16"/>
    <x v="2"/>
    <n v="58.1"/>
    <n v="174.3"/>
    <x v="63"/>
    <d v="2025-03-06T00:00:00"/>
    <x v="2"/>
    <x v="0"/>
    <x v="0"/>
    <x v="0"/>
    <x v="11"/>
    <x v="3"/>
    <x v="9"/>
    <x v="2"/>
  </r>
  <r>
    <x v="1728"/>
    <x v="12"/>
    <x v="12"/>
    <n v="66.599999999999994"/>
    <n v="266.39999999999998"/>
    <x v="63"/>
    <d v="2025-03-06T00:00:00"/>
    <x v="0"/>
    <x v="0"/>
    <x v="0"/>
    <x v="0"/>
    <x v="11"/>
    <x v="3"/>
    <x v="9"/>
    <x v="0"/>
  </r>
  <r>
    <x v="1729"/>
    <x v="9"/>
    <x v="0"/>
    <n v="24.1"/>
    <n v="24.1"/>
    <x v="63"/>
    <d v="2025-03-08T00:00:00"/>
    <x v="1"/>
    <x v="2"/>
    <x v="1"/>
    <x v="0"/>
    <x v="19"/>
    <x v="2"/>
    <x v="9"/>
    <x v="1"/>
  </r>
  <r>
    <x v="1730"/>
    <x v="10"/>
    <x v="9"/>
    <n v="51.5"/>
    <n v="257.5"/>
    <x v="63"/>
    <d v="2025-03-10T00:00:00"/>
    <x v="2"/>
    <x v="0"/>
    <x v="0"/>
    <x v="0"/>
    <x v="13"/>
    <x v="0"/>
    <x v="9"/>
    <x v="2"/>
  </r>
  <r>
    <x v="1731"/>
    <x v="0"/>
    <x v="5"/>
    <n v="25.8"/>
    <n v="283.8"/>
    <x v="63"/>
    <d v="2025-03-09T00:00:00"/>
    <x v="2"/>
    <x v="3"/>
    <x v="4"/>
    <x v="0"/>
    <x v="21"/>
    <x v="5"/>
    <x v="9"/>
    <x v="2"/>
  </r>
  <r>
    <x v="1732"/>
    <x v="9"/>
    <x v="12"/>
    <n v="47.7"/>
    <n v="190.8"/>
    <x v="63"/>
    <d v="2025-03-05T00:00:00"/>
    <x v="2"/>
    <x v="0"/>
    <x v="1"/>
    <x v="0"/>
    <x v="21"/>
    <x v="7"/>
    <x v="9"/>
    <x v="2"/>
  </r>
  <r>
    <x v="1733"/>
    <x v="7"/>
    <x v="9"/>
    <n v="73.599999999999994"/>
    <n v="368"/>
    <x v="63"/>
    <d v="2025-03-09T00:00:00"/>
    <x v="1"/>
    <x v="1"/>
    <x v="0"/>
    <x v="0"/>
    <x v="21"/>
    <x v="5"/>
    <x v="9"/>
    <x v="1"/>
  </r>
  <r>
    <x v="1734"/>
    <x v="5"/>
    <x v="3"/>
    <n v="91.2"/>
    <n v="638.4"/>
    <x v="63"/>
    <d v="2025-03-06T00:00:00"/>
    <x v="1"/>
    <x v="1"/>
    <x v="2"/>
    <x v="0"/>
    <x v="21"/>
    <x v="3"/>
    <x v="9"/>
    <x v="1"/>
  </r>
  <r>
    <x v="1735"/>
    <x v="1"/>
    <x v="8"/>
    <n v="36.200000000000003"/>
    <n v="289.60000000000002"/>
    <x v="63"/>
    <d v="2025-03-05T00:00:00"/>
    <x v="1"/>
    <x v="2"/>
    <x v="2"/>
    <x v="0"/>
    <x v="1"/>
    <x v="7"/>
    <x v="9"/>
    <x v="1"/>
  </r>
  <r>
    <x v="1736"/>
    <x v="9"/>
    <x v="8"/>
    <n v="98"/>
    <n v="784"/>
    <x v="63"/>
    <d v="2025-03-09T00:00:00"/>
    <x v="2"/>
    <x v="2"/>
    <x v="0"/>
    <x v="0"/>
    <x v="2"/>
    <x v="5"/>
    <x v="9"/>
    <x v="2"/>
  </r>
  <r>
    <x v="1737"/>
    <x v="1"/>
    <x v="8"/>
    <n v="43.6"/>
    <n v="348.8"/>
    <x v="63"/>
    <d v="2025-03-06T00:00:00"/>
    <x v="2"/>
    <x v="2"/>
    <x v="0"/>
    <x v="0"/>
    <x v="22"/>
    <x v="3"/>
    <x v="9"/>
    <x v="2"/>
  </r>
  <r>
    <x v="1738"/>
    <x v="8"/>
    <x v="7"/>
    <n v="37.799999999999997"/>
    <n v="378"/>
    <x v="63"/>
    <d v="2025-03-05T00:00:00"/>
    <x v="3"/>
    <x v="0"/>
    <x v="0"/>
    <x v="0"/>
    <x v="50"/>
    <x v="7"/>
    <x v="9"/>
    <x v="3"/>
  </r>
  <r>
    <x v="1739"/>
    <x v="17"/>
    <x v="9"/>
    <n v="63.7"/>
    <n v="318.5"/>
    <x v="63"/>
    <d v="2025-03-08T00:00:00"/>
    <x v="2"/>
    <x v="2"/>
    <x v="1"/>
    <x v="0"/>
    <x v="3"/>
    <x v="2"/>
    <x v="9"/>
    <x v="2"/>
  </r>
  <r>
    <x v="1740"/>
    <x v="5"/>
    <x v="11"/>
    <n v="62.9"/>
    <n v="566.1"/>
    <x v="63"/>
    <d v="2025-03-10T00:00:00"/>
    <x v="1"/>
    <x v="3"/>
    <x v="2"/>
    <x v="0"/>
    <x v="3"/>
    <x v="0"/>
    <x v="9"/>
    <x v="1"/>
  </r>
  <r>
    <x v="1741"/>
    <x v="6"/>
    <x v="3"/>
    <n v="61.7"/>
    <n v="431.90000000000003"/>
    <x v="63"/>
    <d v="2025-03-08T00:00:00"/>
    <x v="2"/>
    <x v="2"/>
    <x v="2"/>
    <x v="0"/>
    <x v="3"/>
    <x v="2"/>
    <x v="9"/>
    <x v="2"/>
  </r>
  <r>
    <x v="1742"/>
    <x v="18"/>
    <x v="21"/>
    <n v="36.5"/>
    <n v="511"/>
    <x v="63"/>
    <d v="2025-03-06T00:00:00"/>
    <x v="1"/>
    <x v="0"/>
    <x v="2"/>
    <x v="0"/>
    <x v="3"/>
    <x v="3"/>
    <x v="9"/>
    <x v="1"/>
  </r>
  <r>
    <x v="1743"/>
    <x v="11"/>
    <x v="2"/>
    <n v="98.6"/>
    <n v="295.79999999999995"/>
    <x v="63"/>
    <d v="2025-03-08T00:00:00"/>
    <x v="3"/>
    <x v="0"/>
    <x v="4"/>
    <x v="0"/>
    <x v="3"/>
    <x v="2"/>
    <x v="9"/>
    <x v="3"/>
  </r>
  <r>
    <x v="1744"/>
    <x v="8"/>
    <x v="1"/>
    <n v="19.2"/>
    <n v="38.4"/>
    <x v="63"/>
    <d v="2025-03-15T00:00:00"/>
    <x v="1"/>
    <x v="0"/>
    <x v="0"/>
    <x v="0"/>
    <x v="3"/>
    <x v="14"/>
    <x v="9"/>
    <x v="1"/>
  </r>
  <r>
    <x v="1745"/>
    <x v="3"/>
    <x v="13"/>
    <n v="55.6"/>
    <n v="333.6"/>
    <x v="63"/>
    <d v="2025-03-09T00:00:00"/>
    <x v="2"/>
    <x v="0"/>
    <x v="2"/>
    <x v="0"/>
    <x v="3"/>
    <x v="5"/>
    <x v="9"/>
    <x v="2"/>
  </r>
  <r>
    <x v="1746"/>
    <x v="5"/>
    <x v="13"/>
    <n v="56.4"/>
    <n v="338.4"/>
    <x v="63"/>
    <d v="2025-03-06T00:00:00"/>
    <x v="2"/>
    <x v="1"/>
    <x v="0"/>
    <x v="0"/>
    <x v="3"/>
    <x v="3"/>
    <x v="9"/>
    <x v="2"/>
  </r>
  <r>
    <x v="1747"/>
    <x v="4"/>
    <x v="8"/>
    <n v="43.1"/>
    <n v="344.8"/>
    <x v="63"/>
    <d v="2025-03-09T00:00:00"/>
    <x v="2"/>
    <x v="4"/>
    <x v="0"/>
    <x v="0"/>
    <x v="3"/>
    <x v="5"/>
    <x v="9"/>
    <x v="2"/>
  </r>
  <r>
    <x v="1748"/>
    <x v="1"/>
    <x v="1"/>
    <n v="77.3"/>
    <n v="154.6"/>
    <x v="63"/>
    <d v="2025-03-07T00:00:00"/>
    <x v="1"/>
    <x v="0"/>
    <x v="0"/>
    <x v="0"/>
    <x v="6"/>
    <x v="1"/>
    <x v="9"/>
    <x v="1"/>
  </r>
  <r>
    <x v="1749"/>
    <x v="9"/>
    <x v="8"/>
    <n v="38.299999999999997"/>
    <n v="306.39999999999998"/>
    <x v="63"/>
    <d v="2025-03-06T00:00:00"/>
    <x v="1"/>
    <x v="0"/>
    <x v="0"/>
    <x v="0"/>
    <x v="7"/>
    <x v="3"/>
    <x v="9"/>
    <x v="1"/>
  </r>
  <r>
    <x v="1750"/>
    <x v="0"/>
    <x v="3"/>
    <n v="16.8"/>
    <n v="117.60000000000001"/>
    <x v="63"/>
    <d v="2025-03-08T00:00:00"/>
    <x v="1"/>
    <x v="2"/>
    <x v="1"/>
    <x v="0"/>
    <x v="8"/>
    <x v="2"/>
    <x v="9"/>
    <x v="1"/>
  </r>
  <r>
    <x v="1751"/>
    <x v="2"/>
    <x v="2"/>
    <n v="63.2"/>
    <n v="189.60000000000002"/>
    <x v="63"/>
    <d v="2025-03-06T00:00:00"/>
    <x v="2"/>
    <x v="0"/>
    <x v="2"/>
    <x v="0"/>
    <x v="8"/>
    <x v="3"/>
    <x v="9"/>
    <x v="2"/>
  </r>
  <r>
    <x v="1752"/>
    <x v="14"/>
    <x v="44"/>
    <n v="39.700000000000003"/>
    <n v="913.1"/>
    <x v="63"/>
    <d v="2025-03-06T00:00:00"/>
    <x v="1"/>
    <x v="0"/>
    <x v="0"/>
    <x v="0"/>
    <x v="8"/>
    <x v="3"/>
    <x v="9"/>
    <x v="1"/>
  </r>
  <r>
    <x v="1753"/>
    <x v="10"/>
    <x v="2"/>
    <n v="45.8"/>
    <n v="137.39999999999998"/>
    <x v="63"/>
    <d v="2025-03-06T00:00:00"/>
    <x v="2"/>
    <x v="1"/>
    <x v="2"/>
    <x v="0"/>
    <x v="8"/>
    <x v="3"/>
    <x v="9"/>
    <x v="2"/>
  </r>
  <r>
    <x v="1754"/>
    <x v="0"/>
    <x v="13"/>
    <n v="12.4"/>
    <n v="74.400000000000006"/>
    <x v="63"/>
    <d v="2025-03-08T00:00:00"/>
    <x v="1"/>
    <x v="0"/>
    <x v="0"/>
    <x v="0"/>
    <x v="8"/>
    <x v="2"/>
    <x v="9"/>
    <x v="1"/>
  </r>
  <r>
    <x v="1755"/>
    <x v="14"/>
    <x v="2"/>
    <n v="50.8"/>
    <n v="152.39999999999998"/>
    <x v="64"/>
    <d v="2025-03-06T00:00:00"/>
    <x v="2"/>
    <x v="4"/>
    <x v="0"/>
    <x v="0"/>
    <x v="17"/>
    <x v="7"/>
    <x v="9"/>
    <x v="2"/>
  </r>
  <r>
    <x v="1756"/>
    <x v="9"/>
    <x v="0"/>
    <n v="76"/>
    <n v="76"/>
    <x v="64"/>
    <d v="2025-03-10T00:00:00"/>
    <x v="3"/>
    <x v="2"/>
    <x v="2"/>
    <x v="0"/>
    <x v="17"/>
    <x v="5"/>
    <x v="9"/>
    <x v="3"/>
  </r>
  <r>
    <x v="1757"/>
    <x v="1"/>
    <x v="1"/>
    <n v="51.9"/>
    <n v="103.8"/>
    <x v="64"/>
    <d v="2025-03-07T00:00:00"/>
    <x v="1"/>
    <x v="1"/>
    <x v="2"/>
    <x v="0"/>
    <x v="26"/>
    <x v="3"/>
    <x v="9"/>
    <x v="1"/>
  </r>
  <r>
    <x v="1758"/>
    <x v="2"/>
    <x v="1"/>
    <n v="93.4"/>
    <n v="186.8"/>
    <x v="64"/>
    <d v="2025-03-13T00:00:00"/>
    <x v="1"/>
    <x v="0"/>
    <x v="3"/>
    <x v="0"/>
    <x v="11"/>
    <x v="6"/>
    <x v="9"/>
    <x v="1"/>
  </r>
  <r>
    <x v="1759"/>
    <x v="7"/>
    <x v="13"/>
    <n v="30.8"/>
    <n v="184.8"/>
    <x v="64"/>
    <d v="2025-03-09T00:00:00"/>
    <x v="2"/>
    <x v="1"/>
    <x v="0"/>
    <x v="0"/>
    <x v="11"/>
    <x v="2"/>
    <x v="9"/>
    <x v="2"/>
  </r>
  <r>
    <x v="1760"/>
    <x v="2"/>
    <x v="0"/>
    <n v="143.19999999999999"/>
    <n v="143.19999999999999"/>
    <x v="64"/>
    <d v="2025-03-09T00:00:00"/>
    <x v="1"/>
    <x v="2"/>
    <x v="0"/>
    <x v="0"/>
    <x v="11"/>
    <x v="2"/>
    <x v="9"/>
    <x v="1"/>
  </r>
  <r>
    <x v="1761"/>
    <x v="6"/>
    <x v="5"/>
    <n v="40.4"/>
    <n v="444.4"/>
    <x v="64"/>
    <d v="2025-03-08T00:00:00"/>
    <x v="1"/>
    <x v="2"/>
    <x v="2"/>
    <x v="0"/>
    <x v="18"/>
    <x v="1"/>
    <x v="9"/>
    <x v="1"/>
  </r>
  <r>
    <x v="1762"/>
    <x v="2"/>
    <x v="10"/>
    <n v="131.5"/>
    <n v="2498.5"/>
    <x v="64"/>
    <d v="2025-03-08T00:00:00"/>
    <x v="1"/>
    <x v="1"/>
    <x v="1"/>
    <x v="0"/>
    <x v="18"/>
    <x v="1"/>
    <x v="9"/>
    <x v="1"/>
  </r>
  <r>
    <x v="1763"/>
    <x v="18"/>
    <x v="3"/>
    <n v="61.6"/>
    <n v="431.2"/>
    <x v="64"/>
    <d v="2025-03-07T00:00:00"/>
    <x v="1"/>
    <x v="2"/>
    <x v="0"/>
    <x v="0"/>
    <x v="21"/>
    <x v="3"/>
    <x v="9"/>
    <x v="1"/>
  </r>
  <r>
    <x v="1764"/>
    <x v="9"/>
    <x v="9"/>
    <n v="32.700000000000003"/>
    <n v="163.5"/>
    <x v="64"/>
    <d v="2025-03-08T00:00:00"/>
    <x v="1"/>
    <x v="2"/>
    <x v="0"/>
    <x v="0"/>
    <x v="1"/>
    <x v="1"/>
    <x v="9"/>
    <x v="1"/>
  </r>
  <r>
    <x v="1765"/>
    <x v="0"/>
    <x v="7"/>
    <n v="13.7"/>
    <n v="137"/>
    <x v="64"/>
    <d v="2025-03-07T00:00:00"/>
    <x v="1"/>
    <x v="0"/>
    <x v="2"/>
    <x v="0"/>
    <x v="3"/>
    <x v="3"/>
    <x v="9"/>
    <x v="1"/>
  </r>
  <r>
    <x v="1766"/>
    <x v="0"/>
    <x v="12"/>
    <n v="32.1"/>
    <n v="128.4"/>
    <x v="64"/>
    <d v="2025-03-07T00:00:00"/>
    <x v="1"/>
    <x v="4"/>
    <x v="1"/>
    <x v="0"/>
    <x v="3"/>
    <x v="3"/>
    <x v="9"/>
    <x v="1"/>
  </r>
  <r>
    <x v="1767"/>
    <x v="14"/>
    <x v="8"/>
    <n v="12"/>
    <n v="96"/>
    <x v="64"/>
    <d v="2025-03-07T00:00:00"/>
    <x v="1"/>
    <x v="1"/>
    <x v="0"/>
    <x v="0"/>
    <x v="24"/>
    <x v="3"/>
    <x v="9"/>
    <x v="1"/>
  </r>
  <r>
    <x v="1768"/>
    <x v="12"/>
    <x v="0"/>
    <n v="64.3"/>
    <n v="64.3"/>
    <x v="64"/>
    <d v="2025-03-08T00:00:00"/>
    <x v="2"/>
    <x v="2"/>
    <x v="2"/>
    <x v="0"/>
    <x v="6"/>
    <x v="1"/>
    <x v="9"/>
    <x v="2"/>
  </r>
  <r>
    <x v="1769"/>
    <x v="1"/>
    <x v="2"/>
    <n v="58.2"/>
    <n v="174.60000000000002"/>
    <x v="64"/>
    <d v="2025-03-08T00:00:00"/>
    <x v="2"/>
    <x v="1"/>
    <x v="2"/>
    <x v="0"/>
    <x v="6"/>
    <x v="1"/>
    <x v="9"/>
    <x v="2"/>
  </r>
  <r>
    <x v="1770"/>
    <x v="6"/>
    <x v="12"/>
    <n v="59.2"/>
    <n v="236.8"/>
    <x v="64"/>
    <d v="2025-03-06T00:00:00"/>
    <x v="1"/>
    <x v="1"/>
    <x v="2"/>
    <x v="0"/>
    <x v="6"/>
    <x v="7"/>
    <x v="9"/>
    <x v="1"/>
  </r>
  <r>
    <x v="1771"/>
    <x v="10"/>
    <x v="5"/>
    <n v="35.6"/>
    <n v="391.6"/>
    <x v="64"/>
    <d v="2025-03-13T00:00:00"/>
    <x v="1"/>
    <x v="0"/>
    <x v="2"/>
    <x v="0"/>
    <x v="8"/>
    <x v="6"/>
    <x v="9"/>
    <x v="1"/>
  </r>
  <r>
    <x v="1772"/>
    <x v="16"/>
    <x v="8"/>
    <n v="37"/>
    <n v="296"/>
    <x v="64"/>
    <d v="2025-03-10T00:00:00"/>
    <x v="2"/>
    <x v="2"/>
    <x v="1"/>
    <x v="0"/>
    <x v="8"/>
    <x v="5"/>
    <x v="9"/>
    <x v="2"/>
  </r>
  <r>
    <x v="1773"/>
    <x v="1"/>
    <x v="15"/>
    <n v="80.8"/>
    <n v="1050.3999999999999"/>
    <x v="64"/>
    <d v="2025-03-08T00:00:00"/>
    <x v="2"/>
    <x v="0"/>
    <x v="0"/>
    <x v="0"/>
    <x v="8"/>
    <x v="1"/>
    <x v="9"/>
    <x v="2"/>
  </r>
  <r>
    <x v="1774"/>
    <x v="8"/>
    <x v="1"/>
    <n v="63.2"/>
    <n v="126.4"/>
    <x v="64"/>
    <d v="2025-03-07T00:00:00"/>
    <x v="1"/>
    <x v="0"/>
    <x v="1"/>
    <x v="0"/>
    <x v="8"/>
    <x v="3"/>
    <x v="9"/>
    <x v="1"/>
  </r>
  <r>
    <x v="1775"/>
    <x v="3"/>
    <x v="1"/>
    <n v="40.799999999999997"/>
    <n v="81.599999999999994"/>
    <x v="64"/>
    <d v="2025-03-08T00:00:00"/>
    <x v="1"/>
    <x v="0"/>
    <x v="1"/>
    <x v="0"/>
    <x v="17"/>
    <x v="1"/>
    <x v="9"/>
    <x v="1"/>
  </r>
  <r>
    <x v="1776"/>
    <x v="13"/>
    <x v="13"/>
    <n v="25.7"/>
    <n v="154.19999999999999"/>
    <x v="64"/>
    <d v="2025-03-08T00:00:00"/>
    <x v="1"/>
    <x v="4"/>
    <x v="0"/>
    <x v="0"/>
    <x v="18"/>
    <x v="1"/>
    <x v="9"/>
    <x v="1"/>
  </r>
  <r>
    <x v="1777"/>
    <x v="16"/>
    <x v="1"/>
    <n v="49.9"/>
    <n v="99.8"/>
    <x v="64"/>
    <d v="2025-03-09T00:00:00"/>
    <x v="1"/>
    <x v="0"/>
    <x v="0"/>
    <x v="0"/>
    <x v="20"/>
    <x v="2"/>
    <x v="9"/>
    <x v="1"/>
  </r>
  <r>
    <x v="1778"/>
    <x v="8"/>
    <x v="1"/>
    <n v="20.2"/>
    <n v="40.4"/>
    <x v="64"/>
    <d v="2025-03-08T00:00:00"/>
    <x v="2"/>
    <x v="3"/>
    <x v="0"/>
    <x v="0"/>
    <x v="21"/>
    <x v="1"/>
    <x v="9"/>
    <x v="2"/>
  </r>
  <r>
    <x v="1779"/>
    <x v="6"/>
    <x v="2"/>
    <n v="48.4"/>
    <n v="145.19999999999999"/>
    <x v="64"/>
    <d v="2025-03-11T00:00:00"/>
    <x v="2"/>
    <x v="0"/>
    <x v="2"/>
    <x v="0"/>
    <x v="21"/>
    <x v="0"/>
    <x v="9"/>
    <x v="2"/>
  </r>
  <r>
    <x v="1780"/>
    <x v="6"/>
    <x v="1"/>
    <n v="81"/>
    <n v="162"/>
    <x v="64"/>
    <d v="2025-03-07T00:00:00"/>
    <x v="2"/>
    <x v="1"/>
    <x v="2"/>
    <x v="0"/>
    <x v="21"/>
    <x v="3"/>
    <x v="9"/>
    <x v="2"/>
  </r>
  <r>
    <x v="1781"/>
    <x v="8"/>
    <x v="13"/>
    <n v="19.899999999999999"/>
    <n v="119.39999999999999"/>
    <x v="64"/>
    <d v="2025-03-09T00:00:00"/>
    <x v="2"/>
    <x v="0"/>
    <x v="1"/>
    <x v="0"/>
    <x v="22"/>
    <x v="2"/>
    <x v="9"/>
    <x v="2"/>
  </r>
  <r>
    <x v="1782"/>
    <x v="4"/>
    <x v="12"/>
    <n v="32.200000000000003"/>
    <n v="128.80000000000001"/>
    <x v="64"/>
    <d v="2025-03-16T00:00:00"/>
    <x v="1"/>
    <x v="0"/>
    <x v="0"/>
    <x v="0"/>
    <x v="22"/>
    <x v="14"/>
    <x v="9"/>
    <x v="1"/>
  </r>
  <r>
    <x v="1783"/>
    <x v="5"/>
    <x v="2"/>
    <n v="76.8"/>
    <n v="230.39999999999998"/>
    <x v="64"/>
    <d v="2025-03-07T00:00:00"/>
    <x v="2"/>
    <x v="0"/>
    <x v="1"/>
    <x v="0"/>
    <x v="3"/>
    <x v="3"/>
    <x v="9"/>
    <x v="2"/>
  </r>
  <r>
    <x v="1784"/>
    <x v="6"/>
    <x v="1"/>
    <n v="41.9"/>
    <n v="83.8"/>
    <x v="64"/>
    <d v="2025-03-08T00:00:00"/>
    <x v="2"/>
    <x v="0"/>
    <x v="0"/>
    <x v="0"/>
    <x v="3"/>
    <x v="1"/>
    <x v="9"/>
    <x v="2"/>
  </r>
  <r>
    <x v="1785"/>
    <x v="0"/>
    <x v="3"/>
    <n v="34"/>
    <n v="238"/>
    <x v="64"/>
    <d v="2025-03-08T00:00:00"/>
    <x v="2"/>
    <x v="1"/>
    <x v="2"/>
    <x v="0"/>
    <x v="3"/>
    <x v="1"/>
    <x v="9"/>
    <x v="2"/>
  </r>
  <r>
    <x v="1786"/>
    <x v="7"/>
    <x v="3"/>
    <n v="61.3"/>
    <n v="429.09999999999997"/>
    <x v="64"/>
    <d v="2025-03-06T00:00:00"/>
    <x v="2"/>
    <x v="4"/>
    <x v="2"/>
    <x v="0"/>
    <x v="3"/>
    <x v="7"/>
    <x v="9"/>
    <x v="2"/>
  </r>
  <r>
    <x v="1787"/>
    <x v="9"/>
    <x v="0"/>
    <n v="54.7"/>
    <n v="54.7"/>
    <x v="65"/>
    <d v="2025-03-08T00:00:00"/>
    <x v="1"/>
    <x v="0"/>
    <x v="1"/>
    <x v="0"/>
    <x v="3"/>
    <x v="3"/>
    <x v="9"/>
    <x v="1"/>
  </r>
  <r>
    <x v="1788"/>
    <x v="6"/>
    <x v="7"/>
    <n v="84.7"/>
    <n v="847"/>
    <x v="65"/>
    <d v="2025-03-11T00:00:00"/>
    <x v="2"/>
    <x v="0"/>
    <x v="0"/>
    <x v="0"/>
    <x v="3"/>
    <x v="5"/>
    <x v="9"/>
    <x v="2"/>
  </r>
  <r>
    <x v="1789"/>
    <x v="1"/>
    <x v="2"/>
    <n v="93.4"/>
    <n v="280.20000000000005"/>
    <x v="65"/>
    <d v="2025-03-11T00:00:00"/>
    <x v="2"/>
    <x v="3"/>
    <x v="0"/>
    <x v="0"/>
    <x v="3"/>
    <x v="5"/>
    <x v="9"/>
    <x v="2"/>
  </r>
  <r>
    <x v="1790"/>
    <x v="8"/>
    <x v="9"/>
    <n v="27"/>
    <n v="135"/>
    <x v="65"/>
    <d v="2025-03-10T00:00:00"/>
    <x v="1"/>
    <x v="0"/>
    <x v="1"/>
    <x v="0"/>
    <x v="3"/>
    <x v="2"/>
    <x v="9"/>
    <x v="1"/>
  </r>
  <r>
    <x v="1791"/>
    <x v="0"/>
    <x v="12"/>
    <n v="10.9"/>
    <n v="43.6"/>
    <x v="65"/>
    <d v="2025-03-08T00:00:00"/>
    <x v="1"/>
    <x v="2"/>
    <x v="0"/>
    <x v="0"/>
    <x v="3"/>
    <x v="3"/>
    <x v="9"/>
    <x v="1"/>
  </r>
  <r>
    <x v="1792"/>
    <x v="16"/>
    <x v="2"/>
    <n v="48"/>
    <n v="144"/>
    <x v="65"/>
    <d v="2025-03-12T00:00:00"/>
    <x v="2"/>
    <x v="4"/>
    <x v="0"/>
    <x v="0"/>
    <x v="3"/>
    <x v="0"/>
    <x v="9"/>
    <x v="2"/>
  </r>
  <r>
    <x v="1793"/>
    <x v="5"/>
    <x v="1"/>
    <n v="67.900000000000006"/>
    <n v="135.80000000000001"/>
    <x v="65"/>
    <d v="2025-03-08T00:00:00"/>
    <x v="1"/>
    <x v="0"/>
    <x v="2"/>
    <x v="0"/>
    <x v="23"/>
    <x v="3"/>
    <x v="9"/>
    <x v="1"/>
  </r>
  <r>
    <x v="1794"/>
    <x v="4"/>
    <x v="2"/>
    <n v="36"/>
    <n v="108"/>
    <x v="65"/>
    <d v="2025-03-08T00:00:00"/>
    <x v="1"/>
    <x v="1"/>
    <x v="0"/>
    <x v="0"/>
    <x v="6"/>
    <x v="3"/>
    <x v="9"/>
    <x v="1"/>
  </r>
  <r>
    <x v="1795"/>
    <x v="2"/>
    <x v="0"/>
    <n v="128.80000000000001"/>
    <n v="128.80000000000001"/>
    <x v="65"/>
    <d v="2025-03-08T00:00:00"/>
    <x v="1"/>
    <x v="4"/>
    <x v="2"/>
    <x v="0"/>
    <x v="6"/>
    <x v="3"/>
    <x v="9"/>
    <x v="1"/>
  </r>
  <r>
    <x v="1796"/>
    <x v="18"/>
    <x v="3"/>
    <n v="33.299999999999997"/>
    <n v="233.09999999999997"/>
    <x v="65"/>
    <d v="2025-03-08T00:00:00"/>
    <x v="2"/>
    <x v="3"/>
    <x v="0"/>
    <x v="0"/>
    <x v="8"/>
    <x v="3"/>
    <x v="9"/>
    <x v="2"/>
  </r>
  <r>
    <x v="1797"/>
    <x v="10"/>
    <x v="2"/>
    <n v="37.799999999999997"/>
    <n v="113.39999999999999"/>
    <x v="65"/>
    <d v="2025-03-09T00:00:00"/>
    <x v="1"/>
    <x v="1"/>
    <x v="2"/>
    <x v="0"/>
    <x v="8"/>
    <x v="1"/>
    <x v="9"/>
    <x v="1"/>
  </r>
  <r>
    <x v="1798"/>
    <x v="5"/>
    <x v="2"/>
    <n v="26"/>
    <n v="78"/>
    <x v="65"/>
    <d v="2025-03-12T00:00:00"/>
    <x v="2"/>
    <x v="0"/>
    <x v="0"/>
    <x v="0"/>
    <x v="8"/>
    <x v="0"/>
    <x v="9"/>
    <x v="2"/>
  </r>
  <r>
    <x v="1799"/>
    <x v="8"/>
    <x v="10"/>
    <n v="28.3"/>
    <n v="537.70000000000005"/>
    <x v="65"/>
    <d v="2025-03-08T00:00:00"/>
    <x v="2"/>
    <x v="3"/>
    <x v="4"/>
    <x v="0"/>
    <x v="8"/>
    <x v="3"/>
    <x v="9"/>
    <x v="2"/>
  </r>
  <r>
    <x v="1800"/>
    <x v="8"/>
    <x v="12"/>
    <n v="31.3"/>
    <n v="125.2"/>
    <x v="65"/>
    <d v="2025-03-07T00:00:00"/>
    <x v="2"/>
    <x v="0"/>
    <x v="0"/>
    <x v="0"/>
    <x v="8"/>
    <x v="7"/>
    <x v="9"/>
    <x v="2"/>
  </r>
  <r>
    <x v="1801"/>
    <x v="7"/>
    <x v="2"/>
    <n v="69.5"/>
    <n v="208.5"/>
    <x v="65"/>
    <d v="2025-03-08T00:00:00"/>
    <x v="2"/>
    <x v="3"/>
    <x v="2"/>
    <x v="0"/>
    <x v="8"/>
    <x v="3"/>
    <x v="9"/>
    <x v="2"/>
  </r>
  <r>
    <x v="1802"/>
    <x v="0"/>
    <x v="1"/>
    <n v="16.7"/>
    <n v="33.4"/>
    <x v="65"/>
    <d v="2025-03-08T00:00:00"/>
    <x v="2"/>
    <x v="3"/>
    <x v="1"/>
    <x v="0"/>
    <x v="8"/>
    <x v="3"/>
    <x v="9"/>
    <x v="2"/>
  </r>
  <r>
    <x v="1803"/>
    <x v="9"/>
    <x v="1"/>
    <n v="62.6"/>
    <n v="125.2"/>
    <x v="65"/>
    <d v="2025-03-08T00:00:00"/>
    <x v="1"/>
    <x v="2"/>
    <x v="2"/>
    <x v="0"/>
    <x v="9"/>
    <x v="3"/>
    <x v="9"/>
    <x v="1"/>
  </r>
  <r>
    <x v="1804"/>
    <x v="7"/>
    <x v="0"/>
    <n v="81.2"/>
    <n v="81.2"/>
    <x v="65"/>
    <d v="2025-03-13T00:00:00"/>
    <x v="1"/>
    <x v="4"/>
    <x v="4"/>
    <x v="0"/>
    <x v="9"/>
    <x v="4"/>
    <x v="9"/>
    <x v="1"/>
  </r>
  <r>
    <x v="1805"/>
    <x v="0"/>
    <x v="7"/>
    <n v="12.7"/>
    <n v="127"/>
    <x v="65"/>
    <d v="2025-03-08T00:00:00"/>
    <x v="2"/>
    <x v="0"/>
    <x v="2"/>
    <x v="0"/>
    <x v="9"/>
    <x v="3"/>
    <x v="9"/>
    <x v="2"/>
  </r>
  <r>
    <x v="1806"/>
    <x v="7"/>
    <x v="12"/>
    <n v="77.7"/>
    <n v="310.8"/>
    <x v="66"/>
    <d v="2025-03-12T00:00:00"/>
    <x v="1"/>
    <x v="1"/>
    <x v="0"/>
    <x v="0"/>
    <x v="11"/>
    <x v="5"/>
    <x v="9"/>
    <x v="1"/>
  </r>
  <r>
    <x v="1807"/>
    <x v="5"/>
    <x v="1"/>
    <n v="37.299999999999997"/>
    <n v="74.599999999999994"/>
    <x v="66"/>
    <d v="2025-03-09T00:00:00"/>
    <x v="2"/>
    <x v="0"/>
    <x v="2"/>
    <x v="0"/>
    <x v="18"/>
    <x v="3"/>
    <x v="9"/>
    <x v="2"/>
  </r>
  <r>
    <x v="1808"/>
    <x v="10"/>
    <x v="12"/>
    <n v="35.6"/>
    <n v="142.4"/>
    <x v="66"/>
    <d v="2025-03-10T00:00:00"/>
    <x v="2"/>
    <x v="1"/>
    <x v="1"/>
    <x v="0"/>
    <x v="19"/>
    <x v="1"/>
    <x v="9"/>
    <x v="2"/>
  </r>
  <r>
    <x v="1809"/>
    <x v="2"/>
    <x v="2"/>
    <n v="95"/>
    <n v="285"/>
    <x v="66"/>
    <d v="2025-03-12T00:00:00"/>
    <x v="2"/>
    <x v="2"/>
    <x v="2"/>
    <x v="0"/>
    <x v="56"/>
    <x v="5"/>
    <x v="9"/>
    <x v="2"/>
  </r>
  <r>
    <x v="1810"/>
    <x v="2"/>
    <x v="12"/>
    <n v="172.1"/>
    <n v="688.4"/>
    <x v="66"/>
    <d v="2025-03-12T00:00:00"/>
    <x v="3"/>
    <x v="2"/>
    <x v="2"/>
    <x v="0"/>
    <x v="21"/>
    <x v="5"/>
    <x v="9"/>
    <x v="3"/>
  </r>
  <r>
    <x v="1811"/>
    <x v="2"/>
    <x v="1"/>
    <n v="233"/>
    <n v="466"/>
    <x v="66"/>
    <d v="2025-03-11T00:00:00"/>
    <x v="2"/>
    <x v="1"/>
    <x v="0"/>
    <x v="0"/>
    <x v="21"/>
    <x v="2"/>
    <x v="9"/>
    <x v="2"/>
  </r>
  <r>
    <x v="1812"/>
    <x v="0"/>
    <x v="0"/>
    <n v="43.5"/>
    <n v="43.5"/>
    <x v="66"/>
    <d v="2025-03-09T00:00:00"/>
    <x v="2"/>
    <x v="2"/>
    <x v="2"/>
    <x v="0"/>
    <x v="21"/>
    <x v="3"/>
    <x v="9"/>
    <x v="2"/>
  </r>
  <r>
    <x v="1813"/>
    <x v="9"/>
    <x v="1"/>
    <n v="47.8"/>
    <n v="95.6"/>
    <x v="66"/>
    <d v="2025-03-11T00:00:00"/>
    <x v="1"/>
    <x v="4"/>
    <x v="2"/>
    <x v="0"/>
    <x v="1"/>
    <x v="2"/>
    <x v="9"/>
    <x v="1"/>
  </r>
  <r>
    <x v="1814"/>
    <x v="12"/>
    <x v="1"/>
    <n v="65.8"/>
    <n v="131.6"/>
    <x v="66"/>
    <d v="2025-03-10T00:00:00"/>
    <x v="2"/>
    <x v="0"/>
    <x v="3"/>
    <x v="0"/>
    <x v="33"/>
    <x v="1"/>
    <x v="9"/>
    <x v="2"/>
  </r>
  <r>
    <x v="1815"/>
    <x v="15"/>
    <x v="5"/>
    <n v="38.700000000000003"/>
    <n v="425.70000000000005"/>
    <x v="66"/>
    <d v="2025-03-08T00:00:00"/>
    <x v="1"/>
    <x v="0"/>
    <x v="0"/>
    <x v="0"/>
    <x v="22"/>
    <x v="7"/>
    <x v="9"/>
    <x v="1"/>
  </r>
  <r>
    <x v="1816"/>
    <x v="3"/>
    <x v="12"/>
    <n v="55.7"/>
    <n v="222.8"/>
    <x v="66"/>
    <d v="2025-03-10T00:00:00"/>
    <x v="3"/>
    <x v="0"/>
    <x v="1"/>
    <x v="0"/>
    <x v="22"/>
    <x v="1"/>
    <x v="9"/>
    <x v="3"/>
  </r>
  <r>
    <x v="1817"/>
    <x v="7"/>
    <x v="1"/>
    <n v="102.4"/>
    <n v="204.8"/>
    <x v="66"/>
    <d v="2025-03-08T00:00:00"/>
    <x v="2"/>
    <x v="1"/>
    <x v="0"/>
    <x v="0"/>
    <x v="3"/>
    <x v="7"/>
    <x v="9"/>
    <x v="2"/>
  </r>
  <r>
    <x v="1818"/>
    <x v="1"/>
    <x v="0"/>
    <n v="92"/>
    <n v="92"/>
    <x v="66"/>
    <d v="2025-03-12T00:00:00"/>
    <x v="0"/>
    <x v="2"/>
    <x v="0"/>
    <x v="0"/>
    <x v="3"/>
    <x v="5"/>
    <x v="9"/>
    <x v="0"/>
  </r>
  <r>
    <x v="1819"/>
    <x v="6"/>
    <x v="12"/>
    <n v="75.900000000000006"/>
    <n v="303.60000000000002"/>
    <x v="66"/>
    <d v="2025-03-10T00:00:00"/>
    <x v="2"/>
    <x v="1"/>
    <x v="0"/>
    <x v="0"/>
    <x v="3"/>
    <x v="1"/>
    <x v="9"/>
    <x v="2"/>
  </r>
  <r>
    <x v="1820"/>
    <x v="1"/>
    <x v="12"/>
    <n v="36.200000000000003"/>
    <n v="144.80000000000001"/>
    <x v="66"/>
    <d v="2025-03-09T00:00:00"/>
    <x v="2"/>
    <x v="1"/>
    <x v="0"/>
    <x v="0"/>
    <x v="3"/>
    <x v="3"/>
    <x v="9"/>
    <x v="2"/>
  </r>
  <r>
    <x v="1821"/>
    <x v="6"/>
    <x v="45"/>
    <n v="83.5"/>
    <n v="7264.5"/>
    <x v="66"/>
    <d v="2025-03-10T00:00:00"/>
    <x v="0"/>
    <x v="3"/>
    <x v="0"/>
    <x v="0"/>
    <x v="3"/>
    <x v="1"/>
    <x v="9"/>
    <x v="0"/>
  </r>
  <r>
    <x v="1822"/>
    <x v="19"/>
    <x v="4"/>
    <n v="52.4"/>
    <n v="628.79999999999995"/>
    <x v="66"/>
    <d v="2025-03-08T00:00:00"/>
    <x v="1"/>
    <x v="2"/>
    <x v="0"/>
    <x v="0"/>
    <x v="3"/>
    <x v="7"/>
    <x v="9"/>
    <x v="1"/>
  </r>
  <r>
    <x v="1823"/>
    <x v="12"/>
    <x v="2"/>
    <n v="69.5"/>
    <n v="208.5"/>
    <x v="66"/>
    <d v="2025-03-09T00:00:00"/>
    <x v="3"/>
    <x v="4"/>
    <x v="0"/>
    <x v="0"/>
    <x v="3"/>
    <x v="3"/>
    <x v="9"/>
    <x v="3"/>
  </r>
  <r>
    <x v="1824"/>
    <x v="0"/>
    <x v="0"/>
    <n v="15.5"/>
    <n v="15.5"/>
    <x v="66"/>
    <d v="2025-03-10T00:00:00"/>
    <x v="1"/>
    <x v="0"/>
    <x v="0"/>
    <x v="0"/>
    <x v="3"/>
    <x v="1"/>
    <x v="9"/>
    <x v="1"/>
  </r>
  <r>
    <x v="1825"/>
    <x v="4"/>
    <x v="12"/>
    <n v="35.200000000000003"/>
    <n v="140.80000000000001"/>
    <x v="66"/>
    <d v="2025-03-09T00:00:00"/>
    <x v="2"/>
    <x v="2"/>
    <x v="2"/>
    <x v="0"/>
    <x v="3"/>
    <x v="3"/>
    <x v="9"/>
    <x v="2"/>
  </r>
  <r>
    <x v="1826"/>
    <x v="8"/>
    <x v="13"/>
    <n v="34.6"/>
    <n v="207.60000000000002"/>
    <x v="66"/>
    <d v="2025-03-09T00:00:00"/>
    <x v="0"/>
    <x v="0"/>
    <x v="1"/>
    <x v="0"/>
    <x v="3"/>
    <x v="3"/>
    <x v="9"/>
    <x v="0"/>
  </r>
  <r>
    <x v="1827"/>
    <x v="4"/>
    <x v="0"/>
    <n v="21.3"/>
    <n v="21.3"/>
    <x v="67"/>
    <d v="2025-03-10T00:00:00"/>
    <x v="1"/>
    <x v="2"/>
    <x v="1"/>
    <x v="0"/>
    <x v="3"/>
    <x v="3"/>
    <x v="10"/>
    <x v="1"/>
  </r>
  <r>
    <x v="1828"/>
    <x v="6"/>
    <x v="1"/>
    <n v="136.5"/>
    <n v="273"/>
    <x v="67"/>
    <d v="2025-03-15T00:00:00"/>
    <x v="2"/>
    <x v="0"/>
    <x v="0"/>
    <x v="0"/>
    <x v="37"/>
    <x v="4"/>
    <x v="10"/>
    <x v="2"/>
  </r>
  <r>
    <x v="1829"/>
    <x v="9"/>
    <x v="3"/>
    <n v="30.7"/>
    <n v="214.9"/>
    <x v="67"/>
    <d v="2025-03-10T00:00:00"/>
    <x v="1"/>
    <x v="2"/>
    <x v="2"/>
    <x v="0"/>
    <x v="25"/>
    <x v="3"/>
    <x v="10"/>
    <x v="1"/>
  </r>
  <r>
    <x v="1830"/>
    <x v="1"/>
    <x v="1"/>
    <n v="61.6"/>
    <n v="123.2"/>
    <x v="67"/>
    <d v="2025-03-10T00:00:00"/>
    <x v="2"/>
    <x v="2"/>
    <x v="2"/>
    <x v="0"/>
    <x v="23"/>
    <x v="3"/>
    <x v="10"/>
    <x v="2"/>
  </r>
  <r>
    <x v="1831"/>
    <x v="6"/>
    <x v="12"/>
    <n v="54.3"/>
    <n v="217.2"/>
    <x v="67"/>
    <d v="2025-03-11T00:00:00"/>
    <x v="0"/>
    <x v="4"/>
    <x v="0"/>
    <x v="0"/>
    <x v="7"/>
    <x v="1"/>
    <x v="10"/>
    <x v="0"/>
  </r>
  <r>
    <x v="1832"/>
    <x v="1"/>
    <x v="1"/>
    <n v="44.1"/>
    <n v="88.2"/>
    <x v="67"/>
    <d v="2025-03-21T00:00:00"/>
    <x v="2"/>
    <x v="0"/>
    <x v="2"/>
    <x v="0"/>
    <x v="8"/>
    <x v="13"/>
    <x v="10"/>
    <x v="2"/>
  </r>
  <r>
    <x v="1833"/>
    <x v="8"/>
    <x v="12"/>
    <n v="43.5"/>
    <n v="174"/>
    <x v="67"/>
    <d v="2025-03-15T00:00:00"/>
    <x v="1"/>
    <x v="3"/>
    <x v="0"/>
    <x v="0"/>
    <x v="8"/>
    <x v="4"/>
    <x v="10"/>
    <x v="1"/>
  </r>
  <r>
    <x v="1834"/>
    <x v="8"/>
    <x v="2"/>
    <n v="48.2"/>
    <n v="144.60000000000002"/>
    <x v="67"/>
    <d v="2025-03-13T00:00:00"/>
    <x v="1"/>
    <x v="3"/>
    <x v="1"/>
    <x v="0"/>
    <x v="8"/>
    <x v="5"/>
    <x v="10"/>
    <x v="1"/>
  </r>
  <r>
    <x v="1835"/>
    <x v="19"/>
    <x v="0"/>
    <n v="13.7"/>
    <n v="13.7"/>
    <x v="67"/>
    <d v="2025-03-10T00:00:00"/>
    <x v="2"/>
    <x v="2"/>
    <x v="2"/>
    <x v="0"/>
    <x v="8"/>
    <x v="3"/>
    <x v="10"/>
    <x v="2"/>
  </r>
  <r>
    <x v="1836"/>
    <x v="2"/>
    <x v="1"/>
    <n v="110.5"/>
    <n v="221"/>
    <x v="67"/>
    <d v="2025-03-10T00:00:00"/>
    <x v="2"/>
    <x v="0"/>
    <x v="1"/>
    <x v="0"/>
    <x v="8"/>
    <x v="3"/>
    <x v="10"/>
    <x v="2"/>
  </r>
  <r>
    <x v="1837"/>
    <x v="8"/>
    <x v="2"/>
    <n v="26"/>
    <n v="78"/>
    <x v="67"/>
    <d v="2025-03-14T00:00:00"/>
    <x v="2"/>
    <x v="1"/>
    <x v="1"/>
    <x v="0"/>
    <x v="8"/>
    <x v="0"/>
    <x v="10"/>
    <x v="2"/>
  </r>
  <r>
    <x v="1838"/>
    <x v="2"/>
    <x v="7"/>
    <n v="140.69999999999999"/>
    <n v="1407"/>
    <x v="67"/>
    <d v="2025-03-15T00:00:00"/>
    <x v="1"/>
    <x v="3"/>
    <x v="1"/>
    <x v="0"/>
    <x v="8"/>
    <x v="4"/>
    <x v="10"/>
    <x v="1"/>
  </r>
  <r>
    <x v="1839"/>
    <x v="17"/>
    <x v="1"/>
    <n v="41.7"/>
    <n v="83.4"/>
    <x v="67"/>
    <d v="2025-03-17T00:00:00"/>
    <x v="2"/>
    <x v="0"/>
    <x v="4"/>
    <x v="0"/>
    <x v="8"/>
    <x v="9"/>
    <x v="10"/>
    <x v="2"/>
  </r>
  <r>
    <x v="1840"/>
    <x v="2"/>
    <x v="1"/>
    <n v="135.1"/>
    <n v="270.2"/>
    <x v="67"/>
    <d v="2025-03-10T00:00:00"/>
    <x v="1"/>
    <x v="0"/>
    <x v="2"/>
    <x v="0"/>
    <x v="17"/>
    <x v="3"/>
    <x v="10"/>
    <x v="1"/>
  </r>
  <r>
    <x v="1841"/>
    <x v="12"/>
    <x v="32"/>
    <n v="95.5"/>
    <n v="2101"/>
    <x v="67"/>
    <d v="2025-03-10T00:00:00"/>
    <x v="2"/>
    <x v="4"/>
    <x v="4"/>
    <x v="0"/>
    <x v="26"/>
    <x v="3"/>
    <x v="10"/>
    <x v="2"/>
  </r>
  <r>
    <x v="1842"/>
    <x v="15"/>
    <x v="0"/>
    <n v="25.5"/>
    <n v="25.5"/>
    <x v="67"/>
    <d v="2025-03-12T00:00:00"/>
    <x v="0"/>
    <x v="2"/>
    <x v="2"/>
    <x v="0"/>
    <x v="11"/>
    <x v="2"/>
    <x v="10"/>
    <x v="0"/>
  </r>
  <r>
    <x v="1843"/>
    <x v="1"/>
    <x v="0"/>
    <n v="42.6"/>
    <n v="42.6"/>
    <x v="67"/>
    <d v="2025-03-13T00:00:00"/>
    <x v="2"/>
    <x v="0"/>
    <x v="0"/>
    <x v="0"/>
    <x v="11"/>
    <x v="5"/>
    <x v="10"/>
    <x v="2"/>
  </r>
  <r>
    <x v="1844"/>
    <x v="8"/>
    <x v="20"/>
    <n v="32.4"/>
    <n v="486"/>
    <x v="67"/>
    <d v="2025-03-10T00:00:00"/>
    <x v="1"/>
    <x v="1"/>
    <x v="1"/>
    <x v="0"/>
    <x v="11"/>
    <x v="3"/>
    <x v="10"/>
    <x v="1"/>
  </r>
  <r>
    <x v="1845"/>
    <x v="4"/>
    <x v="12"/>
    <n v="20.2"/>
    <n v="80.8"/>
    <x v="67"/>
    <d v="2025-03-10T00:00:00"/>
    <x v="3"/>
    <x v="2"/>
    <x v="0"/>
    <x v="0"/>
    <x v="11"/>
    <x v="3"/>
    <x v="10"/>
    <x v="3"/>
  </r>
  <r>
    <x v="1846"/>
    <x v="16"/>
    <x v="2"/>
    <n v="52.5"/>
    <n v="157.5"/>
    <x v="67"/>
    <d v="2025-03-14T00:00:00"/>
    <x v="2"/>
    <x v="4"/>
    <x v="0"/>
    <x v="0"/>
    <x v="18"/>
    <x v="0"/>
    <x v="10"/>
    <x v="2"/>
  </r>
  <r>
    <x v="1847"/>
    <x v="2"/>
    <x v="9"/>
    <n v="59.9"/>
    <n v="299.5"/>
    <x v="67"/>
    <d v="2025-03-11T00:00:00"/>
    <x v="2"/>
    <x v="2"/>
    <x v="0"/>
    <x v="0"/>
    <x v="19"/>
    <x v="1"/>
    <x v="10"/>
    <x v="2"/>
  </r>
  <r>
    <x v="1848"/>
    <x v="4"/>
    <x v="1"/>
    <n v="53.2"/>
    <n v="106.4"/>
    <x v="67"/>
    <d v="2025-03-10T00:00:00"/>
    <x v="2"/>
    <x v="1"/>
    <x v="3"/>
    <x v="0"/>
    <x v="20"/>
    <x v="3"/>
    <x v="10"/>
    <x v="2"/>
  </r>
  <r>
    <x v="1849"/>
    <x v="2"/>
    <x v="1"/>
    <n v="60"/>
    <n v="120"/>
    <x v="67"/>
    <d v="2025-03-15T00:00:00"/>
    <x v="1"/>
    <x v="1"/>
    <x v="2"/>
    <x v="0"/>
    <x v="20"/>
    <x v="4"/>
    <x v="10"/>
    <x v="1"/>
  </r>
  <r>
    <x v="1850"/>
    <x v="8"/>
    <x v="2"/>
    <n v="29.3"/>
    <n v="87.9"/>
    <x v="67"/>
    <d v="2025-03-10T00:00:00"/>
    <x v="2"/>
    <x v="4"/>
    <x v="0"/>
    <x v="0"/>
    <x v="13"/>
    <x v="3"/>
    <x v="10"/>
    <x v="2"/>
  </r>
  <r>
    <x v="1851"/>
    <x v="12"/>
    <x v="1"/>
    <n v="55.4"/>
    <n v="110.8"/>
    <x v="67"/>
    <d v="2025-03-10T00:00:00"/>
    <x v="2"/>
    <x v="0"/>
    <x v="2"/>
    <x v="0"/>
    <x v="21"/>
    <x v="3"/>
    <x v="10"/>
    <x v="2"/>
  </r>
  <r>
    <x v="1852"/>
    <x v="0"/>
    <x v="9"/>
    <n v="20.100000000000001"/>
    <n v="100.5"/>
    <x v="67"/>
    <d v="2025-03-11T00:00:00"/>
    <x v="2"/>
    <x v="1"/>
    <x v="2"/>
    <x v="0"/>
    <x v="21"/>
    <x v="1"/>
    <x v="10"/>
    <x v="2"/>
  </r>
  <r>
    <x v="1853"/>
    <x v="14"/>
    <x v="9"/>
    <n v="24"/>
    <n v="120"/>
    <x v="67"/>
    <d v="2025-03-12T00:00:00"/>
    <x v="1"/>
    <x v="2"/>
    <x v="0"/>
    <x v="0"/>
    <x v="1"/>
    <x v="2"/>
    <x v="10"/>
    <x v="1"/>
  </r>
  <r>
    <x v="1854"/>
    <x v="8"/>
    <x v="1"/>
    <n v="30.6"/>
    <n v="61.2"/>
    <x v="68"/>
    <d v="2025-03-12T00:00:00"/>
    <x v="2"/>
    <x v="0"/>
    <x v="0"/>
    <x v="0"/>
    <x v="1"/>
    <x v="1"/>
    <x v="10"/>
    <x v="2"/>
  </r>
  <r>
    <x v="1855"/>
    <x v="10"/>
    <x v="9"/>
    <n v="33"/>
    <n v="165"/>
    <x v="68"/>
    <d v="2025-03-11T00:00:00"/>
    <x v="1"/>
    <x v="1"/>
    <x v="1"/>
    <x v="0"/>
    <x v="27"/>
    <x v="3"/>
    <x v="10"/>
    <x v="1"/>
  </r>
  <r>
    <x v="1856"/>
    <x v="17"/>
    <x v="11"/>
    <n v="42.1"/>
    <n v="378.90000000000003"/>
    <x v="68"/>
    <d v="2025-03-16T00:00:00"/>
    <x v="2"/>
    <x v="2"/>
    <x v="0"/>
    <x v="0"/>
    <x v="44"/>
    <x v="4"/>
    <x v="10"/>
    <x v="2"/>
  </r>
  <r>
    <x v="1857"/>
    <x v="6"/>
    <x v="3"/>
    <n v="77.7"/>
    <n v="543.9"/>
    <x v="68"/>
    <d v="2025-03-15T00:00:00"/>
    <x v="2"/>
    <x v="1"/>
    <x v="2"/>
    <x v="0"/>
    <x v="50"/>
    <x v="0"/>
    <x v="10"/>
    <x v="2"/>
  </r>
  <r>
    <x v="1858"/>
    <x v="17"/>
    <x v="13"/>
    <n v="22.7"/>
    <n v="136.19999999999999"/>
    <x v="68"/>
    <d v="2025-03-13T00:00:00"/>
    <x v="2"/>
    <x v="2"/>
    <x v="0"/>
    <x v="0"/>
    <x v="3"/>
    <x v="2"/>
    <x v="10"/>
    <x v="2"/>
  </r>
  <r>
    <x v="1859"/>
    <x v="2"/>
    <x v="1"/>
    <n v="133"/>
    <n v="266"/>
    <x v="68"/>
    <d v="2025-03-10T00:00:00"/>
    <x v="1"/>
    <x v="2"/>
    <x v="2"/>
    <x v="0"/>
    <x v="3"/>
    <x v="7"/>
    <x v="10"/>
    <x v="1"/>
  </r>
  <r>
    <x v="1860"/>
    <x v="0"/>
    <x v="1"/>
    <n v="23.3"/>
    <n v="46.6"/>
    <x v="68"/>
    <d v="2025-03-11T00:00:00"/>
    <x v="1"/>
    <x v="1"/>
    <x v="2"/>
    <x v="0"/>
    <x v="3"/>
    <x v="3"/>
    <x v="10"/>
    <x v="1"/>
  </r>
  <r>
    <x v="1861"/>
    <x v="8"/>
    <x v="2"/>
    <n v="20.7"/>
    <n v="62.099999999999994"/>
    <x v="68"/>
    <d v="2025-03-12T00:00:00"/>
    <x v="3"/>
    <x v="0"/>
    <x v="2"/>
    <x v="0"/>
    <x v="3"/>
    <x v="1"/>
    <x v="10"/>
    <x v="3"/>
  </r>
  <r>
    <x v="1862"/>
    <x v="12"/>
    <x v="1"/>
    <n v="47"/>
    <n v="94"/>
    <x v="68"/>
    <d v="2025-03-11T00:00:00"/>
    <x v="1"/>
    <x v="1"/>
    <x v="2"/>
    <x v="0"/>
    <x v="3"/>
    <x v="3"/>
    <x v="10"/>
    <x v="1"/>
  </r>
  <r>
    <x v="1863"/>
    <x v="12"/>
    <x v="2"/>
    <n v="38.200000000000003"/>
    <n v="114.60000000000001"/>
    <x v="68"/>
    <d v="2025-03-12T00:00:00"/>
    <x v="2"/>
    <x v="2"/>
    <x v="4"/>
    <x v="0"/>
    <x v="3"/>
    <x v="1"/>
    <x v="10"/>
    <x v="2"/>
  </r>
  <r>
    <x v="1864"/>
    <x v="9"/>
    <x v="0"/>
    <n v="39.1"/>
    <n v="39.1"/>
    <x v="68"/>
    <d v="2025-03-12T00:00:00"/>
    <x v="2"/>
    <x v="0"/>
    <x v="0"/>
    <x v="0"/>
    <x v="3"/>
    <x v="1"/>
    <x v="10"/>
    <x v="2"/>
  </r>
  <r>
    <x v="1865"/>
    <x v="7"/>
    <x v="30"/>
    <n v="55.6"/>
    <n v="1390"/>
    <x v="68"/>
    <d v="2025-03-12T00:00:00"/>
    <x v="1"/>
    <x v="0"/>
    <x v="2"/>
    <x v="0"/>
    <x v="3"/>
    <x v="1"/>
    <x v="10"/>
    <x v="1"/>
  </r>
  <r>
    <x v="1866"/>
    <x v="15"/>
    <x v="0"/>
    <n v="43.1"/>
    <n v="43.1"/>
    <x v="68"/>
    <d v="2025-03-10T00:00:00"/>
    <x v="3"/>
    <x v="1"/>
    <x v="2"/>
    <x v="0"/>
    <x v="3"/>
    <x v="7"/>
    <x v="10"/>
    <x v="3"/>
  </r>
  <r>
    <x v="1867"/>
    <x v="6"/>
    <x v="12"/>
    <n v="48.1"/>
    <n v="192.4"/>
    <x v="68"/>
    <d v="2025-03-11T00:00:00"/>
    <x v="2"/>
    <x v="4"/>
    <x v="2"/>
    <x v="0"/>
    <x v="3"/>
    <x v="3"/>
    <x v="10"/>
    <x v="2"/>
  </r>
  <r>
    <x v="1868"/>
    <x v="4"/>
    <x v="0"/>
    <n v="42"/>
    <n v="42"/>
    <x v="68"/>
    <d v="2025-03-11T00:00:00"/>
    <x v="3"/>
    <x v="0"/>
    <x v="0"/>
    <x v="0"/>
    <x v="3"/>
    <x v="3"/>
    <x v="10"/>
    <x v="3"/>
  </r>
  <r>
    <x v="1869"/>
    <x v="8"/>
    <x v="9"/>
    <n v="18.3"/>
    <n v="91.5"/>
    <x v="68"/>
    <d v="2025-03-10T00:00:00"/>
    <x v="2"/>
    <x v="2"/>
    <x v="0"/>
    <x v="0"/>
    <x v="3"/>
    <x v="7"/>
    <x v="10"/>
    <x v="2"/>
  </r>
  <r>
    <x v="1870"/>
    <x v="10"/>
    <x v="12"/>
    <n v="45.3"/>
    <n v="181.2"/>
    <x v="68"/>
    <d v="2025-03-13T00:00:00"/>
    <x v="2"/>
    <x v="0"/>
    <x v="2"/>
    <x v="0"/>
    <x v="3"/>
    <x v="2"/>
    <x v="10"/>
    <x v="2"/>
  </r>
  <r>
    <x v="1871"/>
    <x v="0"/>
    <x v="1"/>
    <n v="27.6"/>
    <n v="55.2"/>
    <x v="68"/>
    <d v="2025-03-12T00:00:00"/>
    <x v="1"/>
    <x v="0"/>
    <x v="2"/>
    <x v="0"/>
    <x v="37"/>
    <x v="1"/>
    <x v="10"/>
    <x v="1"/>
  </r>
  <r>
    <x v="1872"/>
    <x v="4"/>
    <x v="9"/>
    <n v="26.9"/>
    <n v="134.5"/>
    <x v="68"/>
    <d v="2025-03-11T00:00:00"/>
    <x v="2"/>
    <x v="2"/>
    <x v="0"/>
    <x v="0"/>
    <x v="25"/>
    <x v="3"/>
    <x v="10"/>
    <x v="2"/>
  </r>
  <r>
    <x v="1873"/>
    <x v="2"/>
    <x v="11"/>
    <n v="82.4"/>
    <n v="741.6"/>
    <x v="68"/>
    <d v="2025-03-12T00:00:00"/>
    <x v="3"/>
    <x v="2"/>
    <x v="0"/>
    <x v="0"/>
    <x v="5"/>
    <x v="1"/>
    <x v="10"/>
    <x v="3"/>
  </r>
  <r>
    <x v="1874"/>
    <x v="6"/>
    <x v="0"/>
    <n v="103.7"/>
    <n v="103.7"/>
    <x v="68"/>
    <d v="2025-03-12T00:00:00"/>
    <x v="2"/>
    <x v="1"/>
    <x v="0"/>
    <x v="0"/>
    <x v="5"/>
    <x v="1"/>
    <x v="10"/>
    <x v="2"/>
  </r>
  <r>
    <x v="1875"/>
    <x v="2"/>
    <x v="1"/>
    <n v="58.8"/>
    <n v="117.6"/>
    <x v="68"/>
    <d v="2025-03-15T00:00:00"/>
    <x v="2"/>
    <x v="1"/>
    <x v="2"/>
    <x v="0"/>
    <x v="6"/>
    <x v="0"/>
    <x v="10"/>
    <x v="2"/>
  </r>
  <r>
    <x v="1876"/>
    <x v="13"/>
    <x v="0"/>
    <n v="31.5"/>
    <n v="31.5"/>
    <x v="68"/>
    <d v="2025-03-11T00:00:00"/>
    <x v="2"/>
    <x v="1"/>
    <x v="1"/>
    <x v="0"/>
    <x v="6"/>
    <x v="3"/>
    <x v="10"/>
    <x v="2"/>
  </r>
  <r>
    <x v="1877"/>
    <x v="7"/>
    <x v="9"/>
    <n v="36.799999999999997"/>
    <n v="184"/>
    <x v="68"/>
    <d v="2025-03-12T00:00:00"/>
    <x v="2"/>
    <x v="0"/>
    <x v="0"/>
    <x v="0"/>
    <x v="8"/>
    <x v="1"/>
    <x v="10"/>
    <x v="2"/>
  </r>
  <r>
    <x v="1878"/>
    <x v="3"/>
    <x v="0"/>
    <n v="84.4"/>
    <n v="84.4"/>
    <x v="68"/>
    <d v="2025-03-11T00:00:00"/>
    <x v="2"/>
    <x v="0"/>
    <x v="0"/>
    <x v="0"/>
    <x v="8"/>
    <x v="3"/>
    <x v="10"/>
    <x v="2"/>
  </r>
  <r>
    <x v="1879"/>
    <x v="14"/>
    <x v="0"/>
    <n v="44.7"/>
    <n v="44.7"/>
    <x v="68"/>
    <d v="2025-03-11T00:00:00"/>
    <x v="1"/>
    <x v="0"/>
    <x v="1"/>
    <x v="0"/>
    <x v="8"/>
    <x v="3"/>
    <x v="10"/>
    <x v="1"/>
  </r>
  <r>
    <x v="1880"/>
    <x v="9"/>
    <x v="8"/>
    <n v="39.4"/>
    <n v="315.2"/>
    <x v="68"/>
    <d v="2025-03-11T00:00:00"/>
    <x v="2"/>
    <x v="1"/>
    <x v="2"/>
    <x v="0"/>
    <x v="8"/>
    <x v="3"/>
    <x v="10"/>
    <x v="2"/>
  </r>
  <r>
    <x v="1881"/>
    <x v="11"/>
    <x v="12"/>
    <n v="34.9"/>
    <n v="139.6"/>
    <x v="68"/>
    <d v="2025-03-12T00:00:00"/>
    <x v="2"/>
    <x v="0"/>
    <x v="2"/>
    <x v="0"/>
    <x v="8"/>
    <x v="1"/>
    <x v="10"/>
    <x v="2"/>
  </r>
  <r>
    <x v="1882"/>
    <x v="1"/>
    <x v="2"/>
    <n v="62.3"/>
    <n v="186.89999999999998"/>
    <x v="68"/>
    <d v="2025-03-12T00:00:00"/>
    <x v="1"/>
    <x v="4"/>
    <x v="2"/>
    <x v="0"/>
    <x v="8"/>
    <x v="1"/>
    <x v="10"/>
    <x v="1"/>
  </r>
  <r>
    <x v="1883"/>
    <x v="8"/>
    <x v="12"/>
    <n v="21.1"/>
    <n v="84.4"/>
    <x v="68"/>
    <d v="2025-03-13T00:00:00"/>
    <x v="1"/>
    <x v="3"/>
    <x v="0"/>
    <x v="0"/>
    <x v="8"/>
    <x v="2"/>
    <x v="10"/>
    <x v="1"/>
  </r>
  <r>
    <x v="1884"/>
    <x v="8"/>
    <x v="2"/>
    <n v="33.200000000000003"/>
    <n v="99.600000000000009"/>
    <x v="68"/>
    <d v="2025-03-24T00:00:00"/>
    <x v="0"/>
    <x v="0"/>
    <x v="4"/>
    <x v="0"/>
    <x v="8"/>
    <x v="12"/>
    <x v="10"/>
    <x v="0"/>
  </r>
  <r>
    <x v="1885"/>
    <x v="1"/>
    <x v="12"/>
    <n v="74.5"/>
    <n v="298"/>
    <x v="68"/>
    <d v="2025-03-11T00:00:00"/>
    <x v="1"/>
    <x v="4"/>
    <x v="0"/>
    <x v="0"/>
    <x v="8"/>
    <x v="3"/>
    <x v="10"/>
    <x v="1"/>
  </r>
  <r>
    <x v="1886"/>
    <x v="10"/>
    <x v="4"/>
    <n v="68.599999999999994"/>
    <n v="823.19999999999993"/>
    <x v="68"/>
    <d v="2025-03-13T00:00:00"/>
    <x v="2"/>
    <x v="0"/>
    <x v="2"/>
    <x v="0"/>
    <x v="8"/>
    <x v="2"/>
    <x v="10"/>
    <x v="2"/>
  </r>
  <r>
    <x v="1887"/>
    <x v="5"/>
    <x v="21"/>
    <n v="36.4"/>
    <n v="509.59999999999997"/>
    <x v="68"/>
    <d v="2025-03-12T00:00:00"/>
    <x v="2"/>
    <x v="0"/>
    <x v="1"/>
    <x v="0"/>
    <x v="9"/>
    <x v="1"/>
    <x v="10"/>
    <x v="2"/>
  </r>
  <r>
    <x v="1888"/>
    <x v="16"/>
    <x v="9"/>
    <n v="67.599999999999994"/>
    <n v="338"/>
    <x v="69"/>
    <d v="2025-03-14T00:00:00"/>
    <x v="2"/>
    <x v="4"/>
    <x v="1"/>
    <x v="0"/>
    <x v="9"/>
    <x v="2"/>
    <x v="10"/>
    <x v="2"/>
  </r>
  <r>
    <x v="1889"/>
    <x v="15"/>
    <x v="0"/>
    <n v="46.3"/>
    <n v="46.3"/>
    <x v="69"/>
    <d v="2025-03-12T00:00:00"/>
    <x v="1"/>
    <x v="2"/>
    <x v="0"/>
    <x v="0"/>
    <x v="9"/>
    <x v="3"/>
    <x v="10"/>
    <x v="1"/>
  </r>
  <r>
    <x v="1890"/>
    <x v="1"/>
    <x v="2"/>
    <n v="124.2"/>
    <n v="372.6"/>
    <x v="69"/>
    <d v="2025-03-13T00:00:00"/>
    <x v="2"/>
    <x v="1"/>
    <x v="2"/>
    <x v="0"/>
    <x v="11"/>
    <x v="1"/>
    <x v="10"/>
    <x v="2"/>
  </r>
  <r>
    <x v="1891"/>
    <x v="10"/>
    <x v="1"/>
    <n v="37"/>
    <n v="74"/>
    <x v="69"/>
    <d v="2025-03-17T00:00:00"/>
    <x v="1"/>
    <x v="0"/>
    <x v="0"/>
    <x v="0"/>
    <x v="11"/>
    <x v="4"/>
    <x v="10"/>
    <x v="1"/>
  </r>
  <r>
    <x v="1892"/>
    <x v="5"/>
    <x v="0"/>
    <n v="41.8"/>
    <n v="41.8"/>
    <x v="69"/>
    <d v="2025-03-12T00:00:00"/>
    <x v="1"/>
    <x v="2"/>
    <x v="0"/>
    <x v="0"/>
    <x v="31"/>
    <x v="3"/>
    <x v="10"/>
    <x v="1"/>
  </r>
  <r>
    <x v="1893"/>
    <x v="9"/>
    <x v="1"/>
    <n v="57.2"/>
    <n v="114.4"/>
    <x v="69"/>
    <d v="2025-03-13T00:00:00"/>
    <x v="1"/>
    <x v="2"/>
    <x v="1"/>
    <x v="0"/>
    <x v="20"/>
    <x v="1"/>
    <x v="10"/>
    <x v="1"/>
  </r>
  <r>
    <x v="1894"/>
    <x v="6"/>
    <x v="1"/>
    <n v="47.1"/>
    <n v="94.2"/>
    <x v="69"/>
    <d v="2025-03-13T00:00:00"/>
    <x v="2"/>
    <x v="0"/>
    <x v="4"/>
    <x v="0"/>
    <x v="20"/>
    <x v="1"/>
    <x v="10"/>
    <x v="2"/>
  </r>
  <r>
    <x v="1895"/>
    <x v="5"/>
    <x v="2"/>
    <n v="86.4"/>
    <n v="259.20000000000005"/>
    <x v="69"/>
    <d v="2025-03-12T00:00:00"/>
    <x v="1"/>
    <x v="2"/>
    <x v="1"/>
    <x v="0"/>
    <x v="52"/>
    <x v="3"/>
    <x v="10"/>
    <x v="1"/>
  </r>
  <r>
    <x v="1896"/>
    <x v="6"/>
    <x v="9"/>
    <n v="105"/>
    <n v="525"/>
    <x v="69"/>
    <d v="2025-03-14T00:00:00"/>
    <x v="1"/>
    <x v="0"/>
    <x v="0"/>
    <x v="0"/>
    <x v="13"/>
    <x v="2"/>
    <x v="10"/>
    <x v="1"/>
  </r>
  <r>
    <x v="1897"/>
    <x v="18"/>
    <x v="0"/>
    <n v="33"/>
    <n v="33"/>
    <x v="69"/>
    <d v="2025-03-14T00:00:00"/>
    <x v="1"/>
    <x v="4"/>
    <x v="0"/>
    <x v="0"/>
    <x v="21"/>
    <x v="2"/>
    <x v="10"/>
    <x v="1"/>
  </r>
  <r>
    <x v="1898"/>
    <x v="6"/>
    <x v="9"/>
    <n v="106.6"/>
    <n v="533"/>
    <x v="69"/>
    <d v="2025-03-24T00:00:00"/>
    <x v="2"/>
    <x v="2"/>
    <x v="0"/>
    <x v="0"/>
    <x v="1"/>
    <x v="10"/>
    <x v="10"/>
    <x v="2"/>
  </r>
  <r>
    <x v="1899"/>
    <x v="10"/>
    <x v="46"/>
    <n v="26.8"/>
    <n v="857.6"/>
    <x v="69"/>
    <d v="2025-03-12T00:00:00"/>
    <x v="2"/>
    <x v="2"/>
    <x v="0"/>
    <x v="0"/>
    <x v="1"/>
    <x v="3"/>
    <x v="10"/>
    <x v="2"/>
  </r>
  <r>
    <x v="1900"/>
    <x v="17"/>
    <x v="9"/>
    <n v="25.8"/>
    <n v="129"/>
    <x v="69"/>
    <d v="2025-03-11T00:00:00"/>
    <x v="2"/>
    <x v="1"/>
    <x v="2"/>
    <x v="0"/>
    <x v="3"/>
    <x v="7"/>
    <x v="10"/>
    <x v="2"/>
  </r>
  <r>
    <x v="1901"/>
    <x v="2"/>
    <x v="2"/>
    <n v="217"/>
    <n v="651"/>
    <x v="69"/>
    <d v="2025-03-12T00:00:00"/>
    <x v="2"/>
    <x v="1"/>
    <x v="1"/>
    <x v="0"/>
    <x v="3"/>
    <x v="3"/>
    <x v="10"/>
    <x v="2"/>
  </r>
  <r>
    <x v="1902"/>
    <x v="2"/>
    <x v="1"/>
    <n v="97.3"/>
    <n v="194.6"/>
    <x v="69"/>
    <d v="2025-03-12T00:00:00"/>
    <x v="1"/>
    <x v="2"/>
    <x v="4"/>
    <x v="0"/>
    <x v="3"/>
    <x v="3"/>
    <x v="10"/>
    <x v="1"/>
  </r>
  <r>
    <x v="1903"/>
    <x v="1"/>
    <x v="0"/>
    <n v="49.8"/>
    <n v="49.8"/>
    <x v="69"/>
    <d v="2025-03-12T00:00:00"/>
    <x v="2"/>
    <x v="0"/>
    <x v="0"/>
    <x v="0"/>
    <x v="3"/>
    <x v="3"/>
    <x v="10"/>
    <x v="2"/>
  </r>
  <r>
    <x v="1904"/>
    <x v="12"/>
    <x v="9"/>
    <n v="32.6"/>
    <n v="163"/>
    <x v="69"/>
    <d v="2025-03-12T00:00:00"/>
    <x v="2"/>
    <x v="0"/>
    <x v="0"/>
    <x v="0"/>
    <x v="3"/>
    <x v="3"/>
    <x v="10"/>
    <x v="2"/>
  </r>
  <r>
    <x v="1905"/>
    <x v="9"/>
    <x v="1"/>
    <n v="40.1"/>
    <n v="80.2"/>
    <x v="69"/>
    <d v="2025-03-14T00:00:00"/>
    <x v="1"/>
    <x v="1"/>
    <x v="2"/>
    <x v="0"/>
    <x v="3"/>
    <x v="2"/>
    <x v="10"/>
    <x v="1"/>
  </r>
  <r>
    <x v="1906"/>
    <x v="10"/>
    <x v="1"/>
    <n v="49.4"/>
    <n v="98.8"/>
    <x v="69"/>
    <d v="2025-03-13T00:00:00"/>
    <x v="1"/>
    <x v="1"/>
    <x v="0"/>
    <x v="0"/>
    <x v="3"/>
    <x v="1"/>
    <x v="10"/>
    <x v="1"/>
  </r>
  <r>
    <x v="1907"/>
    <x v="2"/>
    <x v="0"/>
    <n v="67.3"/>
    <n v="67.3"/>
    <x v="69"/>
    <d v="2025-03-12T00:00:00"/>
    <x v="2"/>
    <x v="0"/>
    <x v="2"/>
    <x v="0"/>
    <x v="3"/>
    <x v="3"/>
    <x v="10"/>
    <x v="2"/>
  </r>
  <r>
    <x v="1908"/>
    <x v="18"/>
    <x v="12"/>
    <n v="44.5"/>
    <n v="178"/>
    <x v="69"/>
    <d v="2025-03-14T00:00:00"/>
    <x v="0"/>
    <x v="1"/>
    <x v="0"/>
    <x v="0"/>
    <x v="3"/>
    <x v="2"/>
    <x v="10"/>
    <x v="0"/>
  </r>
  <r>
    <x v="1909"/>
    <x v="6"/>
    <x v="5"/>
    <n v="111.1"/>
    <n v="1222.0999999999999"/>
    <x v="69"/>
    <d v="2025-03-12T00:00:00"/>
    <x v="2"/>
    <x v="4"/>
    <x v="0"/>
    <x v="0"/>
    <x v="3"/>
    <x v="3"/>
    <x v="10"/>
    <x v="2"/>
  </r>
  <r>
    <x v="1910"/>
    <x v="8"/>
    <x v="2"/>
    <n v="19.7"/>
    <n v="59.099999999999994"/>
    <x v="69"/>
    <d v="2025-03-12T00:00:00"/>
    <x v="2"/>
    <x v="4"/>
    <x v="4"/>
    <x v="0"/>
    <x v="3"/>
    <x v="3"/>
    <x v="10"/>
    <x v="2"/>
  </r>
  <r>
    <x v="1911"/>
    <x v="1"/>
    <x v="0"/>
    <n v="40.299999999999997"/>
    <n v="40.299999999999997"/>
    <x v="69"/>
    <d v="2025-03-12T00:00:00"/>
    <x v="3"/>
    <x v="1"/>
    <x v="0"/>
    <x v="0"/>
    <x v="3"/>
    <x v="3"/>
    <x v="10"/>
    <x v="3"/>
  </r>
  <r>
    <x v="1912"/>
    <x v="6"/>
    <x v="1"/>
    <n v="108.8"/>
    <n v="217.6"/>
    <x v="69"/>
    <d v="2025-03-16T00:00:00"/>
    <x v="1"/>
    <x v="0"/>
    <x v="2"/>
    <x v="0"/>
    <x v="6"/>
    <x v="0"/>
    <x v="10"/>
    <x v="1"/>
  </r>
  <r>
    <x v="1913"/>
    <x v="8"/>
    <x v="2"/>
    <n v="48.2"/>
    <n v="144.60000000000002"/>
    <x v="69"/>
    <d v="2025-03-16T00:00:00"/>
    <x v="2"/>
    <x v="4"/>
    <x v="0"/>
    <x v="0"/>
    <x v="7"/>
    <x v="0"/>
    <x v="10"/>
    <x v="2"/>
  </r>
  <r>
    <x v="1914"/>
    <x v="2"/>
    <x v="2"/>
    <n v="104.7"/>
    <n v="314.10000000000002"/>
    <x v="69"/>
    <d v="2025-03-13T00:00:00"/>
    <x v="2"/>
    <x v="0"/>
    <x v="1"/>
    <x v="0"/>
    <x v="7"/>
    <x v="1"/>
    <x v="10"/>
    <x v="2"/>
  </r>
  <r>
    <x v="1915"/>
    <x v="1"/>
    <x v="1"/>
    <n v="80.599999999999994"/>
    <n v="161.19999999999999"/>
    <x v="69"/>
    <d v="2025-03-11T00:00:00"/>
    <x v="2"/>
    <x v="1"/>
    <x v="0"/>
    <x v="0"/>
    <x v="8"/>
    <x v="7"/>
    <x v="10"/>
    <x v="2"/>
  </r>
  <r>
    <x v="1916"/>
    <x v="6"/>
    <x v="0"/>
    <n v="65.5"/>
    <n v="65.5"/>
    <x v="69"/>
    <d v="2025-03-13T00:00:00"/>
    <x v="3"/>
    <x v="1"/>
    <x v="0"/>
    <x v="0"/>
    <x v="8"/>
    <x v="1"/>
    <x v="10"/>
    <x v="3"/>
  </r>
  <r>
    <x v="1917"/>
    <x v="9"/>
    <x v="2"/>
    <n v="61.4"/>
    <n v="184.2"/>
    <x v="69"/>
    <d v="2025-03-13T00:00:00"/>
    <x v="2"/>
    <x v="4"/>
    <x v="2"/>
    <x v="0"/>
    <x v="8"/>
    <x v="1"/>
    <x v="10"/>
    <x v="2"/>
  </r>
  <r>
    <x v="1918"/>
    <x v="0"/>
    <x v="0"/>
    <n v="12.5"/>
    <n v="12.5"/>
    <x v="70"/>
    <d v="2025-03-15T00:00:00"/>
    <x v="2"/>
    <x v="0"/>
    <x v="1"/>
    <x v="0"/>
    <x v="8"/>
    <x v="2"/>
    <x v="10"/>
    <x v="2"/>
  </r>
  <r>
    <x v="1919"/>
    <x v="4"/>
    <x v="12"/>
    <n v="35.1"/>
    <n v="140.4"/>
    <x v="70"/>
    <d v="2025-03-13T00:00:00"/>
    <x v="1"/>
    <x v="2"/>
    <x v="1"/>
    <x v="0"/>
    <x v="17"/>
    <x v="3"/>
    <x v="10"/>
    <x v="1"/>
  </r>
  <r>
    <x v="1920"/>
    <x v="5"/>
    <x v="1"/>
    <n v="55.7"/>
    <n v="111.4"/>
    <x v="70"/>
    <d v="2025-03-13T00:00:00"/>
    <x v="1"/>
    <x v="0"/>
    <x v="1"/>
    <x v="0"/>
    <x v="26"/>
    <x v="3"/>
    <x v="10"/>
    <x v="1"/>
  </r>
  <r>
    <x v="1921"/>
    <x v="7"/>
    <x v="1"/>
    <n v="57.7"/>
    <n v="115.4"/>
    <x v="70"/>
    <d v="2025-03-14T00:00:00"/>
    <x v="1"/>
    <x v="4"/>
    <x v="1"/>
    <x v="0"/>
    <x v="9"/>
    <x v="1"/>
    <x v="10"/>
    <x v="1"/>
  </r>
  <r>
    <x v="1922"/>
    <x v="2"/>
    <x v="13"/>
    <n v="85.7"/>
    <n v="514.20000000000005"/>
    <x v="70"/>
    <d v="2025-03-13T00:00:00"/>
    <x v="1"/>
    <x v="3"/>
    <x v="2"/>
    <x v="0"/>
    <x v="9"/>
    <x v="3"/>
    <x v="10"/>
    <x v="1"/>
  </r>
  <r>
    <x v="1923"/>
    <x v="2"/>
    <x v="2"/>
    <n v="86.9"/>
    <n v="260.70000000000005"/>
    <x v="70"/>
    <d v="2025-03-14T00:00:00"/>
    <x v="2"/>
    <x v="1"/>
    <x v="0"/>
    <x v="0"/>
    <x v="11"/>
    <x v="1"/>
    <x v="10"/>
    <x v="2"/>
  </r>
  <r>
    <x v="1924"/>
    <x v="18"/>
    <x v="1"/>
    <n v="46.4"/>
    <n v="92.8"/>
    <x v="70"/>
    <d v="2025-03-15T00:00:00"/>
    <x v="2"/>
    <x v="4"/>
    <x v="0"/>
    <x v="0"/>
    <x v="11"/>
    <x v="2"/>
    <x v="10"/>
    <x v="2"/>
  </r>
  <r>
    <x v="1925"/>
    <x v="5"/>
    <x v="2"/>
    <n v="25.4"/>
    <n v="76.199999999999989"/>
    <x v="70"/>
    <d v="2025-03-12T00:00:00"/>
    <x v="2"/>
    <x v="2"/>
    <x v="2"/>
    <x v="0"/>
    <x v="18"/>
    <x v="7"/>
    <x v="10"/>
    <x v="2"/>
  </r>
  <r>
    <x v="1926"/>
    <x v="10"/>
    <x v="2"/>
    <n v="47.8"/>
    <n v="143.39999999999998"/>
    <x v="70"/>
    <d v="2025-03-12T00:00:00"/>
    <x v="0"/>
    <x v="2"/>
    <x v="2"/>
    <x v="0"/>
    <x v="19"/>
    <x v="7"/>
    <x v="10"/>
    <x v="0"/>
  </r>
  <r>
    <x v="1927"/>
    <x v="8"/>
    <x v="10"/>
    <n v="18.399999999999999"/>
    <n v="349.59999999999997"/>
    <x v="70"/>
    <d v="2025-03-14T00:00:00"/>
    <x v="3"/>
    <x v="2"/>
    <x v="0"/>
    <x v="0"/>
    <x v="20"/>
    <x v="1"/>
    <x v="10"/>
    <x v="3"/>
  </r>
  <r>
    <x v="1928"/>
    <x v="12"/>
    <x v="2"/>
    <n v="65.5"/>
    <n v="196.5"/>
    <x v="70"/>
    <d v="2025-03-20T00:00:00"/>
    <x v="2"/>
    <x v="0"/>
    <x v="0"/>
    <x v="0"/>
    <x v="21"/>
    <x v="9"/>
    <x v="10"/>
    <x v="2"/>
  </r>
  <r>
    <x v="1929"/>
    <x v="10"/>
    <x v="1"/>
    <n v="50.6"/>
    <n v="101.2"/>
    <x v="70"/>
    <d v="2025-03-15T00:00:00"/>
    <x v="1"/>
    <x v="2"/>
    <x v="4"/>
    <x v="0"/>
    <x v="21"/>
    <x v="2"/>
    <x v="10"/>
    <x v="1"/>
  </r>
  <r>
    <x v="1930"/>
    <x v="3"/>
    <x v="9"/>
    <n v="69"/>
    <n v="345"/>
    <x v="70"/>
    <d v="2025-03-16T00:00:00"/>
    <x v="1"/>
    <x v="3"/>
    <x v="0"/>
    <x v="0"/>
    <x v="21"/>
    <x v="5"/>
    <x v="10"/>
    <x v="1"/>
  </r>
  <r>
    <x v="1931"/>
    <x v="9"/>
    <x v="8"/>
    <n v="51.1"/>
    <n v="408.8"/>
    <x v="70"/>
    <d v="2025-03-14T00:00:00"/>
    <x v="2"/>
    <x v="0"/>
    <x v="0"/>
    <x v="0"/>
    <x v="1"/>
    <x v="1"/>
    <x v="10"/>
    <x v="2"/>
  </r>
  <r>
    <x v="1932"/>
    <x v="9"/>
    <x v="0"/>
    <n v="36.1"/>
    <n v="36.1"/>
    <x v="70"/>
    <d v="2025-03-13T00:00:00"/>
    <x v="2"/>
    <x v="0"/>
    <x v="2"/>
    <x v="0"/>
    <x v="34"/>
    <x v="3"/>
    <x v="10"/>
    <x v="2"/>
  </r>
  <r>
    <x v="1933"/>
    <x v="14"/>
    <x v="0"/>
    <n v="18.7"/>
    <n v="18.7"/>
    <x v="70"/>
    <d v="2025-03-13T00:00:00"/>
    <x v="1"/>
    <x v="0"/>
    <x v="0"/>
    <x v="0"/>
    <x v="3"/>
    <x v="3"/>
    <x v="10"/>
    <x v="1"/>
  </r>
  <r>
    <x v="1934"/>
    <x v="17"/>
    <x v="0"/>
    <n v="30.1"/>
    <n v="30.1"/>
    <x v="70"/>
    <d v="2025-03-15T00:00:00"/>
    <x v="2"/>
    <x v="3"/>
    <x v="1"/>
    <x v="0"/>
    <x v="3"/>
    <x v="2"/>
    <x v="10"/>
    <x v="2"/>
  </r>
  <r>
    <x v="1935"/>
    <x v="8"/>
    <x v="0"/>
    <n v="16.3"/>
    <n v="16.3"/>
    <x v="70"/>
    <d v="2025-03-13T00:00:00"/>
    <x v="1"/>
    <x v="3"/>
    <x v="0"/>
    <x v="0"/>
    <x v="3"/>
    <x v="3"/>
    <x v="10"/>
    <x v="1"/>
  </r>
  <r>
    <x v="1936"/>
    <x v="1"/>
    <x v="2"/>
    <n v="63.8"/>
    <n v="191.39999999999998"/>
    <x v="70"/>
    <d v="2025-03-17T00:00:00"/>
    <x v="2"/>
    <x v="2"/>
    <x v="1"/>
    <x v="0"/>
    <x v="3"/>
    <x v="0"/>
    <x v="10"/>
    <x v="2"/>
  </r>
  <r>
    <x v="1937"/>
    <x v="1"/>
    <x v="3"/>
    <n v="73.900000000000006"/>
    <n v="517.30000000000007"/>
    <x v="70"/>
    <d v="2025-03-12T00:00:00"/>
    <x v="2"/>
    <x v="0"/>
    <x v="1"/>
    <x v="0"/>
    <x v="3"/>
    <x v="7"/>
    <x v="10"/>
    <x v="2"/>
  </r>
  <r>
    <x v="1938"/>
    <x v="0"/>
    <x v="1"/>
    <n v="20.2"/>
    <n v="40.4"/>
    <x v="70"/>
    <d v="2025-03-13T00:00:00"/>
    <x v="1"/>
    <x v="0"/>
    <x v="1"/>
    <x v="0"/>
    <x v="3"/>
    <x v="3"/>
    <x v="10"/>
    <x v="1"/>
  </r>
  <r>
    <x v="1939"/>
    <x v="11"/>
    <x v="5"/>
    <n v="29.5"/>
    <n v="324.5"/>
    <x v="70"/>
    <d v="2025-03-13T00:00:00"/>
    <x v="1"/>
    <x v="0"/>
    <x v="0"/>
    <x v="0"/>
    <x v="3"/>
    <x v="3"/>
    <x v="10"/>
    <x v="1"/>
  </r>
  <r>
    <x v="1940"/>
    <x v="15"/>
    <x v="3"/>
    <n v="37.9"/>
    <n v="265.3"/>
    <x v="70"/>
    <d v="2025-03-13T00:00:00"/>
    <x v="1"/>
    <x v="1"/>
    <x v="0"/>
    <x v="0"/>
    <x v="3"/>
    <x v="3"/>
    <x v="10"/>
    <x v="1"/>
  </r>
  <r>
    <x v="1941"/>
    <x v="2"/>
    <x v="0"/>
    <n v="56.5"/>
    <n v="56.5"/>
    <x v="70"/>
    <d v="2025-03-13T00:00:00"/>
    <x v="2"/>
    <x v="2"/>
    <x v="1"/>
    <x v="0"/>
    <x v="3"/>
    <x v="3"/>
    <x v="10"/>
    <x v="2"/>
  </r>
  <r>
    <x v="1942"/>
    <x v="2"/>
    <x v="1"/>
    <n v="66.900000000000006"/>
    <n v="133.80000000000001"/>
    <x v="70"/>
    <d v="2025-03-18T00:00:00"/>
    <x v="1"/>
    <x v="1"/>
    <x v="4"/>
    <x v="0"/>
    <x v="25"/>
    <x v="4"/>
    <x v="10"/>
    <x v="1"/>
  </r>
  <r>
    <x v="1943"/>
    <x v="2"/>
    <x v="9"/>
    <n v="51.9"/>
    <n v="259.5"/>
    <x v="70"/>
    <d v="2025-03-15T00:00:00"/>
    <x v="1"/>
    <x v="1"/>
    <x v="0"/>
    <x v="0"/>
    <x v="7"/>
    <x v="2"/>
    <x v="10"/>
    <x v="1"/>
  </r>
  <r>
    <x v="1944"/>
    <x v="2"/>
    <x v="1"/>
    <n v="75.599999999999994"/>
    <n v="151.19999999999999"/>
    <x v="70"/>
    <d v="2025-03-15T00:00:00"/>
    <x v="1"/>
    <x v="1"/>
    <x v="0"/>
    <x v="0"/>
    <x v="8"/>
    <x v="2"/>
    <x v="10"/>
    <x v="1"/>
  </r>
  <r>
    <x v="1945"/>
    <x v="12"/>
    <x v="13"/>
    <n v="47.3"/>
    <n v="283.79999999999995"/>
    <x v="70"/>
    <d v="2025-03-23T00:00:00"/>
    <x v="1"/>
    <x v="0"/>
    <x v="0"/>
    <x v="0"/>
    <x v="8"/>
    <x v="11"/>
    <x v="10"/>
    <x v="1"/>
  </r>
  <r>
    <x v="1946"/>
    <x v="4"/>
    <x v="0"/>
    <n v="20.6"/>
    <n v="20.6"/>
    <x v="70"/>
    <d v="2025-03-13T00:00:00"/>
    <x v="0"/>
    <x v="0"/>
    <x v="1"/>
    <x v="0"/>
    <x v="8"/>
    <x v="3"/>
    <x v="10"/>
    <x v="0"/>
  </r>
  <r>
    <x v="1947"/>
    <x v="6"/>
    <x v="2"/>
    <n v="49.7"/>
    <n v="149.10000000000002"/>
    <x v="70"/>
    <d v="2025-03-14T00:00:00"/>
    <x v="1"/>
    <x v="0"/>
    <x v="1"/>
    <x v="0"/>
    <x v="8"/>
    <x v="1"/>
    <x v="10"/>
    <x v="1"/>
  </r>
  <r>
    <x v="1948"/>
    <x v="3"/>
    <x v="0"/>
    <n v="37.9"/>
    <n v="37.9"/>
    <x v="70"/>
    <d v="2025-03-14T00:00:00"/>
    <x v="2"/>
    <x v="0"/>
    <x v="0"/>
    <x v="0"/>
    <x v="8"/>
    <x v="1"/>
    <x v="10"/>
    <x v="2"/>
  </r>
  <r>
    <x v="1949"/>
    <x v="13"/>
    <x v="20"/>
    <n v="32"/>
    <n v="480"/>
    <x v="70"/>
    <d v="2025-03-14T00:00:00"/>
    <x v="2"/>
    <x v="4"/>
    <x v="0"/>
    <x v="0"/>
    <x v="11"/>
    <x v="1"/>
    <x v="10"/>
    <x v="2"/>
  </r>
  <r>
    <x v="1950"/>
    <x v="10"/>
    <x v="16"/>
    <n v="38.5"/>
    <n v="693"/>
    <x v="71"/>
    <d v="2025-03-14T00:00:00"/>
    <x v="1"/>
    <x v="0"/>
    <x v="2"/>
    <x v="0"/>
    <x v="11"/>
    <x v="3"/>
    <x v="10"/>
    <x v="1"/>
  </r>
  <r>
    <x v="1951"/>
    <x v="0"/>
    <x v="12"/>
    <n v="11.7"/>
    <n v="46.8"/>
    <x v="71"/>
    <d v="2025-03-15T00:00:00"/>
    <x v="2"/>
    <x v="1"/>
    <x v="0"/>
    <x v="0"/>
    <x v="20"/>
    <x v="1"/>
    <x v="10"/>
    <x v="2"/>
  </r>
  <r>
    <x v="1952"/>
    <x v="3"/>
    <x v="13"/>
    <n v="83.8"/>
    <n v="502.79999999999995"/>
    <x v="71"/>
    <d v="2025-03-14T00:00:00"/>
    <x v="1"/>
    <x v="0"/>
    <x v="0"/>
    <x v="0"/>
    <x v="21"/>
    <x v="3"/>
    <x v="10"/>
    <x v="1"/>
  </r>
  <r>
    <x v="1953"/>
    <x v="0"/>
    <x v="3"/>
    <n v="14"/>
    <n v="98"/>
    <x v="71"/>
    <d v="2025-03-16T00:00:00"/>
    <x v="1"/>
    <x v="0"/>
    <x v="1"/>
    <x v="0"/>
    <x v="22"/>
    <x v="2"/>
    <x v="10"/>
    <x v="1"/>
  </r>
  <r>
    <x v="1954"/>
    <x v="16"/>
    <x v="12"/>
    <n v="77.3"/>
    <n v="309.2"/>
    <x v="71"/>
    <d v="2025-03-15T00:00:00"/>
    <x v="2"/>
    <x v="4"/>
    <x v="2"/>
    <x v="0"/>
    <x v="3"/>
    <x v="1"/>
    <x v="10"/>
    <x v="2"/>
  </r>
  <r>
    <x v="1955"/>
    <x v="2"/>
    <x v="1"/>
    <n v="76.900000000000006"/>
    <n v="153.80000000000001"/>
    <x v="71"/>
    <d v="2025-03-17T00:00:00"/>
    <x v="2"/>
    <x v="0"/>
    <x v="1"/>
    <x v="0"/>
    <x v="3"/>
    <x v="5"/>
    <x v="10"/>
    <x v="2"/>
  </r>
  <r>
    <x v="1956"/>
    <x v="1"/>
    <x v="0"/>
    <n v="48"/>
    <n v="48"/>
    <x v="71"/>
    <d v="2025-03-15T00:00:00"/>
    <x v="2"/>
    <x v="1"/>
    <x v="2"/>
    <x v="0"/>
    <x v="3"/>
    <x v="1"/>
    <x v="10"/>
    <x v="2"/>
  </r>
  <r>
    <x v="1957"/>
    <x v="2"/>
    <x v="0"/>
    <n v="94.5"/>
    <n v="94.5"/>
    <x v="71"/>
    <d v="2025-03-16T00:00:00"/>
    <x v="1"/>
    <x v="1"/>
    <x v="1"/>
    <x v="0"/>
    <x v="3"/>
    <x v="2"/>
    <x v="10"/>
    <x v="1"/>
  </r>
  <r>
    <x v="1958"/>
    <x v="10"/>
    <x v="2"/>
    <n v="58.4"/>
    <n v="175.2"/>
    <x v="71"/>
    <d v="2025-03-15T00:00:00"/>
    <x v="2"/>
    <x v="1"/>
    <x v="2"/>
    <x v="0"/>
    <x v="3"/>
    <x v="1"/>
    <x v="10"/>
    <x v="2"/>
  </r>
  <r>
    <x v="1959"/>
    <x v="7"/>
    <x v="15"/>
    <n v="42.2"/>
    <n v="548.6"/>
    <x v="71"/>
    <d v="2025-03-13T00:00:00"/>
    <x v="1"/>
    <x v="0"/>
    <x v="0"/>
    <x v="0"/>
    <x v="25"/>
    <x v="7"/>
    <x v="10"/>
    <x v="1"/>
  </r>
  <r>
    <x v="1960"/>
    <x v="6"/>
    <x v="1"/>
    <n v="152.19999999999999"/>
    <n v="304.39999999999998"/>
    <x v="71"/>
    <d v="2025-03-14T00:00:00"/>
    <x v="1"/>
    <x v="4"/>
    <x v="1"/>
    <x v="0"/>
    <x v="25"/>
    <x v="3"/>
    <x v="10"/>
    <x v="1"/>
  </r>
  <r>
    <x v="1961"/>
    <x v="6"/>
    <x v="25"/>
    <n v="72"/>
    <n v="1728"/>
    <x v="71"/>
    <d v="2025-03-14T00:00:00"/>
    <x v="1"/>
    <x v="0"/>
    <x v="1"/>
    <x v="0"/>
    <x v="6"/>
    <x v="3"/>
    <x v="10"/>
    <x v="1"/>
  </r>
  <r>
    <x v="1962"/>
    <x v="1"/>
    <x v="44"/>
    <n v="70.900000000000006"/>
    <n v="1630.7"/>
    <x v="71"/>
    <d v="2025-03-14T00:00:00"/>
    <x v="2"/>
    <x v="2"/>
    <x v="0"/>
    <x v="0"/>
    <x v="8"/>
    <x v="3"/>
    <x v="10"/>
    <x v="2"/>
  </r>
  <r>
    <x v="1963"/>
    <x v="2"/>
    <x v="1"/>
    <n v="53.7"/>
    <n v="107.4"/>
    <x v="71"/>
    <d v="2025-03-14T00:00:00"/>
    <x v="1"/>
    <x v="2"/>
    <x v="2"/>
    <x v="0"/>
    <x v="8"/>
    <x v="3"/>
    <x v="10"/>
    <x v="1"/>
  </r>
  <r>
    <x v="1964"/>
    <x v="9"/>
    <x v="12"/>
    <n v="42.9"/>
    <n v="171.6"/>
    <x v="71"/>
    <d v="2025-03-14T00:00:00"/>
    <x v="2"/>
    <x v="2"/>
    <x v="4"/>
    <x v="0"/>
    <x v="9"/>
    <x v="3"/>
    <x v="10"/>
    <x v="2"/>
  </r>
  <r>
    <x v="1965"/>
    <x v="2"/>
    <x v="3"/>
    <n v="107.5"/>
    <n v="752.5"/>
    <x v="71"/>
    <d v="2025-03-14T00:00:00"/>
    <x v="1"/>
    <x v="1"/>
    <x v="0"/>
    <x v="0"/>
    <x v="11"/>
    <x v="3"/>
    <x v="10"/>
    <x v="1"/>
  </r>
  <r>
    <x v="1966"/>
    <x v="17"/>
    <x v="27"/>
    <n v="21.5"/>
    <n v="344"/>
    <x v="71"/>
    <d v="2025-03-14T00:00:00"/>
    <x v="1"/>
    <x v="1"/>
    <x v="1"/>
    <x v="0"/>
    <x v="32"/>
    <x v="3"/>
    <x v="10"/>
    <x v="1"/>
  </r>
  <r>
    <x v="1967"/>
    <x v="3"/>
    <x v="9"/>
    <n v="85.3"/>
    <n v="426.5"/>
    <x v="71"/>
    <d v="2025-03-15T00:00:00"/>
    <x v="2"/>
    <x v="3"/>
    <x v="0"/>
    <x v="0"/>
    <x v="18"/>
    <x v="1"/>
    <x v="10"/>
    <x v="2"/>
  </r>
  <r>
    <x v="1968"/>
    <x v="7"/>
    <x v="9"/>
    <n v="80.8"/>
    <n v="404"/>
    <x v="71"/>
    <d v="2025-03-21T00:00:00"/>
    <x v="3"/>
    <x v="1"/>
    <x v="1"/>
    <x v="0"/>
    <x v="19"/>
    <x v="9"/>
    <x v="10"/>
    <x v="3"/>
  </r>
  <r>
    <x v="1969"/>
    <x v="2"/>
    <x v="2"/>
    <n v="123.1"/>
    <n v="369.29999999999995"/>
    <x v="71"/>
    <d v="2025-03-15T00:00:00"/>
    <x v="0"/>
    <x v="2"/>
    <x v="0"/>
    <x v="0"/>
    <x v="21"/>
    <x v="1"/>
    <x v="10"/>
    <x v="0"/>
  </r>
  <r>
    <x v="1970"/>
    <x v="8"/>
    <x v="1"/>
    <n v="36.9"/>
    <n v="73.8"/>
    <x v="71"/>
    <d v="2025-03-15T00:00:00"/>
    <x v="2"/>
    <x v="2"/>
    <x v="4"/>
    <x v="0"/>
    <x v="51"/>
    <x v="1"/>
    <x v="10"/>
    <x v="2"/>
  </r>
  <r>
    <x v="1971"/>
    <x v="11"/>
    <x v="9"/>
    <n v="40"/>
    <n v="200"/>
    <x v="71"/>
    <d v="2025-03-14T00:00:00"/>
    <x v="1"/>
    <x v="0"/>
    <x v="0"/>
    <x v="0"/>
    <x v="1"/>
    <x v="3"/>
    <x v="10"/>
    <x v="1"/>
  </r>
  <r>
    <x v="1972"/>
    <x v="6"/>
    <x v="2"/>
    <n v="55.5"/>
    <n v="166.5"/>
    <x v="71"/>
    <d v="2025-03-14T00:00:00"/>
    <x v="1"/>
    <x v="4"/>
    <x v="2"/>
    <x v="0"/>
    <x v="1"/>
    <x v="3"/>
    <x v="10"/>
    <x v="1"/>
  </r>
  <r>
    <x v="1973"/>
    <x v="0"/>
    <x v="12"/>
    <n v="20.5"/>
    <n v="82"/>
    <x v="71"/>
    <d v="2025-03-17T00:00:00"/>
    <x v="2"/>
    <x v="4"/>
    <x v="0"/>
    <x v="0"/>
    <x v="1"/>
    <x v="5"/>
    <x v="10"/>
    <x v="2"/>
  </r>
  <r>
    <x v="1974"/>
    <x v="18"/>
    <x v="12"/>
    <n v="50.1"/>
    <n v="200.4"/>
    <x v="71"/>
    <d v="2025-03-14T00:00:00"/>
    <x v="2"/>
    <x v="4"/>
    <x v="0"/>
    <x v="0"/>
    <x v="1"/>
    <x v="3"/>
    <x v="10"/>
    <x v="2"/>
  </r>
  <r>
    <x v="1975"/>
    <x v="9"/>
    <x v="0"/>
    <n v="35.9"/>
    <n v="35.9"/>
    <x v="71"/>
    <d v="2025-03-15T00:00:00"/>
    <x v="1"/>
    <x v="1"/>
    <x v="2"/>
    <x v="0"/>
    <x v="1"/>
    <x v="1"/>
    <x v="10"/>
    <x v="1"/>
  </r>
  <r>
    <x v="1976"/>
    <x v="13"/>
    <x v="12"/>
    <n v="29.4"/>
    <n v="117.6"/>
    <x v="72"/>
    <d v="2025-03-15T00:00:00"/>
    <x v="1"/>
    <x v="2"/>
    <x v="2"/>
    <x v="0"/>
    <x v="33"/>
    <x v="3"/>
    <x v="10"/>
    <x v="1"/>
  </r>
  <r>
    <x v="1977"/>
    <x v="8"/>
    <x v="9"/>
    <n v="29.1"/>
    <n v="145.5"/>
    <x v="72"/>
    <d v="2025-03-22T00:00:00"/>
    <x v="3"/>
    <x v="2"/>
    <x v="1"/>
    <x v="0"/>
    <x v="33"/>
    <x v="9"/>
    <x v="10"/>
    <x v="3"/>
  </r>
  <r>
    <x v="1978"/>
    <x v="8"/>
    <x v="2"/>
    <n v="33.5"/>
    <n v="100.5"/>
    <x v="72"/>
    <d v="2025-03-26T00:00:00"/>
    <x v="1"/>
    <x v="0"/>
    <x v="2"/>
    <x v="0"/>
    <x v="22"/>
    <x v="13"/>
    <x v="10"/>
    <x v="1"/>
  </r>
  <r>
    <x v="1979"/>
    <x v="4"/>
    <x v="7"/>
    <n v="36"/>
    <n v="360"/>
    <x v="72"/>
    <d v="2025-03-14T00:00:00"/>
    <x v="1"/>
    <x v="3"/>
    <x v="2"/>
    <x v="0"/>
    <x v="3"/>
    <x v="7"/>
    <x v="10"/>
    <x v="1"/>
  </r>
  <r>
    <x v="1980"/>
    <x v="16"/>
    <x v="2"/>
    <n v="57.3"/>
    <n v="171.89999999999998"/>
    <x v="72"/>
    <d v="2025-03-18T00:00:00"/>
    <x v="2"/>
    <x v="0"/>
    <x v="2"/>
    <x v="0"/>
    <x v="3"/>
    <x v="5"/>
    <x v="10"/>
    <x v="2"/>
  </r>
  <r>
    <x v="1981"/>
    <x v="1"/>
    <x v="0"/>
    <n v="81.400000000000006"/>
    <n v="81.400000000000006"/>
    <x v="72"/>
    <d v="2025-03-15T00:00:00"/>
    <x v="2"/>
    <x v="2"/>
    <x v="2"/>
    <x v="0"/>
    <x v="3"/>
    <x v="3"/>
    <x v="10"/>
    <x v="2"/>
  </r>
  <r>
    <x v="1982"/>
    <x v="10"/>
    <x v="1"/>
    <n v="35.299999999999997"/>
    <n v="70.599999999999994"/>
    <x v="72"/>
    <d v="2025-03-18T00:00:00"/>
    <x v="1"/>
    <x v="0"/>
    <x v="2"/>
    <x v="0"/>
    <x v="3"/>
    <x v="5"/>
    <x v="10"/>
    <x v="1"/>
  </r>
  <r>
    <x v="1983"/>
    <x v="3"/>
    <x v="0"/>
    <n v="36.1"/>
    <n v="36.1"/>
    <x v="72"/>
    <d v="2025-03-15T00:00:00"/>
    <x v="2"/>
    <x v="4"/>
    <x v="0"/>
    <x v="0"/>
    <x v="3"/>
    <x v="3"/>
    <x v="10"/>
    <x v="2"/>
  </r>
  <r>
    <x v="1984"/>
    <x v="1"/>
    <x v="1"/>
    <n v="36.700000000000003"/>
    <n v="73.400000000000006"/>
    <x v="72"/>
    <d v="2025-03-16T00:00:00"/>
    <x v="2"/>
    <x v="0"/>
    <x v="2"/>
    <x v="0"/>
    <x v="3"/>
    <x v="1"/>
    <x v="10"/>
    <x v="2"/>
  </r>
  <r>
    <x v="1985"/>
    <x v="10"/>
    <x v="0"/>
    <n v="20.9"/>
    <n v="20.9"/>
    <x v="72"/>
    <d v="2025-03-16T00:00:00"/>
    <x v="2"/>
    <x v="0"/>
    <x v="4"/>
    <x v="0"/>
    <x v="3"/>
    <x v="1"/>
    <x v="10"/>
    <x v="2"/>
  </r>
  <r>
    <x v="1986"/>
    <x v="12"/>
    <x v="2"/>
    <n v="58.8"/>
    <n v="176.39999999999998"/>
    <x v="72"/>
    <d v="2025-03-18T00:00:00"/>
    <x v="1"/>
    <x v="0"/>
    <x v="2"/>
    <x v="0"/>
    <x v="25"/>
    <x v="5"/>
    <x v="10"/>
    <x v="1"/>
  </r>
  <r>
    <x v="1987"/>
    <x v="2"/>
    <x v="2"/>
    <n v="97.6"/>
    <n v="292.79999999999995"/>
    <x v="73"/>
    <d v="2025-03-17T00:00:00"/>
    <x v="0"/>
    <x v="0"/>
    <x v="0"/>
    <x v="0"/>
    <x v="6"/>
    <x v="1"/>
    <x v="10"/>
    <x v="0"/>
  </r>
  <r>
    <x v="1988"/>
    <x v="1"/>
    <x v="1"/>
    <n v="58.7"/>
    <n v="117.4"/>
    <x v="73"/>
    <d v="2025-03-18T00:00:00"/>
    <x v="2"/>
    <x v="0"/>
    <x v="1"/>
    <x v="0"/>
    <x v="6"/>
    <x v="2"/>
    <x v="10"/>
    <x v="2"/>
  </r>
  <r>
    <x v="1989"/>
    <x v="6"/>
    <x v="9"/>
    <n v="71.900000000000006"/>
    <n v="359.5"/>
    <x v="73"/>
    <d v="2025-03-16T00:00:00"/>
    <x v="0"/>
    <x v="0"/>
    <x v="1"/>
    <x v="0"/>
    <x v="6"/>
    <x v="3"/>
    <x v="10"/>
    <x v="0"/>
  </r>
  <r>
    <x v="1990"/>
    <x v="1"/>
    <x v="1"/>
    <n v="62.4"/>
    <n v="124.8"/>
    <x v="73"/>
    <d v="2025-03-17T00:00:00"/>
    <x v="0"/>
    <x v="0"/>
    <x v="1"/>
    <x v="0"/>
    <x v="8"/>
    <x v="1"/>
    <x v="10"/>
    <x v="0"/>
  </r>
  <r>
    <x v="1991"/>
    <x v="6"/>
    <x v="27"/>
    <n v="53.8"/>
    <n v="860.8"/>
    <x v="73"/>
    <d v="2025-03-16T00:00:00"/>
    <x v="2"/>
    <x v="1"/>
    <x v="0"/>
    <x v="0"/>
    <x v="8"/>
    <x v="3"/>
    <x v="10"/>
    <x v="2"/>
  </r>
  <r>
    <x v="1992"/>
    <x v="9"/>
    <x v="0"/>
    <n v="43.8"/>
    <n v="43.8"/>
    <x v="73"/>
    <d v="2025-03-22T00:00:00"/>
    <x v="2"/>
    <x v="0"/>
    <x v="2"/>
    <x v="0"/>
    <x v="8"/>
    <x v="6"/>
    <x v="10"/>
    <x v="2"/>
  </r>
  <r>
    <x v="1993"/>
    <x v="5"/>
    <x v="2"/>
    <n v="53.6"/>
    <n v="160.80000000000001"/>
    <x v="73"/>
    <d v="2025-03-16T00:00:00"/>
    <x v="1"/>
    <x v="3"/>
    <x v="0"/>
    <x v="0"/>
    <x v="8"/>
    <x v="3"/>
    <x v="10"/>
    <x v="1"/>
  </r>
  <r>
    <x v="1994"/>
    <x v="12"/>
    <x v="1"/>
    <n v="84.3"/>
    <n v="168.6"/>
    <x v="73"/>
    <d v="2025-03-18T00:00:00"/>
    <x v="1"/>
    <x v="4"/>
    <x v="1"/>
    <x v="0"/>
    <x v="8"/>
    <x v="2"/>
    <x v="10"/>
    <x v="1"/>
  </r>
  <r>
    <x v="1995"/>
    <x v="6"/>
    <x v="11"/>
    <n v="117.9"/>
    <n v="1061.1000000000001"/>
    <x v="73"/>
    <d v="2025-03-16T00:00:00"/>
    <x v="2"/>
    <x v="1"/>
    <x v="2"/>
    <x v="0"/>
    <x v="8"/>
    <x v="3"/>
    <x v="10"/>
    <x v="2"/>
  </r>
  <r>
    <x v="1996"/>
    <x v="4"/>
    <x v="8"/>
    <n v="30"/>
    <n v="240"/>
    <x v="73"/>
    <d v="2025-03-16T00:00:00"/>
    <x v="2"/>
    <x v="1"/>
    <x v="0"/>
    <x v="0"/>
    <x v="26"/>
    <x v="3"/>
    <x v="10"/>
    <x v="2"/>
  </r>
  <r>
    <x v="1997"/>
    <x v="14"/>
    <x v="2"/>
    <n v="37.299999999999997"/>
    <n v="111.89999999999999"/>
    <x v="73"/>
    <d v="2025-03-16T00:00:00"/>
    <x v="1"/>
    <x v="2"/>
    <x v="0"/>
    <x v="0"/>
    <x v="9"/>
    <x v="3"/>
    <x v="10"/>
    <x v="1"/>
  </r>
  <r>
    <x v="1998"/>
    <x v="4"/>
    <x v="11"/>
    <n v="25.1"/>
    <n v="225.9"/>
    <x v="73"/>
    <d v="2025-03-17T00:00:00"/>
    <x v="1"/>
    <x v="1"/>
    <x v="2"/>
    <x v="0"/>
    <x v="11"/>
    <x v="1"/>
    <x v="10"/>
    <x v="1"/>
  </r>
  <r>
    <x v="1999"/>
    <x v="8"/>
    <x v="5"/>
    <n v="36"/>
    <n v="396"/>
    <x v="73"/>
    <d v="2025-03-25T00:00:00"/>
    <x v="1"/>
    <x v="1"/>
    <x v="0"/>
    <x v="0"/>
    <x v="18"/>
    <x v="14"/>
    <x v="10"/>
    <x v="1"/>
  </r>
  <r>
    <x v="2000"/>
    <x v="16"/>
    <x v="2"/>
    <n v="48.5"/>
    <n v="145.5"/>
    <x v="73"/>
    <d v="2025-03-19T00:00:00"/>
    <x v="2"/>
    <x v="1"/>
    <x v="0"/>
    <x v="0"/>
    <x v="19"/>
    <x v="5"/>
    <x v="10"/>
    <x v="2"/>
  </r>
  <r>
    <x v="2001"/>
    <x v="17"/>
    <x v="13"/>
    <n v="21.1"/>
    <n v="126.60000000000001"/>
    <x v="73"/>
    <d v="2025-03-16T00:00:00"/>
    <x v="1"/>
    <x v="1"/>
    <x v="2"/>
    <x v="0"/>
    <x v="21"/>
    <x v="3"/>
    <x v="10"/>
    <x v="1"/>
  </r>
  <r>
    <x v="2002"/>
    <x v="15"/>
    <x v="21"/>
    <n v="43.2"/>
    <n v="604.80000000000007"/>
    <x v="73"/>
    <d v="2025-03-16T00:00:00"/>
    <x v="3"/>
    <x v="0"/>
    <x v="1"/>
    <x v="0"/>
    <x v="21"/>
    <x v="3"/>
    <x v="10"/>
    <x v="3"/>
  </r>
  <r>
    <x v="2003"/>
    <x v="9"/>
    <x v="1"/>
    <n v="21.1"/>
    <n v="42.2"/>
    <x v="73"/>
    <d v="2025-03-16T00:00:00"/>
    <x v="0"/>
    <x v="3"/>
    <x v="1"/>
    <x v="0"/>
    <x v="21"/>
    <x v="3"/>
    <x v="10"/>
    <x v="0"/>
  </r>
  <r>
    <x v="2004"/>
    <x v="6"/>
    <x v="12"/>
    <n v="41.3"/>
    <n v="165.2"/>
    <x v="73"/>
    <d v="2025-03-17T00:00:00"/>
    <x v="2"/>
    <x v="3"/>
    <x v="2"/>
    <x v="0"/>
    <x v="1"/>
    <x v="1"/>
    <x v="10"/>
    <x v="2"/>
  </r>
  <r>
    <x v="2005"/>
    <x v="8"/>
    <x v="1"/>
    <n v="15.3"/>
    <n v="30.6"/>
    <x v="73"/>
    <d v="2025-03-18T00:00:00"/>
    <x v="0"/>
    <x v="2"/>
    <x v="2"/>
    <x v="0"/>
    <x v="1"/>
    <x v="2"/>
    <x v="10"/>
    <x v="0"/>
  </r>
  <r>
    <x v="2006"/>
    <x v="1"/>
    <x v="0"/>
    <n v="54.6"/>
    <n v="54.6"/>
    <x v="73"/>
    <d v="2025-03-17T00:00:00"/>
    <x v="1"/>
    <x v="1"/>
    <x v="1"/>
    <x v="0"/>
    <x v="2"/>
    <x v="1"/>
    <x v="10"/>
    <x v="1"/>
  </r>
  <r>
    <x v="2007"/>
    <x v="8"/>
    <x v="0"/>
    <n v="15.9"/>
    <n v="15.9"/>
    <x v="73"/>
    <d v="2025-03-16T00:00:00"/>
    <x v="1"/>
    <x v="0"/>
    <x v="1"/>
    <x v="0"/>
    <x v="22"/>
    <x v="3"/>
    <x v="10"/>
    <x v="1"/>
  </r>
  <r>
    <x v="2008"/>
    <x v="9"/>
    <x v="0"/>
    <n v="50.2"/>
    <n v="50.2"/>
    <x v="73"/>
    <d v="2025-03-17T00:00:00"/>
    <x v="2"/>
    <x v="3"/>
    <x v="2"/>
    <x v="0"/>
    <x v="34"/>
    <x v="1"/>
    <x v="10"/>
    <x v="2"/>
  </r>
  <r>
    <x v="2009"/>
    <x v="11"/>
    <x v="12"/>
    <n v="85.1"/>
    <n v="340.4"/>
    <x v="73"/>
    <d v="2025-03-16T00:00:00"/>
    <x v="2"/>
    <x v="3"/>
    <x v="4"/>
    <x v="0"/>
    <x v="34"/>
    <x v="3"/>
    <x v="10"/>
    <x v="2"/>
  </r>
  <r>
    <x v="2010"/>
    <x v="11"/>
    <x v="1"/>
    <n v="41.4"/>
    <n v="82.8"/>
    <x v="73"/>
    <d v="2025-03-16T00:00:00"/>
    <x v="2"/>
    <x v="0"/>
    <x v="2"/>
    <x v="0"/>
    <x v="3"/>
    <x v="3"/>
    <x v="10"/>
    <x v="2"/>
  </r>
  <r>
    <x v="2011"/>
    <x v="4"/>
    <x v="3"/>
    <n v="32.700000000000003"/>
    <n v="228.90000000000003"/>
    <x v="73"/>
    <d v="2025-03-16T00:00:00"/>
    <x v="2"/>
    <x v="2"/>
    <x v="1"/>
    <x v="0"/>
    <x v="3"/>
    <x v="3"/>
    <x v="10"/>
    <x v="2"/>
  </r>
  <r>
    <x v="2012"/>
    <x v="4"/>
    <x v="1"/>
    <n v="41.6"/>
    <n v="83.2"/>
    <x v="73"/>
    <d v="2025-03-17T00:00:00"/>
    <x v="1"/>
    <x v="4"/>
    <x v="1"/>
    <x v="0"/>
    <x v="3"/>
    <x v="1"/>
    <x v="10"/>
    <x v="1"/>
  </r>
  <r>
    <x v="2013"/>
    <x v="5"/>
    <x v="12"/>
    <n v="64.8"/>
    <n v="259.2"/>
    <x v="73"/>
    <d v="2025-03-16T00:00:00"/>
    <x v="0"/>
    <x v="2"/>
    <x v="0"/>
    <x v="0"/>
    <x v="3"/>
    <x v="3"/>
    <x v="10"/>
    <x v="0"/>
  </r>
  <r>
    <x v="2014"/>
    <x v="15"/>
    <x v="1"/>
    <n v="33.6"/>
    <n v="67.2"/>
    <x v="73"/>
    <d v="2025-03-16T00:00:00"/>
    <x v="1"/>
    <x v="0"/>
    <x v="2"/>
    <x v="0"/>
    <x v="3"/>
    <x v="3"/>
    <x v="10"/>
    <x v="1"/>
  </r>
  <r>
    <x v="2015"/>
    <x v="6"/>
    <x v="2"/>
    <n v="100.7"/>
    <n v="302.10000000000002"/>
    <x v="73"/>
    <d v="2025-03-16T00:00:00"/>
    <x v="0"/>
    <x v="1"/>
    <x v="0"/>
    <x v="0"/>
    <x v="3"/>
    <x v="3"/>
    <x v="10"/>
    <x v="0"/>
  </r>
  <r>
    <x v="2016"/>
    <x v="4"/>
    <x v="1"/>
    <n v="49.3"/>
    <n v="98.6"/>
    <x v="74"/>
    <d v="2025-03-18T00:00:00"/>
    <x v="2"/>
    <x v="4"/>
    <x v="2"/>
    <x v="0"/>
    <x v="3"/>
    <x v="1"/>
    <x v="11"/>
    <x v="2"/>
  </r>
  <r>
    <x v="2017"/>
    <x v="2"/>
    <x v="13"/>
    <n v="97"/>
    <n v="582"/>
    <x v="74"/>
    <d v="2025-03-19T00:00:00"/>
    <x v="1"/>
    <x v="2"/>
    <x v="2"/>
    <x v="0"/>
    <x v="3"/>
    <x v="2"/>
    <x v="11"/>
    <x v="1"/>
  </r>
  <r>
    <x v="2018"/>
    <x v="0"/>
    <x v="13"/>
    <n v="25.2"/>
    <n v="151.19999999999999"/>
    <x v="74"/>
    <d v="2025-03-19T00:00:00"/>
    <x v="2"/>
    <x v="4"/>
    <x v="2"/>
    <x v="0"/>
    <x v="3"/>
    <x v="2"/>
    <x v="11"/>
    <x v="2"/>
  </r>
  <r>
    <x v="2019"/>
    <x v="0"/>
    <x v="5"/>
    <n v="12.2"/>
    <n v="134.19999999999999"/>
    <x v="74"/>
    <d v="2025-03-17T00:00:00"/>
    <x v="0"/>
    <x v="0"/>
    <x v="1"/>
    <x v="0"/>
    <x v="3"/>
    <x v="3"/>
    <x v="11"/>
    <x v="0"/>
  </r>
  <r>
    <x v="2020"/>
    <x v="8"/>
    <x v="3"/>
    <n v="38.799999999999997"/>
    <n v="271.59999999999997"/>
    <x v="74"/>
    <d v="2025-03-18T00:00:00"/>
    <x v="2"/>
    <x v="1"/>
    <x v="1"/>
    <x v="0"/>
    <x v="23"/>
    <x v="1"/>
    <x v="11"/>
    <x v="2"/>
  </r>
  <r>
    <x v="2021"/>
    <x v="2"/>
    <x v="12"/>
    <n v="53.2"/>
    <n v="212.8"/>
    <x v="74"/>
    <d v="2025-03-17T00:00:00"/>
    <x v="1"/>
    <x v="0"/>
    <x v="2"/>
    <x v="0"/>
    <x v="8"/>
    <x v="3"/>
    <x v="11"/>
    <x v="1"/>
  </r>
  <r>
    <x v="2022"/>
    <x v="6"/>
    <x v="3"/>
    <n v="151"/>
    <n v="1057"/>
    <x v="74"/>
    <d v="2025-03-17T00:00:00"/>
    <x v="3"/>
    <x v="1"/>
    <x v="1"/>
    <x v="0"/>
    <x v="8"/>
    <x v="3"/>
    <x v="11"/>
    <x v="3"/>
  </r>
  <r>
    <x v="2023"/>
    <x v="1"/>
    <x v="1"/>
    <n v="37.1"/>
    <n v="74.2"/>
    <x v="74"/>
    <d v="2025-03-17T00:00:00"/>
    <x v="2"/>
    <x v="4"/>
    <x v="0"/>
    <x v="0"/>
    <x v="8"/>
    <x v="3"/>
    <x v="11"/>
    <x v="2"/>
  </r>
  <r>
    <x v="2024"/>
    <x v="5"/>
    <x v="1"/>
    <n v="38.9"/>
    <n v="77.8"/>
    <x v="74"/>
    <d v="2025-03-17T00:00:00"/>
    <x v="1"/>
    <x v="4"/>
    <x v="0"/>
    <x v="0"/>
    <x v="8"/>
    <x v="3"/>
    <x v="11"/>
    <x v="1"/>
  </r>
  <r>
    <x v="2025"/>
    <x v="10"/>
    <x v="1"/>
    <n v="35.200000000000003"/>
    <n v="70.400000000000006"/>
    <x v="74"/>
    <d v="2025-03-17T00:00:00"/>
    <x v="1"/>
    <x v="0"/>
    <x v="2"/>
    <x v="0"/>
    <x v="17"/>
    <x v="3"/>
    <x v="11"/>
    <x v="1"/>
  </r>
  <r>
    <x v="2026"/>
    <x v="0"/>
    <x v="1"/>
    <n v="22.3"/>
    <n v="44.6"/>
    <x v="74"/>
    <d v="2025-03-18T00:00:00"/>
    <x v="2"/>
    <x v="1"/>
    <x v="0"/>
    <x v="0"/>
    <x v="9"/>
    <x v="1"/>
    <x v="11"/>
    <x v="2"/>
  </r>
  <r>
    <x v="2027"/>
    <x v="9"/>
    <x v="0"/>
    <n v="43.3"/>
    <n v="43.3"/>
    <x v="74"/>
    <d v="2025-03-19T00:00:00"/>
    <x v="2"/>
    <x v="0"/>
    <x v="2"/>
    <x v="0"/>
    <x v="11"/>
    <x v="2"/>
    <x v="11"/>
    <x v="2"/>
  </r>
  <r>
    <x v="2028"/>
    <x v="6"/>
    <x v="13"/>
    <n v="75.900000000000006"/>
    <n v="455.40000000000003"/>
    <x v="74"/>
    <d v="2025-03-22T00:00:00"/>
    <x v="1"/>
    <x v="0"/>
    <x v="0"/>
    <x v="0"/>
    <x v="11"/>
    <x v="4"/>
    <x v="11"/>
    <x v="1"/>
  </r>
  <r>
    <x v="2029"/>
    <x v="6"/>
    <x v="2"/>
    <n v="78.7"/>
    <n v="236.10000000000002"/>
    <x v="74"/>
    <d v="2025-03-20T00:00:00"/>
    <x v="2"/>
    <x v="2"/>
    <x v="1"/>
    <x v="0"/>
    <x v="11"/>
    <x v="5"/>
    <x v="11"/>
    <x v="2"/>
  </r>
  <r>
    <x v="2030"/>
    <x v="1"/>
    <x v="0"/>
    <n v="66.3"/>
    <n v="66.3"/>
    <x v="74"/>
    <d v="2025-03-20T00:00:00"/>
    <x v="2"/>
    <x v="0"/>
    <x v="2"/>
    <x v="0"/>
    <x v="19"/>
    <x v="5"/>
    <x v="11"/>
    <x v="2"/>
  </r>
  <r>
    <x v="2031"/>
    <x v="8"/>
    <x v="1"/>
    <n v="33.6"/>
    <n v="67.2"/>
    <x v="74"/>
    <d v="2025-03-16T00:00:00"/>
    <x v="1"/>
    <x v="0"/>
    <x v="1"/>
    <x v="0"/>
    <x v="19"/>
    <x v="7"/>
    <x v="11"/>
    <x v="1"/>
  </r>
  <r>
    <x v="2032"/>
    <x v="2"/>
    <x v="3"/>
    <n v="61.4"/>
    <n v="429.8"/>
    <x v="74"/>
    <d v="2025-03-17T00:00:00"/>
    <x v="1"/>
    <x v="4"/>
    <x v="0"/>
    <x v="0"/>
    <x v="19"/>
    <x v="3"/>
    <x v="11"/>
    <x v="1"/>
  </r>
  <r>
    <x v="2033"/>
    <x v="8"/>
    <x v="1"/>
    <n v="17.5"/>
    <n v="35"/>
    <x v="74"/>
    <d v="2025-03-19T00:00:00"/>
    <x v="2"/>
    <x v="0"/>
    <x v="0"/>
    <x v="0"/>
    <x v="21"/>
    <x v="2"/>
    <x v="11"/>
    <x v="2"/>
  </r>
  <r>
    <x v="2034"/>
    <x v="8"/>
    <x v="1"/>
    <n v="32.5"/>
    <n v="65"/>
    <x v="74"/>
    <d v="2025-03-19T00:00:00"/>
    <x v="2"/>
    <x v="1"/>
    <x v="0"/>
    <x v="0"/>
    <x v="21"/>
    <x v="2"/>
    <x v="11"/>
    <x v="2"/>
  </r>
  <r>
    <x v="2035"/>
    <x v="4"/>
    <x v="0"/>
    <n v="34.6"/>
    <n v="34.6"/>
    <x v="74"/>
    <d v="2025-03-17T00:00:00"/>
    <x v="2"/>
    <x v="4"/>
    <x v="0"/>
    <x v="0"/>
    <x v="21"/>
    <x v="3"/>
    <x v="11"/>
    <x v="2"/>
  </r>
  <r>
    <x v="2036"/>
    <x v="2"/>
    <x v="0"/>
    <n v="75.900000000000006"/>
    <n v="75.900000000000006"/>
    <x v="74"/>
    <d v="2025-03-16T00:00:00"/>
    <x v="1"/>
    <x v="1"/>
    <x v="2"/>
    <x v="0"/>
    <x v="21"/>
    <x v="7"/>
    <x v="11"/>
    <x v="1"/>
  </r>
  <r>
    <x v="2037"/>
    <x v="1"/>
    <x v="2"/>
    <n v="42.1"/>
    <n v="126.30000000000001"/>
    <x v="74"/>
    <d v="2025-03-19T00:00:00"/>
    <x v="1"/>
    <x v="1"/>
    <x v="1"/>
    <x v="0"/>
    <x v="21"/>
    <x v="2"/>
    <x v="11"/>
    <x v="1"/>
  </r>
  <r>
    <x v="2038"/>
    <x v="7"/>
    <x v="2"/>
    <n v="65.3"/>
    <n v="195.89999999999998"/>
    <x v="74"/>
    <d v="2025-03-23T00:00:00"/>
    <x v="1"/>
    <x v="0"/>
    <x v="0"/>
    <x v="0"/>
    <x v="1"/>
    <x v="6"/>
    <x v="11"/>
    <x v="1"/>
  </r>
  <r>
    <x v="2039"/>
    <x v="15"/>
    <x v="0"/>
    <n v="20.6"/>
    <n v="20.6"/>
    <x v="74"/>
    <d v="2025-03-19T00:00:00"/>
    <x v="1"/>
    <x v="3"/>
    <x v="0"/>
    <x v="0"/>
    <x v="42"/>
    <x v="2"/>
    <x v="11"/>
    <x v="1"/>
  </r>
  <r>
    <x v="2040"/>
    <x v="8"/>
    <x v="3"/>
    <n v="16.5"/>
    <n v="115.5"/>
    <x v="74"/>
    <d v="2025-03-17T00:00:00"/>
    <x v="1"/>
    <x v="1"/>
    <x v="1"/>
    <x v="0"/>
    <x v="2"/>
    <x v="3"/>
    <x v="11"/>
    <x v="1"/>
  </r>
  <r>
    <x v="2041"/>
    <x v="16"/>
    <x v="7"/>
    <n v="36.200000000000003"/>
    <n v="362"/>
    <x v="74"/>
    <d v="2025-03-18T00:00:00"/>
    <x v="1"/>
    <x v="0"/>
    <x v="2"/>
    <x v="0"/>
    <x v="2"/>
    <x v="1"/>
    <x v="11"/>
    <x v="1"/>
  </r>
  <r>
    <x v="2042"/>
    <x v="6"/>
    <x v="0"/>
    <n v="53.2"/>
    <n v="53.2"/>
    <x v="74"/>
    <d v="2025-03-17T00:00:00"/>
    <x v="2"/>
    <x v="0"/>
    <x v="1"/>
    <x v="0"/>
    <x v="22"/>
    <x v="3"/>
    <x v="11"/>
    <x v="2"/>
  </r>
  <r>
    <x v="2043"/>
    <x v="2"/>
    <x v="21"/>
    <n v="176"/>
    <n v="2464"/>
    <x v="74"/>
    <d v="2025-03-17T00:00:00"/>
    <x v="2"/>
    <x v="0"/>
    <x v="1"/>
    <x v="0"/>
    <x v="3"/>
    <x v="3"/>
    <x v="11"/>
    <x v="2"/>
  </r>
  <r>
    <x v="2044"/>
    <x v="1"/>
    <x v="0"/>
    <n v="52.4"/>
    <n v="52.4"/>
    <x v="74"/>
    <d v="2025-03-17T00:00:00"/>
    <x v="1"/>
    <x v="1"/>
    <x v="0"/>
    <x v="0"/>
    <x v="3"/>
    <x v="3"/>
    <x v="11"/>
    <x v="1"/>
  </r>
  <r>
    <x v="2045"/>
    <x v="10"/>
    <x v="2"/>
    <n v="48.2"/>
    <n v="144.60000000000002"/>
    <x v="74"/>
    <d v="2025-03-17T00:00:00"/>
    <x v="2"/>
    <x v="1"/>
    <x v="2"/>
    <x v="0"/>
    <x v="3"/>
    <x v="3"/>
    <x v="11"/>
    <x v="2"/>
  </r>
  <r>
    <x v="2046"/>
    <x v="15"/>
    <x v="0"/>
    <n v="51.6"/>
    <n v="51.6"/>
    <x v="74"/>
    <d v="2025-03-20T00:00:00"/>
    <x v="2"/>
    <x v="2"/>
    <x v="1"/>
    <x v="0"/>
    <x v="3"/>
    <x v="5"/>
    <x v="11"/>
    <x v="2"/>
  </r>
  <r>
    <x v="2047"/>
    <x v="0"/>
    <x v="12"/>
    <n v="33.700000000000003"/>
    <n v="134.80000000000001"/>
    <x v="75"/>
    <d v="2025-03-18T00:00:00"/>
    <x v="1"/>
    <x v="0"/>
    <x v="0"/>
    <x v="0"/>
    <x v="3"/>
    <x v="3"/>
    <x v="11"/>
    <x v="1"/>
  </r>
  <r>
    <x v="2048"/>
    <x v="4"/>
    <x v="7"/>
    <n v="36.299999999999997"/>
    <n v="363"/>
    <x v="75"/>
    <d v="2025-03-19T00:00:00"/>
    <x v="2"/>
    <x v="4"/>
    <x v="1"/>
    <x v="0"/>
    <x v="3"/>
    <x v="1"/>
    <x v="11"/>
    <x v="2"/>
  </r>
  <r>
    <x v="2049"/>
    <x v="8"/>
    <x v="0"/>
    <n v="23.4"/>
    <n v="23.4"/>
    <x v="75"/>
    <d v="2025-03-22T00:00:00"/>
    <x v="2"/>
    <x v="1"/>
    <x v="2"/>
    <x v="0"/>
    <x v="3"/>
    <x v="0"/>
    <x v="11"/>
    <x v="2"/>
  </r>
  <r>
    <x v="2050"/>
    <x v="15"/>
    <x v="8"/>
    <n v="56.6"/>
    <n v="452.8"/>
    <x v="75"/>
    <d v="2025-03-19T00:00:00"/>
    <x v="2"/>
    <x v="1"/>
    <x v="0"/>
    <x v="0"/>
    <x v="3"/>
    <x v="1"/>
    <x v="11"/>
    <x v="2"/>
  </r>
  <r>
    <x v="2051"/>
    <x v="15"/>
    <x v="1"/>
    <n v="26.8"/>
    <n v="53.6"/>
    <x v="75"/>
    <d v="2025-03-18T00:00:00"/>
    <x v="1"/>
    <x v="0"/>
    <x v="0"/>
    <x v="0"/>
    <x v="4"/>
    <x v="3"/>
    <x v="11"/>
    <x v="1"/>
  </r>
  <r>
    <x v="2052"/>
    <x v="0"/>
    <x v="2"/>
    <n v="11.3"/>
    <n v="33.900000000000006"/>
    <x v="75"/>
    <d v="2025-03-19T00:00:00"/>
    <x v="1"/>
    <x v="2"/>
    <x v="0"/>
    <x v="0"/>
    <x v="25"/>
    <x v="1"/>
    <x v="11"/>
    <x v="1"/>
  </r>
  <r>
    <x v="2053"/>
    <x v="6"/>
    <x v="2"/>
    <n v="60.1"/>
    <n v="180.3"/>
    <x v="75"/>
    <d v="2025-03-20T00:00:00"/>
    <x v="2"/>
    <x v="0"/>
    <x v="0"/>
    <x v="0"/>
    <x v="7"/>
    <x v="2"/>
    <x v="11"/>
    <x v="2"/>
  </r>
  <r>
    <x v="2054"/>
    <x v="0"/>
    <x v="5"/>
    <n v="27.7"/>
    <n v="304.7"/>
    <x v="75"/>
    <d v="2025-03-22T00:00:00"/>
    <x v="2"/>
    <x v="0"/>
    <x v="0"/>
    <x v="0"/>
    <x v="8"/>
    <x v="0"/>
    <x v="11"/>
    <x v="2"/>
  </r>
  <r>
    <x v="2055"/>
    <x v="15"/>
    <x v="0"/>
    <n v="71.400000000000006"/>
    <n v="71.400000000000006"/>
    <x v="75"/>
    <d v="2025-03-20T00:00:00"/>
    <x v="1"/>
    <x v="0"/>
    <x v="2"/>
    <x v="0"/>
    <x v="8"/>
    <x v="2"/>
    <x v="11"/>
    <x v="1"/>
  </r>
  <r>
    <x v="2056"/>
    <x v="2"/>
    <x v="1"/>
    <n v="66.7"/>
    <n v="133.4"/>
    <x v="75"/>
    <d v="2025-03-18T00:00:00"/>
    <x v="2"/>
    <x v="0"/>
    <x v="2"/>
    <x v="0"/>
    <x v="8"/>
    <x v="3"/>
    <x v="11"/>
    <x v="2"/>
  </r>
  <r>
    <x v="2057"/>
    <x v="13"/>
    <x v="9"/>
    <n v="39.1"/>
    <n v="195.5"/>
    <x v="75"/>
    <d v="2025-03-18T00:00:00"/>
    <x v="2"/>
    <x v="0"/>
    <x v="0"/>
    <x v="0"/>
    <x v="8"/>
    <x v="3"/>
    <x v="11"/>
    <x v="2"/>
  </r>
  <r>
    <x v="2058"/>
    <x v="8"/>
    <x v="12"/>
    <n v="24.9"/>
    <n v="99.6"/>
    <x v="75"/>
    <d v="2025-03-22T00:00:00"/>
    <x v="1"/>
    <x v="1"/>
    <x v="2"/>
    <x v="0"/>
    <x v="8"/>
    <x v="0"/>
    <x v="11"/>
    <x v="1"/>
  </r>
  <r>
    <x v="2059"/>
    <x v="5"/>
    <x v="9"/>
    <n v="29.2"/>
    <n v="146"/>
    <x v="75"/>
    <d v="2025-03-18T00:00:00"/>
    <x v="1"/>
    <x v="0"/>
    <x v="2"/>
    <x v="0"/>
    <x v="17"/>
    <x v="3"/>
    <x v="11"/>
    <x v="1"/>
  </r>
  <r>
    <x v="2060"/>
    <x v="13"/>
    <x v="21"/>
    <n v="28.3"/>
    <n v="396.2"/>
    <x v="75"/>
    <d v="2025-03-19T00:00:00"/>
    <x v="2"/>
    <x v="1"/>
    <x v="0"/>
    <x v="0"/>
    <x v="11"/>
    <x v="1"/>
    <x v="11"/>
    <x v="2"/>
  </r>
  <r>
    <x v="2061"/>
    <x v="9"/>
    <x v="2"/>
    <n v="37.799999999999997"/>
    <n v="113.39999999999999"/>
    <x v="75"/>
    <d v="2025-03-18T00:00:00"/>
    <x v="2"/>
    <x v="0"/>
    <x v="1"/>
    <x v="0"/>
    <x v="11"/>
    <x v="3"/>
    <x v="11"/>
    <x v="2"/>
  </r>
  <r>
    <x v="2062"/>
    <x v="14"/>
    <x v="3"/>
    <n v="28.1"/>
    <n v="196.70000000000002"/>
    <x v="75"/>
    <d v="2025-03-23T00:00:00"/>
    <x v="2"/>
    <x v="2"/>
    <x v="0"/>
    <x v="0"/>
    <x v="11"/>
    <x v="4"/>
    <x v="11"/>
    <x v="2"/>
  </r>
  <r>
    <x v="2063"/>
    <x v="1"/>
    <x v="2"/>
    <n v="59.7"/>
    <n v="179.10000000000002"/>
    <x v="75"/>
    <d v="2025-03-19T00:00:00"/>
    <x v="2"/>
    <x v="2"/>
    <x v="0"/>
    <x v="0"/>
    <x v="11"/>
    <x v="1"/>
    <x v="11"/>
    <x v="2"/>
  </r>
  <r>
    <x v="2064"/>
    <x v="16"/>
    <x v="0"/>
    <n v="71.900000000000006"/>
    <n v="71.900000000000006"/>
    <x v="75"/>
    <d v="2025-03-18T00:00:00"/>
    <x v="1"/>
    <x v="1"/>
    <x v="1"/>
    <x v="0"/>
    <x v="11"/>
    <x v="3"/>
    <x v="11"/>
    <x v="1"/>
  </r>
  <r>
    <x v="2065"/>
    <x v="1"/>
    <x v="1"/>
    <n v="56.9"/>
    <n v="113.8"/>
    <x v="75"/>
    <d v="2025-03-18T00:00:00"/>
    <x v="1"/>
    <x v="2"/>
    <x v="0"/>
    <x v="0"/>
    <x v="13"/>
    <x v="3"/>
    <x v="11"/>
    <x v="1"/>
  </r>
  <r>
    <x v="2066"/>
    <x v="8"/>
    <x v="1"/>
    <n v="15.8"/>
    <n v="31.6"/>
    <x v="75"/>
    <d v="2025-03-20T00:00:00"/>
    <x v="2"/>
    <x v="2"/>
    <x v="1"/>
    <x v="0"/>
    <x v="1"/>
    <x v="2"/>
    <x v="11"/>
    <x v="2"/>
  </r>
  <r>
    <x v="2067"/>
    <x v="11"/>
    <x v="12"/>
    <n v="61.7"/>
    <n v="246.8"/>
    <x v="75"/>
    <d v="2025-03-19T00:00:00"/>
    <x v="2"/>
    <x v="2"/>
    <x v="0"/>
    <x v="0"/>
    <x v="22"/>
    <x v="1"/>
    <x v="11"/>
    <x v="2"/>
  </r>
  <r>
    <x v="2068"/>
    <x v="2"/>
    <x v="7"/>
    <n v="105.2"/>
    <n v="1052"/>
    <x v="75"/>
    <d v="2025-03-19T00:00:00"/>
    <x v="1"/>
    <x v="1"/>
    <x v="4"/>
    <x v="0"/>
    <x v="3"/>
    <x v="1"/>
    <x v="11"/>
    <x v="1"/>
  </r>
  <r>
    <x v="2069"/>
    <x v="0"/>
    <x v="1"/>
    <n v="17"/>
    <n v="34"/>
    <x v="75"/>
    <d v="2025-03-19T00:00:00"/>
    <x v="2"/>
    <x v="2"/>
    <x v="0"/>
    <x v="0"/>
    <x v="3"/>
    <x v="1"/>
    <x v="11"/>
    <x v="2"/>
  </r>
  <r>
    <x v="2070"/>
    <x v="6"/>
    <x v="2"/>
    <n v="84.1"/>
    <n v="252.29999999999998"/>
    <x v="75"/>
    <d v="2025-03-18T00:00:00"/>
    <x v="1"/>
    <x v="2"/>
    <x v="0"/>
    <x v="0"/>
    <x v="3"/>
    <x v="3"/>
    <x v="11"/>
    <x v="1"/>
  </r>
  <r>
    <x v="2071"/>
    <x v="3"/>
    <x v="12"/>
    <n v="59.5"/>
    <n v="238"/>
    <x v="75"/>
    <d v="2025-03-22T00:00:00"/>
    <x v="1"/>
    <x v="0"/>
    <x v="2"/>
    <x v="0"/>
    <x v="3"/>
    <x v="0"/>
    <x v="11"/>
    <x v="1"/>
  </r>
  <r>
    <x v="2072"/>
    <x v="8"/>
    <x v="1"/>
    <n v="57.5"/>
    <n v="115"/>
    <x v="75"/>
    <d v="2025-03-19T00:00:00"/>
    <x v="1"/>
    <x v="1"/>
    <x v="2"/>
    <x v="0"/>
    <x v="3"/>
    <x v="1"/>
    <x v="11"/>
    <x v="1"/>
  </r>
  <r>
    <x v="2073"/>
    <x v="8"/>
    <x v="0"/>
    <n v="34.299999999999997"/>
    <n v="34.299999999999997"/>
    <x v="75"/>
    <d v="2025-03-18T00:00:00"/>
    <x v="2"/>
    <x v="4"/>
    <x v="2"/>
    <x v="0"/>
    <x v="3"/>
    <x v="3"/>
    <x v="11"/>
    <x v="2"/>
  </r>
  <r>
    <x v="2074"/>
    <x v="5"/>
    <x v="1"/>
    <n v="27.8"/>
    <n v="55.6"/>
    <x v="76"/>
    <d v="2025-03-20T00:00:00"/>
    <x v="2"/>
    <x v="0"/>
    <x v="0"/>
    <x v="0"/>
    <x v="3"/>
    <x v="1"/>
    <x v="11"/>
    <x v="2"/>
  </r>
  <r>
    <x v="2075"/>
    <x v="12"/>
    <x v="1"/>
    <n v="85"/>
    <n v="170"/>
    <x v="76"/>
    <d v="2025-03-18T00:00:00"/>
    <x v="1"/>
    <x v="2"/>
    <x v="2"/>
    <x v="0"/>
    <x v="3"/>
    <x v="7"/>
    <x v="11"/>
    <x v="1"/>
  </r>
  <r>
    <x v="2076"/>
    <x v="6"/>
    <x v="1"/>
    <n v="95"/>
    <n v="190"/>
    <x v="76"/>
    <d v="2025-03-20T00:00:00"/>
    <x v="2"/>
    <x v="0"/>
    <x v="0"/>
    <x v="0"/>
    <x v="3"/>
    <x v="1"/>
    <x v="11"/>
    <x v="2"/>
  </r>
  <r>
    <x v="2077"/>
    <x v="16"/>
    <x v="1"/>
    <n v="32"/>
    <n v="64"/>
    <x v="76"/>
    <d v="2025-03-20T00:00:00"/>
    <x v="1"/>
    <x v="0"/>
    <x v="1"/>
    <x v="0"/>
    <x v="3"/>
    <x v="1"/>
    <x v="11"/>
    <x v="1"/>
  </r>
  <r>
    <x v="2078"/>
    <x v="2"/>
    <x v="1"/>
    <n v="65.2"/>
    <n v="130.4"/>
    <x v="76"/>
    <d v="2025-03-19T00:00:00"/>
    <x v="2"/>
    <x v="1"/>
    <x v="0"/>
    <x v="0"/>
    <x v="3"/>
    <x v="3"/>
    <x v="11"/>
    <x v="2"/>
  </r>
  <r>
    <x v="2079"/>
    <x v="17"/>
    <x v="12"/>
    <n v="22"/>
    <n v="88"/>
    <x v="76"/>
    <d v="2025-03-19T00:00:00"/>
    <x v="1"/>
    <x v="1"/>
    <x v="2"/>
    <x v="0"/>
    <x v="3"/>
    <x v="3"/>
    <x v="11"/>
    <x v="1"/>
  </r>
  <r>
    <x v="2080"/>
    <x v="15"/>
    <x v="2"/>
    <n v="69.400000000000006"/>
    <n v="208.20000000000002"/>
    <x v="76"/>
    <d v="2025-03-21T00:00:00"/>
    <x v="1"/>
    <x v="1"/>
    <x v="2"/>
    <x v="0"/>
    <x v="3"/>
    <x v="2"/>
    <x v="11"/>
    <x v="1"/>
  </r>
  <r>
    <x v="2081"/>
    <x v="10"/>
    <x v="13"/>
    <n v="31.5"/>
    <n v="189"/>
    <x v="76"/>
    <d v="2025-03-20T00:00:00"/>
    <x v="2"/>
    <x v="0"/>
    <x v="2"/>
    <x v="0"/>
    <x v="3"/>
    <x v="1"/>
    <x v="11"/>
    <x v="2"/>
  </r>
  <r>
    <x v="2082"/>
    <x v="6"/>
    <x v="0"/>
    <n v="45.8"/>
    <n v="45.8"/>
    <x v="76"/>
    <d v="2025-03-22T00:00:00"/>
    <x v="3"/>
    <x v="0"/>
    <x v="0"/>
    <x v="0"/>
    <x v="3"/>
    <x v="5"/>
    <x v="11"/>
    <x v="3"/>
  </r>
  <r>
    <x v="2083"/>
    <x v="19"/>
    <x v="12"/>
    <n v="12.8"/>
    <n v="51.2"/>
    <x v="76"/>
    <d v="2025-03-25T00:00:00"/>
    <x v="2"/>
    <x v="1"/>
    <x v="1"/>
    <x v="0"/>
    <x v="5"/>
    <x v="6"/>
    <x v="11"/>
    <x v="2"/>
  </r>
  <r>
    <x v="2084"/>
    <x v="5"/>
    <x v="2"/>
    <n v="115.3"/>
    <n v="345.9"/>
    <x v="76"/>
    <d v="2025-03-19T00:00:00"/>
    <x v="2"/>
    <x v="2"/>
    <x v="2"/>
    <x v="0"/>
    <x v="6"/>
    <x v="3"/>
    <x v="11"/>
    <x v="2"/>
  </r>
  <r>
    <x v="2085"/>
    <x v="5"/>
    <x v="1"/>
    <n v="85"/>
    <n v="170"/>
    <x v="76"/>
    <d v="2025-03-20T00:00:00"/>
    <x v="2"/>
    <x v="1"/>
    <x v="0"/>
    <x v="0"/>
    <x v="7"/>
    <x v="1"/>
    <x v="11"/>
    <x v="2"/>
  </r>
  <r>
    <x v="2086"/>
    <x v="8"/>
    <x v="2"/>
    <n v="56.6"/>
    <n v="169.8"/>
    <x v="76"/>
    <d v="2025-03-19T00:00:00"/>
    <x v="2"/>
    <x v="1"/>
    <x v="2"/>
    <x v="0"/>
    <x v="7"/>
    <x v="3"/>
    <x v="11"/>
    <x v="2"/>
  </r>
  <r>
    <x v="2087"/>
    <x v="15"/>
    <x v="6"/>
    <n v="46.3"/>
    <n v="1250.0999999999999"/>
    <x v="76"/>
    <d v="2025-03-21T00:00:00"/>
    <x v="1"/>
    <x v="0"/>
    <x v="0"/>
    <x v="0"/>
    <x v="7"/>
    <x v="2"/>
    <x v="11"/>
    <x v="1"/>
  </r>
  <r>
    <x v="2088"/>
    <x v="14"/>
    <x v="12"/>
    <n v="23"/>
    <n v="92"/>
    <x v="76"/>
    <d v="2025-03-22T00:00:00"/>
    <x v="1"/>
    <x v="3"/>
    <x v="2"/>
    <x v="0"/>
    <x v="7"/>
    <x v="5"/>
    <x v="11"/>
    <x v="1"/>
  </r>
  <r>
    <x v="2089"/>
    <x v="8"/>
    <x v="13"/>
    <n v="42.1"/>
    <n v="252.60000000000002"/>
    <x v="76"/>
    <d v="2025-03-20T00:00:00"/>
    <x v="1"/>
    <x v="4"/>
    <x v="0"/>
    <x v="0"/>
    <x v="8"/>
    <x v="1"/>
    <x v="11"/>
    <x v="1"/>
  </r>
  <r>
    <x v="2090"/>
    <x v="5"/>
    <x v="3"/>
    <n v="57.4"/>
    <n v="401.8"/>
    <x v="76"/>
    <d v="2025-03-22T00:00:00"/>
    <x v="2"/>
    <x v="1"/>
    <x v="4"/>
    <x v="0"/>
    <x v="8"/>
    <x v="5"/>
    <x v="11"/>
    <x v="2"/>
  </r>
  <r>
    <x v="2091"/>
    <x v="0"/>
    <x v="13"/>
    <n v="13.2"/>
    <n v="79.199999999999989"/>
    <x v="76"/>
    <d v="2025-03-22T00:00:00"/>
    <x v="1"/>
    <x v="2"/>
    <x v="0"/>
    <x v="0"/>
    <x v="8"/>
    <x v="5"/>
    <x v="11"/>
    <x v="1"/>
  </r>
  <r>
    <x v="2092"/>
    <x v="6"/>
    <x v="2"/>
    <n v="52.3"/>
    <n v="156.89999999999998"/>
    <x v="76"/>
    <d v="2025-03-19T00:00:00"/>
    <x v="1"/>
    <x v="1"/>
    <x v="0"/>
    <x v="0"/>
    <x v="8"/>
    <x v="3"/>
    <x v="11"/>
    <x v="1"/>
  </r>
  <r>
    <x v="2093"/>
    <x v="8"/>
    <x v="1"/>
    <n v="15.7"/>
    <n v="31.4"/>
    <x v="76"/>
    <d v="2025-03-21T00:00:00"/>
    <x v="1"/>
    <x v="1"/>
    <x v="2"/>
    <x v="0"/>
    <x v="8"/>
    <x v="2"/>
    <x v="11"/>
    <x v="1"/>
  </r>
  <r>
    <x v="2094"/>
    <x v="7"/>
    <x v="2"/>
    <n v="35"/>
    <n v="105"/>
    <x v="76"/>
    <d v="2025-03-21T00:00:00"/>
    <x v="2"/>
    <x v="1"/>
    <x v="2"/>
    <x v="0"/>
    <x v="9"/>
    <x v="2"/>
    <x v="11"/>
    <x v="2"/>
  </r>
  <r>
    <x v="2095"/>
    <x v="4"/>
    <x v="2"/>
    <n v="26.6"/>
    <n v="79.800000000000011"/>
    <x v="76"/>
    <d v="2025-03-18T00:00:00"/>
    <x v="1"/>
    <x v="1"/>
    <x v="2"/>
    <x v="0"/>
    <x v="11"/>
    <x v="7"/>
    <x v="11"/>
    <x v="1"/>
  </r>
  <r>
    <x v="2096"/>
    <x v="4"/>
    <x v="8"/>
    <n v="47.9"/>
    <n v="383.2"/>
    <x v="77"/>
    <d v="2025-03-20T00:00:00"/>
    <x v="2"/>
    <x v="3"/>
    <x v="2"/>
    <x v="0"/>
    <x v="20"/>
    <x v="3"/>
    <x v="11"/>
    <x v="2"/>
  </r>
  <r>
    <x v="2097"/>
    <x v="5"/>
    <x v="0"/>
    <n v="80.099999999999994"/>
    <n v="80.099999999999994"/>
    <x v="77"/>
    <d v="2025-03-20T00:00:00"/>
    <x v="1"/>
    <x v="2"/>
    <x v="0"/>
    <x v="0"/>
    <x v="21"/>
    <x v="3"/>
    <x v="11"/>
    <x v="1"/>
  </r>
  <r>
    <x v="2098"/>
    <x v="6"/>
    <x v="9"/>
    <n v="50.4"/>
    <n v="252"/>
    <x v="77"/>
    <d v="2025-03-20T00:00:00"/>
    <x v="1"/>
    <x v="1"/>
    <x v="2"/>
    <x v="0"/>
    <x v="21"/>
    <x v="3"/>
    <x v="11"/>
    <x v="1"/>
  </r>
  <r>
    <x v="2099"/>
    <x v="10"/>
    <x v="3"/>
    <n v="43.3"/>
    <n v="303.09999999999997"/>
    <x v="77"/>
    <d v="2025-03-20T00:00:00"/>
    <x v="1"/>
    <x v="2"/>
    <x v="0"/>
    <x v="0"/>
    <x v="21"/>
    <x v="3"/>
    <x v="11"/>
    <x v="1"/>
  </r>
  <r>
    <x v="2100"/>
    <x v="10"/>
    <x v="12"/>
    <n v="57.5"/>
    <n v="230"/>
    <x v="77"/>
    <d v="2025-03-20T00:00:00"/>
    <x v="2"/>
    <x v="1"/>
    <x v="2"/>
    <x v="0"/>
    <x v="1"/>
    <x v="3"/>
    <x v="11"/>
    <x v="2"/>
  </r>
  <r>
    <x v="2101"/>
    <x v="9"/>
    <x v="15"/>
    <n v="24.8"/>
    <n v="322.40000000000003"/>
    <x v="77"/>
    <d v="2025-03-20T00:00:00"/>
    <x v="1"/>
    <x v="0"/>
    <x v="0"/>
    <x v="0"/>
    <x v="57"/>
    <x v="3"/>
    <x v="11"/>
    <x v="1"/>
  </r>
  <r>
    <x v="2102"/>
    <x v="2"/>
    <x v="11"/>
    <n v="85.7"/>
    <n v="771.30000000000007"/>
    <x v="77"/>
    <d v="2025-03-20T00:00:00"/>
    <x v="2"/>
    <x v="0"/>
    <x v="0"/>
    <x v="0"/>
    <x v="42"/>
    <x v="3"/>
    <x v="11"/>
    <x v="2"/>
  </r>
  <r>
    <x v="2103"/>
    <x v="7"/>
    <x v="0"/>
    <n v="47.1"/>
    <n v="47.1"/>
    <x v="77"/>
    <d v="2025-03-21T00:00:00"/>
    <x v="2"/>
    <x v="0"/>
    <x v="0"/>
    <x v="0"/>
    <x v="2"/>
    <x v="1"/>
    <x v="11"/>
    <x v="2"/>
  </r>
  <r>
    <x v="2104"/>
    <x v="5"/>
    <x v="7"/>
    <n v="83.2"/>
    <n v="832"/>
    <x v="77"/>
    <d v="2025-03-23T00:00:00"/>
    <x v="2"/>
    <x v="0"/>
    <x v="0"/>
    <x v="0"/>
    <x v="33"/>
    <x v="5"/>
    <x v="11"/>
    <x v="2"/>
  </r>
  <r>
    <x v="2105"/>
    <x v="2"/>
    <x v="2"/>
    <n v="157"/>
    <n v="471"/>
    <x v="77"/>
    <d v="2025-03-21T00:00:00"/>
    <x v="2"/>
    <x v="0"/>
    <x v="2"/>
    <x v="0"/>
    <x v="22"/>
    <x v="1"/>
    <x v="11"/>
    <x v="2"/>
  </r>
  <r>
    <x v="2106"/>
    <x v="16"/>
    <x v="12"/>
    <n v="33.700000000000003"/>
    <n v="134.80000000000001"/>
    <x v="77"/>
    <d v="2025-03-20T00:00:00"/>
    <x v="1"/>
    <x v="2"/>
    <x v="2"/>
    <x v="0"/>
    <x v="22"/>
    <x v="3"/>
    <x v="11"/>
    <x v="1"/>
  </r>
  <r>
    <x v="2107"/>
    <x v="2"/>
    <x v="2"/>
    <n v="60.8"/>
    <n v="182.39999999999998"/>
    <x v="77"/>
    <d v="2025-03-23T00:00:00"/>
    <x v="2"/>
    <x v="1"/>
    <x v="1"/>
    <x v="0"/>
    <x v="3"/>
    <x v="5"/>
    <x v="11"/>
    <x v="2"/>
  </r>
  <r>
    <x v="2108"/>
    <x v="7"/>
    <x v="0"/>
    <n v="57.6"/>
    <n v="57.6"/>
    <x v="77"/>
    <d v="2025-03-20T00:00:00"/>
    <x v="1"/>
    <x v="1"/>
    <x v="4"/>
    <x v="0"/>
    <x v="3"/>
    <x v="3"/>
    <x v="11"/>
    <x v="1"/>
  </r>
  <r>
    <x v="2109"/>
    <x v="10"/>
    <x v="0"/>
    <n v="32"/>
    <n v="32"/>
    <x v="77"/>
    <d v="2025-03-21T00:00:00"/>
    <x v="1"/>
    <x v="0"/>
    <x v="0"/>
    <x v="0"/>
    <x v="3"/>
    <x v="1"/>
    <x v="11"/>
    <x v="1"/>
  </r>
  <r>
    <x v="2110"/>
    <x v="10"/>
    <x v="12"/>
    <n v="23.5"/>
    <n v="94"/>
    <x v="77"/>
    <d v="2025-03-20T00:00:00"/>
    <x v="2"/>
    <x v="0"/>
    <x v="2"/>
    <x v="0"/>
    <x v="3"/>
    <x v="3"/>
    <x v="11"/>
    <x v="2"/>
  </r>
  <r>
    <x v="2111"/>
    <x v="12"/>
    <x v="2"/>
    <n v="44.8"/>
    <n v="134.39999999999998"/>
    <x v="77"/>
    <d v="2025-03-20T00:00:00"/>
    <x v="3"/>
    <x v="4"/>
    <x v="0"/>
    <x v="0"/>
    <x v="3"/>
    <x v="3"/>
    <x v="11"/>
    <x v="3"/>
  </r>
  <r>
    <x v="2112"/>
    <x v="0"/>
    <x v="8"/>
    <n v="11.7"/>
    <n v="93.6"/>
    <x v="77"/>
    <d v="2025-03-20T00:00:00"/>
    <x v="1"/>
    <x v="2"/>
    <x v="2"/>
    <x v="0"/>
    <x v="3"/>
    <x v="3"/>
    <x v="11"/>
    <x v="1"/>
  </r>
  <r>
    <x v="2113"/>
    <x v="7"/>
    <x v="1"/>
    <n v="38.799999999999997"/>
    <n v="77.599999999999994"/>
    <x v="77"/>
    <d v="2025-03-22T00:00:00"/>
    <x v="2"/>
    <x v="2"/>
    <x v="0"/>
    <x v="0"/>
    <x v="3"/>
    <x v="2"/>
    <x v="11"/>
    <x v="2"/>
  </r>
  <r>
    <x v="2114"/>
    <x v="5"/>
    <x v="21"/>
    <n v="86.9"/>
    <n v="1216.6000000000001"/>
    <x v="77"/>
    <d v="2025-03-24T00:00:00"/>
    <x v="2"/>
    <x v="1"/>
    <x v="0"/>
    <x v="0"/>
    <x v="3"/>
    <x v="0"/>
    <x v="11"/>
    <x v="2"/>
  </r>
  <r>
    <x v="2115"/>
    <x v="8"/>
    <x v="0"/>
    <n v="18.3"/>
    <n v="18.3"/>
    <x v="77"/>
    <d v="2025-03-20T00:00:00"/>
    <x v="2"/>
    <x v="0"/>
    <x v="0"/>
    <x v="0"/>
    <x v="3"/>
    <x v="3"/>
    <x v="11"/>
    <x v="2"/>
  </r>
  <r>
    <x v="2116"/>
    <x v="5"/>
    <x v="0"/>
    <n v="47.5"/>
    <n v="47.5"/>
    <x v="77"/>
    <d v="2025-03-23T00:00:00"/>
    <x v="1"/>
    <x v="4"/>
    <x v="2"/>
    <x v="0"/>
    <x v="3"/>
    <x v="5"/>
    <x v="11"/>
    <x v="1"/>
  </r>
  <r>
    <x v="2117"/>
    <x v="1"/>
    <x v="1"/>
    <n v="78.599999999999994"/>
    <n v="157.19999999999999"/>
    <x v="77"/>
    <d v="2025-03-20T00:00:00"/>
    <x v="1"/>
    <x v="2"/>
    <x v="2"/>
    <x v="0"/>
    <x v="3"/>
    <x v="3"/>
    <x v="11"/>
    <x v="1"/>
  </r>
  <r>
    <x v="2118"/>
    <x v="6"/>
    <x v="12"/>
    <n v="87.3"/>
    <n v="349.2"/>
    <x v="77"/>
    <d v="2025-03-20T00:00:00"/>
    <x v="1"/>
    <x v="0"/>
    <x v="0"/>
    <x v="0"/>
    <x v="3"/>
    <x v="3"/>
    <x v="11"/>
    <x v="1"/>
  </r>
  <r>
    <x v="2119"/>
    <x v="9"/>
    <x v="1"/>
    <n v="63.2"/>
    <n v="126.4"/>
    <x v="77"/>
    <d v="2025-03-19T00:00:00"/>
    <x v="1"/>
    <x v="4"/>
    <x v="1"/>
    <x v="0"/>
    <x v="3"/>
    <x v="7"/>
    <x v="11"/>
    <x v="1"/>
  </r>
  <r>
    <x v="2120"/>
    <x v="5"/>
    <x v="9"/>
    <n v="33.700000000000003"/>
    <n v="168.5"/>
    <x v="77"/>
    <d v="2025-03-20T00:00:00"/>
    <x v="2"/>
    <x v="0"/>
    <x v="0"/>
    <x v="0"/>
    <x v="3"/>
    <x v="3"/>
    <x v="11"/>
    <x v="2"/>
  </r>
  <r>
    <x v="2121"/>
    <x v="2"/>
    <x v="2"/>
    <n v="107.4"/>
    <n v="322.20000000000005"/>
    <x v="77"/>
    <d v="2025-04-01T00:00:00"/>
    <x v="2"/>
    <x v="1"/>
    <x v="2"/>
    <x v="0"/>
    <x v="3"/>
    <x v="10"/>
    <x v="11"/>
    <x v="2"/>
  </r>
  <r>
    <x v="2122"/>
    <x v="4"/>
    <x v="12"/>
    <n v="22.2"/>
    <n v="88.8"/>
    <x v="77"/>
    <d v="2025-03-20T00:00:00"/>
    <x v="0"/>
    <x v="1"/>
    <x v="2"/>
    <x v="0"/>
    <x v="24"/>
    <x v="3"/>
    <x v="11"/>
    <x v="0"/>
  </r>
  <r>
    <x v="2123"/>
    <x v="18"/>
    <x v="2"/>
    <n v="52.8"/>
    <n v="158.39999999999998"/>
    <x v="77"/>
    <d v="2025-03-20T00:00:00"/>
    <x v="1"/>
    <x v="3"/>
    <x v="2"/>
    <x v="0"/>
    <x v="24"/>
    <x v="3"/>
    <x v="11"/>
    <x v="1"/>
  </r>
  <r>
    <x v="2124"/>
    <x v="8"/>
    <x v="2"/>
    <n v="41.5"/>
    <n v="124.5"/>
    <x v="77"/>
    <d v="2025-03-22T00:00:00"/>
    <x v="2"/>
    <x v="0"/>
    <x v="0"/>
    <x v="0"/>
    <x v="25"/>
    <x v="2"/>
    <x v="11"/>
    <x v="2"/>
  </r>
  <r>
    <x v="2125"/>
    <x v="12"/>
    <x v="8"/>
    <n v="103.5"/>
    <n v="828"/>
    <x v="77"/>
    <d v="2025-03-22T00:00:00"/>
    <x v="2"/>
    <x v="0"/>
    <x v="2"/>
    <x v="0"/>
    <x v="23"/>
    <x v="2"/>
    <x v="11"/>
    <x v="2"/>
  </r>
  <r>
    <x v="2126"/>
    <x v="4"/>
    <x v="21"/>
    <n v="37.5"/>
    <n v="525"/>
    <x v="77"/>
    <d v="2025-03-19T00:00:00"/>
    <x v="2"/>
    <x v="1"/>
    <x v="2"/>
    <x v="0"/>
    <x v="6"/>
    <x v="7"/>
    <x v="11"/>
    <x v="2"/>
  </r>
  <r>
    <x v="2127"/>
    <x v="15"/>
    <x v="8"/>
    <n v="44.4"/>
    <n v="355.2"/>
    <x v="77"/>
    <d v="2025-03-25T00:00:00"/>
    <x v="2"/>
    <x v="3"/>
    <x v="2"/>
    <x v="0"/>
    <x v="7"/>
    <x v="4"/>
    <x v="11"/>
    <x v="2"/>
  </r>
  <r>
    <x v="2128"/>
    <x v="8"/>
    <x v="2"/>
    <n v="26.2"/>
    <n v="78.599999999999994"/>
    <x v="77"/>
    <d v="2025-03-20T00:00:00"/>
    <x v="1"/>
    <x v="0"/>
    <x v="0"/>
    <x v="0"/>
    <x v="8"/>
    <x v="3"/>
    <x v="11"/>
    <x v="1"/>
  </r>
  <r>
    <x v="2129"/>
    <x v="1"/>
    <x v="3"/>
    <n v="32.200000000000003"/>
    <n v="225.40000000000003"/>
    <x v="77"/>
    <d v="2025-03-20T00:00:00"/>
    <x v="2"/>
    <x v="1"/>
    <x v="2"/>
    <x v="0"/>
    <x v="8"/>
    <x v="3"/>
    <x v="11"/>
    <x v="2"/>
  </r>
  <r>
    <x v="2130"/>
    <x v="8"/>
    <x v="0"/>
    <n v="17.399999999999999"/>
    <n v="17.399999999999999"/>
    <x v="77"/>
    <d v="2025-03-23T00:00:00"/>
    <x v="0"/>
    <x v="2"/>
    <x v="1"/>
    <x v="0"/>
    <x v="8"/>
    <x v="5"/>
    <x v="11"/>
    <x v="0"/>
  </r>
  <r>
    <x v="2131"/>
    <x v="8"/>
    <x v="13"/>
    <n v="72.3"/>
    <n v="433.79999999999995"/>
    <x v="77"/>
    <d v="2025-03-22T00:00:00"/>
    <x v="2"/>
    <x v="0"/>
    <x v="0"/>
    <x v="0"/>
    <x v="8"/>
    <x v="2"/>
    <x v="11"/>
    <x v="2"/>
  </r>
  <r>
    <x v="2132"/>
    <x v="8"/>
    <x v="5"/>
    <n v="24.3"/>
    <n v="267.3"/>
    <x v="77"/>
    <d v="2025-03-20T00:00:00"/>
    <x v="1"/>
    <x v="0"/>
    <x v="0"/>
    <x v="0"/>
    <x v="8"/>
    <x v="3"/>
    <x v="11"/>
    <x v="1"/>
  </r>
  <r>
    <x v="2133"/>
    <x v="13"/>
    <x v="2"/>
    <n v="49.1"/>
    <n v="147.30000000000001"/>
    <x v="77"/>
    <d v="2025-03-25T00:00:00"/>
    <x v="1"/>
    <x v="2"/>
    <x v="4"/>
    <x v="0"/>
    <x v="8"/>
    <x v="4"/>
    <x v="11"/>
    <x v="1"/>
  </r>
  <r>
    <x v="2134"/>
    <x v="2"/>
    <x v="7"/>
    <n v="234.7"/>
    <n v="2347"/>
    <x v="77"/>
    <d v="2025-03-20T00:00:00"/>
    <x v="1"/>
    <x v="3"/>
    <x v="1"/>
    <x v="0"/>
    <x v="8"/>
    <x v="3"/>
    <x v="11"/>
    <x v="1"/>
  </r>
  <r>
    <x v="2135"/>
    <x v="3"/>
    <x v="9"/>
    <n v="76.099999999999994"/>
    <n v="380.5"/>
    <x v="77"/>
    <d v="2025-03-21T00:00:00"/>
    <x v="1"/>
    <x v="1"/>
    <x v="1"/>
    <x v="0"/>
    <x v="17"/>
    <x v="1"/>
    <x v="11"/>
    <x v="1"/>
  </r>
  <r>
    <x v="2136"/>
    <x v="1"/>
    <x v="2"/>
    <n v="93.9"/>
    <n v="281.70000000000005"/>
    <x v="77"/>
    <d v="2025-03-20T00:00:00"/>
    <x v="1"/>
    <x v="1"/>
    <x v="4"/>
    <x v="0"/>
    <x v="11"/>
    <x v="3"/>
    <x v="11"/>
    <x v="1"/>
  </r>
  <r>
    <x v="2137"/>
    <x v="2"/>
    <x v="12"/>
    <n v="187"/>
    <n v="748"/>
    <x v="78"/>
    <d v="2025-03-23T00:00:00"/>
    <x v="1"/>
    <x v="0"/>
    <x v="0"/>
    <x v="0"/>
    <x v="11"/>
    <x v="2"/>
    <x v="11"/>
    <x v="1"/>
  </r>
  <r>
    <x v="2138"/>
    <x v="8"/>
    <x v="1"/>
    <n v="18"/>
    <n v="36"/>
    <x v="78"/>
    <d v="2025-03-21T00:00:00"/>
    <x v="2"/>
    <x v="1"/>
    <x v="2"/>
    <x v="0"/>
    <x v="53"/>
    <x v="3"/>
    <x v="11"/>
    <x v="2"/>
  </r>
  <r>
    <x v="2139"/>
    <x v="4"/>
    <x v="0"/>
    <n v="24.4"/>
    <n v="24.4"/>
    <x v="78"/>
    <d v="2025-03-21T00:00:00"/>
    <x v="2"/>
    <x v="4"/>
    <x v="2"/>
    <x v="0"/>
    <x v="21"/>
    <x v="3"/>
    <x v="11"/>
    <x v="2"/>
  </r>
  <r>
    <x v="2140"/>
    <x v="10"/>
    <x v="1"/>
    <n v="38.799999999999997"/>
    <n v="77.599999999999994"/>
    <x v="78"/>
    <d v="2025-03-21T00:00:00"/>
    <x v="1"/>
    <x v="4"/>
    <x v="1"/>
    <x v="0"/>
    <x v="3"/>
    <x v="3"/>
    <x v="11"/>
    <x v="1"/>
  </r>
  <r>
    <x v="2141"/>
    <x v="3"/>
    <x v="0"/>
    <n v="59.7"/>
    <n v="59.7"/>
    <x v="78"/>
    <d v="2025-03-23T00:00:00"/>
    <x v="1"/>
    <x v="3"/>
    <x v="0"/>
    <x v="0"/>
    <x v="3"/>
    <x v="2"/>
    <x v="11"/>
    <x v="1"/>
  </r>
  <r>
    <x v="2142"/>
    <x v="7"/>
    <x v="0"/>
    <n v="31.2"/>
    <n v="31.2"/>
    <x v="78"/>
    <d v="2025-03-21T00:00:00"/>
    <x v="1"/>
    <x v="1"/>
    <x v="2"/>
    <x v="0"/>
    <x v="3"/>
    <x v="3"/>
    <x v="11"/>
    <x v="1"/>
  </r>
  <r>
    <x v="2143"/>
    <x v="0"/>
    <x v="0"/>
    <n v="16.8"/>
    <n v="16.8"/>
    <x v="78"/>
    <d v="2025-03-21T00:00:00"/>
    <x v="2"/>
    <x v="2"/>
    <x v="1"/>
    <x v="0"/>
    <x v="3"/>
    <x v="3"/>
    <x v="11"/>
    <x v="2"/>
  </r>
  <r>
    <x v="2144"/>
    <x v="8"/>
    <x v="0"/>
    <n v="46"/>
    <n v="46"/>
    <x v="78"/>
    <d v="2025-03-21T00:00:00"/>
    <x v="1"/>
    <x v="0"/>
    <x v="0"/>
    <x v="0"/>
    <x v="3"/>
    <x v="3"/>
    <x v="11"/>
    <x v="1"/>
  </r>
  <r>
    <x v="2145"/>
    <x v="9"/>
    <x v="8"/>
    <n v="42.2"/>
    <n v="337.6"/>
    <x v="78"/>
    <d v="2025-03-23T00:00:00"/>
    <x v="2"/>
    <x v="3"/>
    <x v="2"/>
    <x v="0"/>
    <x v="3"/>
    <x v="2"/>
    <x v="11"/>
    <x v="2"/>
  </r>
  <r>
    <x v="2146"/>
    <x v="1"/>
    <x v="2"/>
    <n v="71.5"/>
    <n v="214.5"/>
    <x v="78"/>
    <d v="2025-04-03T00:00:00"/>
    <x v="2"/>
    <x v="0"/>
    <x v="0"/>
    <x v="0"/>
    <x v="3"/>
    <x v="12"/>
    <x v="11"/>
    <x v="2"/>
  </r>
  <r>
    <x v="2147"/>
    <x v="1"/>
    <x v="1"/>
    <n v="76.599999999999994"/>
    <n v="153.19999999999999"/>
    <x v="78"/>
    <d v="2025-03-20T00:00:00"/>
    <x v="1"/>
    <x v="0"/>
    <x v="2"/>
    <x v="0"/>
    <x v="3"/>
    <x v="7"/>
    <x v="11"/>
    <x v="1"/>
  </r>
  <r>
    <x v="2148"/>
    <x v="12"/>
    <x v="1"/>
    <n v="87.3"/>
    <n v="174.6"/>
    <x v="78"/>
    <d v="2025-03-28T00:00:00"/>
    <x v="2"/>
    <x v="3"/>
    <x v="2"/>
    <x v="0"/>
    <x v="3"/>
    <x v="9"/>
    <x v="11"/>
    <x v="2"/>
  </r>
  <r>
    <x v="2149"/>
    <x v="1"/>
    <x v="0"/>
    <n v="63"/>
    <n v="63"/>
    <x v="78"/>
    <d v="2025-03-23T00:00:00"/>
    <x v="1"/>
    <x v="3"/>
    <x v="0"/>
    <x v="0"/>
    <x v="3"/>
    <x v="2"/>
    <x v="11"/>
    <x v="1"/>
  </r>
  <r>
    <x v="2150"/>
    <x v="8"/>
    <x v="1"/>
    <n v="41.7"/>
    <n v="83.4"/>
    <x v="78"/>
    <d v="2025-03-21T00:00:00"/>
    <x v="2"/>
    <x v="4"/>
    <x v="1"/>
    <x v="0"/>
    <x v="43"/>
    <x v="3"/>
    <x v="11"/>
    <x v="2"/>
  </r>
  <r>
    <x v="2151"/>
    <x v="6"/>
    <x v="1"/>
    <n v="76.099999999999994"/>
    <n v="152.19999999999999"/>
    <x v="78"/>
    <d v="2025-03-20T00:00:00"/>
    <x v="2"/>
    <x v="4"/>
    <x v="2"/>
    <x v="0"/>
    <x v="16"/>
    <x v="7"/>
    <x v="11"/>
    <x v="2"/>
  </r>
  <r>
    <x v="2152"/>
    <x v="13"/>
    <x v="1"/>
    <n v="28.5"/>
    <n v="57"/>
    <x v="78"/>
    <d v="2025-03-21T00:00:00"/>
    <x v="2"/>
    <x v="0"/>
    <x v="2"/>
    <x v="0"/>
    <x v="4"/>
    <x v="3"/>
    <x v="11"/>
    <x v="2"/>
  </r>
  <r>
    <x v="2153"/>
    <x v="0"/>
    <x v="12"/>
    <n v="32.1"/>
    <n v="128.4"/>
    <x v="78"/>
    <d v="2025-03-21T00:00:00"/>
    <x v="2"/>
    <x v="1"/>
    <x v="2"/>
    <x v="0"/>
    <x v="25"/>
    <x v="3"/>
    <x v="11"/>
    <x v="2"/>
  </r>
  <r>
    <x v="2154"/>
    <x v="4"/>
    <x v="2"/>
    <n v="39"/>
    <n v="117"/>
    <x v="78"/>
    <d v="2025-03-23T00:00:00"/>
    <x v="1"/>
    <x v="1"/>
    <x v="2"/>
    <x v="0"/>
    <x v="25"/>
    <x v="2"/>
    <x v="11"/>
    <x v="1"/>
  </r>
  <r>
    <x v="2155"/>
    <x v="6"/>
    <x v="0"/>
    <n v="78.5"/>
    <n v="78.5"/>
    <x v="78"/>
    <d v="2025-03-21T00:00:00"/>
    <x v="1"/>
    <x v="1"/>
    <x v="0"/>
    <x v="0"/>
    <x v="6"/>
    <x v="3"/>
    <x v="11"/>
    <x v="1"/>
  </r>
  <r>
    <x v="2156"/>
    <x v="4"/>
    <x v="9"/>
    <n v="49.7"/>
    <n v="248.5"/>
    <x v="78"/>
    <d v="2025-03-22T00:00:00"/>
    <x v="2"/>
    <x v="0"/>
    <x v="0"/>
    <x v="0"/>
    <x v="6"/>
    <x v="1"/>
    <x v="11"/>
    <x v="2"/>
  </r>
  <r>
    <x v="2157"/>
    <x v="1"/>
    <x v="12"/>
    <n v="68.400000000000006"/>
    <n v="273.60000000000002"/>
    <x v="78"/>
    <d v="2025-03-21T00:00:00"/>
    <x v="2"/>
    <x v="2"/>
    <x v="2"/>
    <x v="0"/>
    <x v="7"/>
    <x v="3"/>
    <x v="11"/>
    <x v="2"/>
  </r>
  <r>
    <x v="2158"/>
    <x v="3"/>
    <x v="1"/>
    <n v="72.900000000000006"/>
    <n v="145.80000000000001"/>
    <x v="78"/>
    <d v="2025-03-23T00:00:00"/>
    <x v="0"/>
    <x v="0"/>
    <x v="2"/>
    <x v="0"/>
    <x v="7"/>
    <x v="2"/>
    <x v="11"/>
    <x v="0"/>
  </r>
  <r>
    <x v="2159"/>
    <x v="5"/>
    <x v="15"/>
    <n v="30.3"/>
    <n v="393.90000000000003"/>
    <x v="78"/>
    <d v="2025-03-21T00:00:00"/>
    <x v="1"/>
    <x v="4"/>
    <x v="0"/>
    <x v="0"/>
    <x v="7"/>
    <x v="3"/>
    <x v="11"/>
    <x v="1"/>
  </r>
  <r>
    <x v="2160"/>
    <x v="6"/>
    <x v="5"/>
    <n v="57.9"/>
    <n v="636.9"/>
    <x v="78"/>
    <d v="2025-03-21T00:00:00"/>
    <x v="2"/>
    <x v="0"/>
    <x v="0"/>
    <x v="0"/>
    <x v="8"/>
    <x v="3"/>
    <x v="11"/>
    <x v="2"/>
  </r>
  <r>
    <x v="2161"/>
    <x v="1"/>
    <x v="0"/>
    <n v="96.7"/>
    <n v="96.7"/>
    <x v="78"/>
    <d v="2025-03-21T00:00:00"/>
    <x v="1"/>
    <x v="0"/>
    <x v="0"/>
    <x v="0"/>
    <x v="8"/>
    <x v="3"/>
    <x v="11"/>
    <x v="1"/>
  </r>
  <r>
    <x v="2162"/>
    <x v="8"/>
    <x v="4"/>
    <n v="27.6"/>
    <n v="331.20000000000005"/>
    <x v="78"/>
    <d v="2025-03-22T00:00:00"/>
    <x v="1"/>
    <x v="2"/>
    <x v="2"/>
    <x v="0"/>
    <x v="8"/>
    <x v="1"/>
    <x v="11"/>
    <x v="1"/>
  </r>
  <r>
    <x v="2163"/>
    <x v="6"/>
    <x v="12"/>
    <n v="64.7"/>
    <n v="258.8"/>
    <x v="78"/>
    <d v="2025-03-20T00:00:00"/>
    <x v="1"/>
    <x v="3"/>
    <x v="2"/>
    <x v="0"/>
    <x v="8"/>
    <x v="7"/>
    <x v="11"/>
    <x v="1"/>
  </r>
  <r>
    <x v="2164"/>
    <x v="10"/>
    <x v="13"/>
    <n v="30.5"/>
    <n v="183"/>
    <x v="78"/>
    <d v="2025-03-21T00:00:00"/>
    <x v="1"/>
    <x v="4"/>
    <x v="0"/>
    <x v="0"/>
    <x v="8"/>
    <x v="3"/>
    <x v="11"/>
    <x v="1"/>
  </r>
  <r>
    <x v="2165"/>
    <x v="6"/>
    <x v="47"/>
    <n v="106"/>
    <n v="7420"/>
    <x v="79"/>
    <d v="2025-03-23T00:00:00"/>
    <x v="1"/>
    <x v="4"/>
    <x v="2"/>
    <x v="0"/>
    <x v="8"/>
    <x v="1"/>
    <x v="11"/>
    <x v="1"/>
  </r>
  <r>
    <x v="2166"/>
    <x v="12"/>
    <x v="9"/>
    <n v="76.8"/>
    <n v="384"/>
    <x v="79"/>
    <d v="2025-03-27T00:00:00"/>
    <x v="0"/>
    <x v="1"/>
    <x v="1"/>
    <x v="0"/>
    <x v="18"/>
    <x v="4"/>
    <x v="11"/>
    <x v="0"/>
  </r>
  <r>
    <x v="2167"/>
    <x v="6"/>
    <x v="1"/>
    <n v="80.400000000000006"/>
    <n v="160.80000000000001"/>
    <x v="79"/>
    <d v="2025-03-22T00:00:00"/>
    <x v="2"/>
    <x v="2"/>
    <x v="0"/>
    <x v="0"/>
    <x v="13"/>
    <x v="3"/>
    <x v="11"/>
    <x v="2"/>
  </r>
  <r>
    <x v="2168"/>
    <x v="6"/>
    <x v="12"/>
    <n v="69.099999999999994"/>
    <n v="276.39999999999998"/>
    <x v="79"/>
    <d v="2025-03-22T00:00:00"/>
    <x v="1"/>
    <x v="1"/>
    <x v="2"/>
    <x v="0"/>
    <x v="21"/>
    <x v="3"/>
    <x v="11"/>
    <x v="1"/>
  </r>
  <r>
    <x v="2169"/>
    <x v="18"/>
    <x v="1"/>
    <n v="76.400000000000006"/>
    <n v="152.80000000000001"/>
    <x v="79"/>
    <d v="2025-03-21T00:00:00"/>
    <x v="1"/>
    <x v="3"/>
    <x v="0"/>
    <x v="0"/>
    <x v="21"/>
    <x v="7"/>
    <x v="11"/>
    <x v="1"/>
  </r>
  <r>
    <x v="2170"/>
    <x v="2"/>
    <x v="1"/>
    <n v="61.3"/>
    <n v="122.6"/>
    <x v="79"/>
    <d v="2025-03-22T00:00:00"/>
    <x v="2"/>
    <x v="1"/>
    <x v="1"/>
    <x v="0"/>
    <x v="21"/>
    <x v="3"/>
    <x v="11"/>
    <x v="2"/>
  </r>
  <r>
    <x v="2171"/>
    <x v="7"/>
    <x v="0"/>
    <n v="58"/>
    <n v="58"/>
    <x v="79"/>
    <d v="2025-03-22T00:00:00"/>
    <x v="1"/>
    <x v="3"/>
    <x v="1"/>
    <x v="0"/>
    <x v="1"/>
    <x v="3"/>
    <x v="11"/>
    <x v="1"/>
  </r>
  <r>
    <x v="2172"/>
    <x v="2"/>
    <x v="8"/>
    <n v="102.3"/>
    <n v="818.4"/>
    <x v="79"/>
    <d v="2025-03-23T00:00:00"/>
    <x v="1"/>
    <x v="2"/>
    <x v="0"/>
    <x v="0"/>
    <x v="42"/>
    <x v="1"/>
    <x v="11"/>
    <x v="1"/>
  </r>
  <r>
    <x v="2173"/>
    <x v="19"/>
    <x v="1"/>
    <n v="13.8"/>
    <n v="27.6"/>
    <x v="79"/>
    <d v="2025-03-22T00:00:00"/>
    <x v="2"/>
    <x v="4"/>
    <x v="2"/>
    <x v="0"/>
    <x v="2"/>
    <x v="3"/>
    <x v="11"/>
    <x v="2"/>
  </r>
  <r>
    <x v="2174"/>
    <x v="8"/>
    <x v="2"/>
    <n v="33.299999999999997"/>
    <n v="99.899999999999991"/>
    <x v="79"/>
    <d v="2025-03-24T00:00:00"/>
    <x v="2"/>
    <x v="2"/>
    <x v="0"/>
    <x v="0"/>
    <x v="22"/>
    <x v="2"/>
    <x v="11"/>
    <x v="2"/>
  </r>
  <r>
    <x v="2175"/>
    <x v="10"/>
    <x v="0"/>
    <n v="27.4"/>
    <n v="27.4"/>
    <x v="79"/>
    <d v="2025-03-24T00:00:00"/>
    <x v="1"/>
    <x v="0"/>
    <x v="2"/>
    <x v="0"/>
    <x v="22"/>
    <x v="2"/>
    <x v="11"/>
    <x v="1"/>
  </r>
  <r>
    <x v="2176"/>
    <x v="14"/>
    <x v="1"/>
    <n v="25.6"/>
    <n v="51.2"/>
    <x v="79"/>
    <d v="2025-03-22T00:00:00"/>
    <x v="2"/>
    <x v="1"/>
    <x v="1"/>
    <x v="0"/>
    <x v="3"/>
    <x v="3"/>
    <x v="11"/>
    <x v="2"/>
  </r>
  <r>
    <x v="2177"/>
    <x v="13"/>
    <x v="0"/>
    <n v="58.4"/>
    <n v="58.4"/>
    <x v="79"/>
    <d v="2025-03-22T00:00:00"/>
    <x v="2"/>
    <x v="2"/>
    <x v="2"/>
    <x v="0"/>
    <x v="3"/>
    <x v="3"/>
    <x v="11"/>
    <x v="2"/>
  </r>
  <r>
    <x v="2178"/>
    <x v="11"/>
    <x v="17"/>
    <n v="27"/>
    <n v="810"/>
    <x v="79"/>
    <d v="2025-03-22T00:00:00"/>
    <x v="2"/>
    <x v="4"/>
    <x v="0"/>
    <x v="0"/>
    <x v="3"/>
    <x v="3"/>
    <x v="11"/>
    <x v="2"/>
  </r>
  <r>
    <x v="2179"/>
    <x v="0"/>
    <x v="12"/>
    <n v="14.2"/>
    <n v="56.8"/>
    <x v="79"/>
    <d v="2025-03-22T00:00:00"/>
    <x v="1"/>
    <x v="0"/>
    <x v="2"/>
    <x v="0"/>
    <x v="3"/>
    <x v="3"/>
    <x v="11"/>
    <x v="1"/>
  </r>
  <r>
    <x v="2180"/>
    <x v="7"/>
    <x v="1"/>
    <n v="68"/>
    <n v="136"/>
    <x v="79"/>
    <d v="2025-03-31T00:00:00"/>
    <x v="1"/>
    <x v="2"/>
    <x v="1"/>
    <x v="0"/>
    <x v="3"/>
    <x v="14"/>
    <x v="11"/>
    <x v="1"/>
  </r>
  <r>
    <x v="2181"/>
    <x v="8"/>
    <x v="0"/>
    <n v="30.7"/>
    <n v="30.7"/>
    <x v="79"/>
    <d v="2025-03-22T00:00:00"/>
    <x v="1"/>
    <x v="0"/>
    <x v="0"/>
    <x v="0"/>
    <x v="3"/>
    <x v="3"/>
    <x v="11"/>
    <x v="1"/>
  </r>
  <r>
    <x v="2182"/>
    <x v="17"/>
    <x v="15"/>
    <n v="51.6"/>
    <n v="670.80000000000007"/>
    <x v="79"/>
    <d v="2025-03-24T00:00:00"/>
    <x v="3"/>
    <x v="1"/>
    <x v="2"/>
    <x v="0"/>
    <x v="3"/>
    <x v="2"/>
    <x v="11"/>
    <x v="3"/>
  </r>
  <r>
    <x v="2183"/>
    <x v="8"/>
    <x v="2"/>
    <n v="20.6"/>
    <n v="61.800000000000004"/>
    <x v="79"/>
    <d v="2025-03-25T00:00:00"/>
    <x v="2"/>
    <x v="4"/>
    <x v="2"/>
    <x v="0"/>
    <x v="3"/>
    <x v="5"/>
    <x v="11"/>
    <x v="2"/>
  </r>
  <r>
    <x v="2184"/>
    <x v="8"/>
    <x v="0"/>
    <n v="24.8"/>
    <n v="24.8"/>
    <x v="79"/>
    <d v="2025-03-22T00:00:00"/>
    <x v="1"/>
    <x v="4"/>
    <x v="0"/>
    <x v="0"/>
    <x v="3"/>
    <x v="3"/>
    <x v="11"/>
    <x v="1"/>
  </r>
  <r>
    <x v="2185"/>
    <x v="0"/>
    <x v="3"/>
    <n v="11.2"/>
    <n v="78.399999999999991"/>
    <x v="79"/>
    <d v="2025-03-24T00:00:00"/>
    <x v="1"/>
    <x v="1"/>
    <x v="0"/>
    <x v="0"/>
    <x v="3"/>
    <x v="2"/>
    <x v="11"/>
    <x v="1"/>
  </r>
  <r>
    <x v="2186"/>
    <x v="11"/>
    <x v="1"/>
    <n v="51.2"/>
    <n v="102.4"/>
    <x v="79"/>
    <d v="2025-03-22T00:00:00"/>
    <x v="2"/>
    <x v="1"/>
    <x v="2"/>
    <x v="0"/>
    <x v="3"/>
    <x v="3"/>
    <x v="11"/>
    <x v="2"/>
  </r>
  <r>
    <x v="2187"/>
    <x v="7"/>
    <x v="13"/>
    <n v="90.5"/>
    <n v="543"/>
    <x v="79"/>
    <d v="2025-03-22T00:00:00"/>
    <x v="2"/>
    <x v="1"/>
    <x v="4"/>
    <x v="0"/>
    <x v="3"/>
    <x v="3"/>
    <x v="11"/>
    <x v="2"/>
  </r>
  <r>
    <x v="2188"/>
    <x v="1"/>
    <x v="1"/>
    <n v="42.4"/>
    <n v="84.8"/>
    <x v="79"/>
    <d v="2025-03-22T00:00:00"/>
    <x v="1"/>
    <x v="1"/>
    <x v="2"/>
    <x v="0"/>
    <x v="4"/>
    <x v="3"/>
    <x v="11"/>
    <x v="1"/>
  </r>
  <r>
    <x v="2189"/>
    <x v="1"/>
    <x v="1"/>
    <n v="38.200000000000003"/>
    <n v="76.400000000000006"/>
    <x v="79"/>
    <d v="2025-03-22T00:00:00"/>
    <x v="1"/>
    <x v="0"/>
    <x v="0"/>
    <x v="0"/>
    <x v="5"/>
    <x v="3"/>
    <x v="11"/>
    <x v="1"/>
  </r>
  <r>
    <x v="2190"/>
    <x v="2"/>
    <x v="11"/>
    <n v="121.3"/>
    <n v="1091.7"/>
    <x v="79"/>
    <d v="2025-03-26T00:00:00"/>
    <x v="1"/>
    <x v="0"/>
    <x v="0"/>
    <x v="0"/>
    <x v="6"/>
    <x v="0"/>
    <x v="11"/>
    <x v="1"/>
  </r>
  <r>
    <x v="2191"/>
    <x v="6"/>
    <x v="1"/>
    <n v="46.9"/>
    <n v="93.8"/>
    <x v="79"/>
    <d v="2025-03-28T00:00:00"/>
    <x v="1"/>
    <x v="0"/>
    <x v="0"/>
    <x v="0"/>
    <x v="8"/>
    <x v="6"/>
    <x v="11"/>
    <x v="1"/>
  </r>
  <r>
    <x v="2192"/>
    <x v="10"/>
    <x v="0"/>
    <n v="55.3"/>
    <n v="55.3"/>
    <x v="79"/>
    <d v="2025-03-23T00:00:00"/>
    <x v="1"/>
    <x v="0"/>
    <x v="0"/>
    <x v="0"/>
    <x v="8"/>
    <x v="1"/>
    <x v="11"/>
    <x v="1"/>
  </r>
  <r>
    <x v="2193"/>
    <x v="2"/>
    <x v="2"/>
    <n v="70.599999999999994"/>
    <n v="211.79999999999998"/>
    <x v="80"/>
    <d v="2025-03-22T00:00:00"/>
    <x v="2"/>
    <x v="0"/>
    <x v="1"/>
    <x v="0"/>
    <x v="8"/>
    <x v="7"/>
    <x v="11"/>
    <x v="2"/>
  </r>
  <r>
    <x v="2194"/>
    <x v="14"/>
    <x v="12"/>
    <n v="26.1"/>
    <n v="104.4"/>
    <x v="80"/>
    <d v="2025-03-24T00:00:00"/>
    <x v="1"/>
    <x v="0"/>
    <x v="0"/>
    <x v="0"/>
    <x v="8"/>
    <x v="1"/>
    <x v="11"/>
    <x v="1"/>
  </r>
  <r>
    <x v="2195"/>
    <x v="9"/>
    <x v="5"/>
    <n v="34.5"/>
    <n v="379.5"/>
    <x v="80"/>
    <d v="2025-03-26T00:00:00"/>
    <x v="1"/>
    <x v="2"/>
    <x v="0"/>
    <x v="0"/>
    <x v="17"/>
    <x v="5"/>
    <x v="11"/>
    <x v="1"/>
  </r>
  <r>
    <x v="2196"/>
    <x v="1"/>
    <x v="1"/>
    <n v="64.2"/>
    <n v="128.4"/>
    <x v="80"/>
    <d v="2025-03-23T00:00:00"/>
    <x v="2"/>
    <x v="0"/>
    <x v="1"/>
    <x v="0"/>
    <x v="17"/>
    <x v="3"/>
    <x v="11"/>
    <x v="2"/>
  </r>
  <r>
    <x v="2197"/>
    <x v="2"/>
    <x v="12"/>
    <n v="145.69999999999999"/>
    <n v="582.79999999999995"/>
    <x v="80"/>
    <d v="2025-03-23T00:00:00"/>
    <x v="2"/>
    <x v="0"/>
    <x v="4"/>
    <x v="0"/>
    <x v="17"/>
    <x v="3"/>
    <x v="11"/>
    <x v="2"/>
  </r>
  <r>
    <x v="2198"/>
    <x v="12"/>
    <x v="1"/>
    <n v="78.5"/>
    <n v="157"/>
    <x v="80"/>
    <d v="2025-03-23T00:00:00"/>
    <x v="1"/>
    <x v="2"/>
    <x v="0"/>
    <x v="0"/>
    <x v="26"/>
    <x v="3"/>
    <x v="11"/>
    <x v="1"/>
  </r>
  <r>
    <x v="2199"/>
    <x v="1"/>
    <x v="0"/>
    <n v="34.200000000000003"/>
    <n v="34.200000000000003"/>
    <x v="80"/>
    <d v="2025-03-24T00:00:00"/>
    <x v="1"/>
    <x v="0"/>
    <x v="0"/>
    <x v="0"/>
    <x v="9"/>
    <x v="1"/>
    <x v="11"/>
    <x v="1"/>
  </r>
  <r>
    <x v="2200"/>
    <x v="19"/>
    <x v="0"/>
    <n v="26.2"/>
    <n v="26.2"/>
    <x v="80"/>
    <d v="2025-03-23T00:00:00"/>
    <x v="1"/>
    <x v="2"/>
    <x v="0"/>
    <x v="0"/>
    <x v="9"/>
    <x v="3"/>
    <x v="11"/>
    <x v="1"/>
  </r>
  <r>
    <x v="2201"/>
    <x v="6"/>
    <x v="12"/>
    <n v="53.2"/>
    <n v="212.8"/>
    <x v="80"/>
    <d v="2025-03-23T00:00:00"/>
    <x v="1"/>
    <x v="1"/>
    <x v="1"/>
    <x v="0"/>
    <x v="11"/>
    <x v="3"/>
    <x v="11"/>
    <x v="1"/>
  </r>
  <r>
    <x v="2202"/>
    <x v="1"/>
    <x v="0"/>
    <n v="35.4"/>
    <n v="35.4"/>
    <x v="80"/>
    <d v="2025-03-26T00:00:00"/>
    <x v="1"/>
    <x v="1"/>
    <x v="4"/>
    <x v="0"/>
    <x v="18"/>
    <x v="5"/>
    <x v="11"/>
    <x v="1"/>
  </r>
  <r>
    <x v="2203"/>
    <x v="14"/>
    <x v="1"/>
    <n v="21.3"/>
    <n v="42.6"/>
    <x v="80"/>
    <d v="2025-03-23T00:00:00"/>
    <x v="1"/>
    <x v="2"/>
    <x v="0"/>
    <x v="0"/>
    <x v="20"/>
    <x v="3"/>
    <x v="11"/>
    <x v="1"/>
  </r>
  <r>
    <x v="2204"/>
    <x v="8"/>
    <x v="12"/>
    <n v="32.9"/>
    <n v="131.6"/>
    <x v="80"/>
    <d v="2025-03-25T00:00:00"/>
    <x v="2"/>
    <x v="4"/>
    <x v="2"/>
    <x v="0"/>
    <x v="21"/>
    <x v="2"/>
    <x v="11"/>
    <x v="2"/>
  </r>
  <r>
    <x v="2205"/>
    <x v="5"/>
    <x v="20"/>
    <n v="85.5"/>
    <n v="1282.5"/>
    <x v="80"/>
    <d v="2025-03-24T00:00:00"/>
    <x v="2"/>
    <x v="3"/>
    <x v="1"/>
    <x v="0"/>
    <x v="21"/>
    <x v="1"/>
    <x v="11"/>
    <x v="2"/>
  </r>
  <r>
    <x v="2206"/>
    <x v="4"/>
    <x v="0"/>
    <n v="26.8"/>
    <n v="26.8"/>
    <x v="80"/>
    <d v="2025-03-23T00:00:00"/>
    <x v="2"/>
    <x v="0"/>
    <x v="1"/>
    <x v="0"/>
    <x v="2"/>
    <x v="3"/>
    <x v="11"/>
    <x v="2"/>
  </r>
  <r>
    <x v="2207"/>
    <x v="9"/>
    <x v="18"/>
    <n v="31.7"/>
    <n v="824.19999999999993"/>
    <x v="80"/>
    <d v="2025-03-22T00:00:00"/>
    <x v="2"/>
    <x v="3"/>
    <x v="0"/>
    <x v="0"/>
    <x v="2"/>
    <x v="7"/>
    <x v="11"/>
    <x v="2"/>
  </r>
  <r>
    <x v="2208"/>
    <x v="1"/>
    <x v="1"/>
    <n v="78.3"/>
    <n v="156.6"/>
    <x v="80"/>
    <d v="2025-03-24T00:00:00"/>
    <x v="2"/>
    <x v="1"/>
    <x v="1"/>
    <x v="0"/>
    <x v="3"/>
    <x v="1"/>
    <x v="11"/>
    <x v="2"/>
  </r>
  <r>
    <x v="2209"/>
    <x v="6"/>
    <x v="0"/>
    <n v="43.9"/>
    <n v="43.9"/>
    <x v="80"/>
    <d v="2025-03-23T00:00:00"/>
    <x v="1"/>
    <x v="0"/>
    <x v="0"/>
    <x v="0"/>
    <x v="3"/>
    <x v="3"/>
    <x v="11"/>
    <x v="1"/>
  </r>
  <r>
    <x v="2210"/>
    <x v="18"/>
    <x v="2"/>
    <n v="84"/>
    <n v="252"/>
    <x v="80"/>
    <d v="2025-03-24T00:00:00"/>
    <x v="0"/>
    <x v="3"/>
    <x v="2"/>
    <x v="0"/>
    <x v="3"/>
    <x v="1"/>
    <x v="11"/>
    <x v="0"/>
  </r>
  <r>
    <x v="2211"/>
    <x v="0"/>
    <x v="2"/>
    <n v="11.4"/>
    <n v="34.200000000000003"/>
    <x v="80"/>
    <d v="2025-03-23T00:00:00"/>
    <x v="1"/>
    <x v="4"/>
    <x v="0"/>
    <x v="0"/>
    <x v="3"/>
    <x v="3"/>
    <x v="11"/>
    <x v="1"/>
  </r>
  <r>
    <x v="2212"/>
    <x v="12"/>
    <x v="8"/>
    <n v="47.5"/>
    <n v="380"/>
    <x v="80"/>
    <d v="2025-03-30T00:00:00"/>
    <x v="2"/>
    <x v="0"/>
    <x v="0"/>
    <x v="0"/>
    <x v="3"/>
    <x v="9"/>
    <x v="11"/>
    <x v="2"/>
  </r>
  <r>
    <x v="2213"/>
    <x v="9"/>
    <x v="5"/>
    <n v="50.5"/>
    <n v="555.5"/>
    <x v="80"/>
    <d v="2025-03-24T00:00:00"/>
    <x v="1"/>
    <x v="2"/>
    <x v="0"/>
    <x v="0"/>
    <x v="3"/>
    <x v="1"/>
    <x v="11"/>
    <x v="1"/>
  </r>
  <r>
    <x v="2214"/>
    <x v="15"/>
    <x v="0"/>
    <n v="36.299999999999997"/>
    <n v="36.299999999999997"/>
    <x v="80"/>
    <d v="2025-03-25T00:00:00"/>
    <x v="3"/>
    <x v="0"/>
    <x v="1"/>
    <x v="0"/>
    <x v="8"/>
    <x v="2"/>
    <x v="11"/>
    <x v="3"/>
  </r>
  <r>
    <x v="2215"/>
    <x v="8"/>
    <x v="1"/>
    <n v="35.4"/>
    <n v="70.8"/>
    <x v="80"/>
    <d v="2025-03-23T00:00:00"/>
    <x v="2"/>
    <x v="0"/>
    <x v="0"/>
    <x v="0"/>
    <x v="17"/>
    <x v="3"/>
    <x v="11"/>
    <x v="2"/>
  </r>
  <r>
    <x v="2216"/>
    <x v="1"/>
    <x v="2"/>
    <n v="45.9"/>
    <n v="137.69999999999999"/>
    <x v="81"/>
    <d v="2025-03-24T00:00:00"/>
    <x v="1"/>
    <x v="3"/>
    <x v="0"/>
    <x v="0"/>
    <x v="9"/>
    <x v="3"/>
    <x v="12"/>
    <x v="1"/>
  </r>
  <r>
    <x v="2217"/>
    <x v="6"/>
    <x v="7"/>
    <n v="41.2"/>
    <n v="412"/>
    <x v="81"/>
    <d v="2025-03-27T00:00:00"/>
    <x v="1"/>
    <x v="0"/>
    <x v="0"/>
    <x v="0"/>
    <x v="11"/>
    <x v="5"/>
    <x v="12"/>
    <x v="1"/>
  </r>
  <r>
    <x v="2218"/>
    <x v="17"/>
    <x v="1"/>
    <n v="45.1"/>
    <n v="90.2"/>
    <x v="81"/>
    <d v="2025-03-24T00:00:00"/>
    <x v="1"/>
    <x v="1"/>
    <x v="1"/>
    <x v="0"/>
    <x v="21"/>
    <x v="3"/>
    <x v="12"/>
    <x v="1"/>
  </r>
  <r>
    <x v="2219"/>
    <x v="6"/>
    <x v="7"/>
    <n v="63.6"/>
    <n v="636"/>
    <x v="81"/>
    <d v="2025-03-23T00:00:00"/>
    <x v="1"/>
    <x v="2"/>
    <x v="0"/>
    <x v="0"/>
    <x v="1"/>
    <x v="7"/>
    <x v="12"/>
    <x v="1"/>
  </r>
  <r>
    <x v="2220"/>
    <x v="8"/>
    <x v="0"/>
    <n v="70.5"/>
    <n v="70.5"/>
    <x v="81"/>
    <d v="2025-03-24T00:00:00"/>
    <x v="1"/>
    <x v="0"/>
    <x v="0"/>
    <x v="0"/>
    <x v="3"/>
    <x v="3"/>
    <x v="12"/>
    <x v="1"/>
  </r>
  <r>
    <x v="2221"/>
    <x v="6"/>
    <x v="0"/>
    <n v="41.3"/>
    <n v="41.3"/>
    <x v="81"/>
    <d v="2025-03-23T00:00:00"/>
    <x v="1"/>
    <x v="4"/>
    <x v="0"/>
    <x v="0"/>
    <x v="3"/>
    <x v="7"/>
    <x v="12"/>
    <x v="1"/>
  </r>
  <r>
    <x v="2222"/>
    <x v="4"/>
    <x v="0"/>
    <n v="35.299999999999997"/>
    <n v="35.299999999999997"/>
    <x v="81"/>
    <d v="2025-03-26T00:00:00"/>
    <x v="2"/>
    <x v="4"/>
    <x v="2"/>
    <x v="0"/>
    <x v="3"/>
    <x v="2"/>
    <x v="12"/>
    <x v="2"/>
  </r>
  <r>
    <x v="2223"/>
    <x v="8"/>
    <x v="9"/>
    <n v="34.700000000000003"/>
    <n v="173.5"/>
    <x v="81"/>
    <d v="2025-03-24T00:00:00"/>
    <x v="2"/>
    <x v="0"/>
    <x v="2"/>
    <x v="0"/>
    <x v="3"/>
    <x v="3"/>
    <x v="12"/>
    <x v="2"/>
  </r>
  <r>
    <x v="2224"/>
    <x v="8"/>
    <x v="2"/>
    <n v="26.1"/>
    <n v="78.300000000000011"/>
    <x v="81"/>
    <d v="2025-03-24T00:00:00"/>
    <x v="2"/>
    <x v="0"/>
    <x v="0"/>
    <x v="0"/>
    <x v="3"/>
    <x v="3"/>
    <x v="12"/>
    <x v="2"/>
  </r>
  <r>
    <x v="2225"/>
    <x v="9"/>
    <x v="9"/>
    <n v="22.6"/>
    <n v="113"/>
    <x v="81"/>
    <d v="2025-03-23T00:00:00"/>
    <x v="2"/>
    <x v="1"/>
    <x v="2"/>
    <x v="0"/>
    <x v="3"/>
    <x v="7"/>
    <x v="12"/>
    <x v="2"/>
  </r>
  <r>
    <x v="2226"/>
    <x v="2"/>
    <x v="1"/>
    <n v="154.4"/>
    <n v="308.8"/>
    <x v="81"/>
    <d v="2025-03-26T00:00:00"/>
    <x v="1"/>
    <x v="1"/>
    <x v="1"/>
    <x v="0"/>
    <x v="3"/>
    <x v="2"/>
    <x v="12"/>
    <x v="1"/>
  </r>
  <r>
    <x v="2227"/>
    <x v="8"/>
    <x v="1"/>
    <n v="18.399999999999999"/>
    <n v="36.799999999999997"/>
    <x v="81"/>
    <d v="2025-03-24T00:00:00"/>
    <x v="1"/>
    <x v="0"/>
    <x v="0"/>
    <x v="0"/>
    <x v="3"/>
    <x v="3"/>
    <x v="12"/>
    <x v="1"/>
  </r>
  <r>
    <x v="2228"/>
    <x v="14"/>
    <x v="0"/>
    <n v="25"/>
    <n v="25"/>
    <x v="81"/>
    <d v="2025-03-26T00:00:00"/>
    <x v="2"/>
    <x v="0"/>
    <x v="0"/>
    <x v="0"/>
    <x v="3"/>
    <x v="2"/>
    <x v="12"/>
    <x v="2"/>
  </r>
  <r>
    <x v="2229"/>
    <x v="2"/>
    <x v="13"/>
    <n v="105.6"/>
    <n v="633.59999999999991"/>
    <x v="81"/>
    <d v="2025-03-23T00:00:00"/>
    <x v="2"/>
    <x v="0"/>
    <x v="0"/>
    <x v="0"/>
    <x v="3"/>
    <x v="7"/>
    <x v="12"/>
    <x v="2"/>
  </r>
  <r>
    <x v="2230"/>
    <x v="18"/>
    <x v="8"/>
    <n v="59.6"/>
    <n v="476.8"/>
    <x v="81"/>
    <d v="2025-03-23T00:00:00"/>
    <x v="2"/>
    <x v="0"/>
    <x v="2"/>
    <x v="0"/>
    <x v="23"/>
    <x v="7"/>
    <x v="12"/>
    <x v="2"/>
  </r>
  <r>
    <x v="2231"/>
    <x v="15"/>
    <x v="2"/>
    <n v="75.400000000000006"/>
    <n v="226.20000000000002"/>
    <x v="81"/>
    <d v="2025-03-28T00:00:00"/>
    <x v="1"/>
    <x v="0"/>
    <x v="1"/>
    <x v="0"/>
    <x v="7"/>
    <x v="0"/>
    <x v="12"/>
    <x v="1"/>
  </r>
  <r>
    <x v="2232"/>
    <x v="7"/>
    <x v="0"/>
    <n v="104.4"/>
    <n v="104.4"/>
    <x v="81"/>
    <d v="2025-03-24T00:00:00"/>
    <x v="2"/>
    <x v="0"/>
    <x v="0"/>
    <x v="0"/>
    <x v="8"/>
    <x v="3"/>
    <x v="12"/>
    <x v="2"/>
  </r>
  <r>
    <x v="2233"/>
    <x v="2"/>
    <x v="7"/>
    <n v="208.2"/>
    <n v="2082"/>
    <x v="81"/>
    <d v="2025-03-24T00:00:00"/>
    <x v="1"/>
    <x v="0"/>
    <x v="2"/>
    <x v="0"/>
    <x v="8"/>
    <x v="3"/>
    <x v="12"/>
    <x v="1"/>
  </r>
  <r>
    <x v="2234"/>
    <x v="6"/>
    <x v="1"/>
    <n v="45"/>
    <n v="90"/>
    <x v="81"/>
    <d v="2025-03-26T00:00:00"/>
    <x v="2"/>
    <x v="0"/>
    <x v="0"/>
    <x v="0"/>
    <x v="10"/>
    <x v="2"/>
    <x v="12"/>
    <x v="2"/>
  </r>
  <r>
    <x v="2235"/>
    <x v="15"/>
    <x v="1"/>
    <n v="20.3"/>
    <n v="40.6"/>
    <x v="82"/>
    <d v="2025-03-26T00:00:00"/>
    <x v="0"/>
    <x v="1"/>
    <x v="0"/>
    <x v="0"/>
    <x v="11"/>
    <x v="1"/>
    <x v="12"/>
    <x v="0"/>
  </r>
  <r>
    <x v="2236"/>
    <x v="2"/>
    <x v="2"/>
    <n v="94.4"/>
    <n v="283.20000000000005"/>
    <x v="82"/>
    <d v="2025-03-25T00:00:00"/>
    <x v="2"/>
    <x v="0"/>
    <x v="2"/>
    <x v="0"/>
    <x v="11"/>
    <x v="3"/>
    <x v="12"/>
    <x v="2"/>
  </r>
  <r>
    <x v="2237"/>
    <x v="9"/>
    <x v="0"/>
    <n v="49"/>
    <n v="49"/>
    <x v="82"/>
    <d v="2025-03-26T00:00:00"/>
    <x v="2"/>
    <x v="0"/>
    <x v="2"/>
    <x v="0"/>
    <x v="20"/>
    <x v="1"/>
    <x v="12"/>
    <x v="2"/>
  </r>
  <r>
    <x v="2238"/>
    <x v="4"/>
    <x v="1"/>
    <n v="27.2"/>
    <n v="54.4"/>
    <x v="82"/>
    <d v="2025-03-26T00:00:00"/>
    <x v="1"/>
    <x v="0"/>
    <x v="2"/>
    <x v="0"/>
    <x v="1"/>
    <x v="1"/>
    <x v="12"/>
    <x v="1"/>
  </r>
  <r>
    <x v="2239"/>
    <x v="2"/>
    <x v="13"/>
    <n v="72.599999999999994"/>
    <n v="435.59999999999997"/>
    <x v="82"/>
    <d v="2025-03-25T00:00:00"/>
    <x v="2"/>
    <x v="0"/>
    <x v="2"/>
    <x v="0"/>
    <x v="2"/>
    <x v="3"/>
    <x v="12"/>
    <x v="2"/>
  </r>
  <r>
    <x v="2240"/>
    <x v="15"/>
    <x v="12"/>
    <n v="62.4"/>
    <n v="249.6"/>
    <x v="82"/>
    <d v="2025-03-25T00:00:00"/>
    <x v="2"/>
    <x v="0"/>
    <x v="0"/>
    <x v="0"/>
    <x v="3"/>
    <x v="3"/>
    <x v="12"/>
    <x v="2"/>
  </r>
  <r>
    <x v="2241"/>
    <x v="8"/>
    <x v="2"/>
    <n v="19.100000000000001"/>
    <n v="57.300000000000004"/>
    <x v="82"/>
    <d v="2025-03-26T00:00:00"/>
    <x v="1"/>
    <x v="0"/>
    <x v="1"/>
    <x v="0"/>
    <x v="3"/>
    <x v="1"/>
    <x v="12"/>
    <x v="1"/>
  </r>
  <r>
    <x v="2242"/>
    <x v="10"/>
    <x v="0"/>
    <n v="29.6"/>
    <n v="29.6"/>
    <x v="82"/>
    <d v="2025-03-28T00:00:00"/>
    <x v="1"/>
    <x v="0"/>
    <x v="4"/>
    <x v="0"/>
    <x v="3"/>
    <x v="5"/>
    <x v="12"/>
    <x v="1"/>
  </r>
  <r>
    <x v="2243"/>
    <x v="8"/>
    <x v="1"/>
    <n v="18.899999999999999"/>
    <n v="37.799999999999997"/>
    <x v="82"/>
    <d v="2025-03-26T00:00:00"/>
    <x v="2"/>
    <x v="4"/>
    <x v="2"/>
    <x v="0"/>
    <x v="3"/>
    <x v="1"/>
    <x v="12"/>
    <x v="2"/>
  </r>
  <r>
    <x v="2244"/>
    <x v="10"/>
    <x v="9"/>
    <n v="41.4"/>
    <n v="207"/>
    <x v="82"/>
    <d v="2025-03-25T00:00:00"/>
    <x v="1"/>
    <x v="3"/>
    <x v="0"/>
    <x v="0"/>
    <x v="3"/>
    <x v="3"/>
    <x v="12"/>
    <x v="1"/>
  </r>
  <r>
    <x v="2245"/>
    <x v="2"/>
    <x v="0"/>
    <n v="118.4"/>
    <n v="118.4"/>
    <x v="82"/>
    <d v="2025-03-25T00:00:00"/>
    <x v="2"/>
    <x v="0"/>
    <x v="2"/>
    <x v="0"/>
    <x v="3"/>
    <x v="3"/>
    <x v="12"/>
    <x v="2"/>
  </r>
  <r>
    <x v="2246"/>
    <x v="2"/>
    <x v="1"/>
    <n v="125.3"/>
    <n v="250.6"/>
    <x v="82"/>
    <d v="2025-03-27T00:00:00"/>
    <x v="2"/>
    <x v="0"/>
    <x v="2"/>
    <x v="0"/>
    <x v="3"/>
    <x v="2"/>
    <x v="12"/>
    <x v="2"/>
  </r>
  <r>
    <x v="2247"/>
    <x v="3"/>
    <x v="1"/>
    <n v="85.8"/>
    <n v="171.6"/>
    <x v="82"/>
    <d v="2025-03-25T00:00:00"/>
    <x v="2"/>
    <x v="1"/>
    <x v="4"/>
    <x v="0"/>
    <x v="3"/>
    <x v="3"/>
    <x v="12"/>
    <x v="2"/>
  </r>
  <r>
    <x v="2248"/>
    <x v="6"/>
    <x v="0"/>
    <n v="44.2"/>
    <n v="44.2"/>
    <x v="82"/>
    <d v="2025-03-27T00:00:00"/>
    <x v="1"/>
    <x v="1"/>
    <x v="0"/>
    <x v="0"/>
    <x v="3"/>
    <x v="2"/>
    <x v="12"/>
    <x v="1"/>
  </r>
  <r>
    <x v="2249"/>
    <x v="5"/>
    <x v="12"/>
    <n v="74.099999999999994"/>
    <n v="296.39999999999998"/>
    <x v="82"/>
    <d v="2025-03-26T00:00:00"/>
    <x v="2"/>
    <x v="0"/>
    <x v="0"/>
    <x v="0"/>
    <x v="3"/>
    <x v="1"/>
    <x v="12"/>
    <x v="2"/>
  </r>
  <r>
    <x v="2250"/>
    <x v="8"/>
    <x v="0"/>
    <n v="33.799999999999997"/>
    <n v="33.799999999999997"/>
    <x v="82"/>
    <d v="2025-03-25T00:00:00"/>
    <x v="2"/>
    <x v="2"/>
    <x v="2"/>
    <x v="0"/>
    <x v="24"/>
    <x v="3"/>
    <x v="12"/>
    <x v="2"/>
  </r>
  <r>
    <x v="2251"/>
    <x v="1"/>
    <x v="1"/>
    <n v="39.1"/>
    <n v="78.2"/>
    <x v="82"/>
    <d v="2025-03-25T00:00:00"/>
    <x v="1"/>
    <x v="0"/>
    <x v="1"/>
    <x v="0"/>
    <x v="24"/>
    <x v="3"/>
    <x v="12"/>
    <x v="1"/>
  </r>
  <r>
    <x v="2252"/>
    <x v="0"/>
    <x v="0"/>
    <n v="37.200000000000003"/>
    <n v="37.200000000000003"/>
    <x v="82"/>
    <d v="2025-03-25T00:00:00"/>
    <x v="1"/>
    <x v="0"/>
    <x v="1"/>
    <x v="0"/>
    <x v="16"/>
    <x v="3"/>
    <x v="12"/>
    <x v="1"/>
  </r>
  <r>
    <x v="2253"/>
    <x v="15"/>
    <x v="2"/>
    <n v="33.9"/>
    <n v="101.69999999999999"/>
    <x v="82"/>
    <d v="2025-03-26T00:00:00"/>
    <x v="1"/>
    <x v="2"/>
    <x v="0"/>
    <x v="0"/>
    <x v="6"/>
    <x v="1"/>
    <x v="12"/>
    <x v="1"/>
  </r>
  <r>
    <x v="2254"/>
    <x v="7"/>
    <x v="20"/>
    <n v="73.3"/>
    <n v="1099.5"/>
    <x v="82"/>
    <d v="2025-03-27T00:00:00"/>
    <x v="2"/>
    <x v="2"/>
    <x v="1"/>
    <x v="0"/>
    <x v="8"/>
    <x v="2"/>
    <x v="12"/>
    <x v="2"/>
  </r>
  <r>
    <x v="2255"/>
    <x v="8"/>
    <x v="12"/>
    <n v="35"/>
    <n v="140"/>
    <x v="82"/>
    <d v="2025-03-26T00:00:00"/>
    <x v="2"/>
    <x v="1"/>
    <x v="0"/>
    <x v="0"/>
    <x v="8"/>
    <x v="1"/>
    <x v="12"/>
    <x v="2"/>
  </r>
  <r>
    <x v="2256"/>
    <x v="0"/>
    <x v="2"/>
    <n v="22.2"/>
    <n v="66.599999999999994"/>
    <x v="82"/>
    <d v="2025-03-25T00:00:00"/>
    <x v="1"/>
    <x v="1"/>
    <x v="0"/>
    <x v="0"/>
    <x v="17"/>
    <x v="3"/>
    <x v="12"/>
    <x v="1"/>
  </r>
  <r>
    <x v="2257"/>
    <x v="10"/>
    <x v="0"/>
    <n v="32.4"/>
    <n v="32.4"/>
    <x v="82"/>
    <d v="2025-03-25T00:00:00"/>
    <x v="2"/>
    <x v="0"/>
    <x v="0"/>
    <x v="0"/>
    <x v="11"/>
    <x v="3"/>
    <x v="12"/>
    <x v="2"/>
  </r>
  <r>
    <x v="2258"/>
    <x v="5"/>
    <x v="2"/>
    <n v="88.4"/>
    <n v="265.20000000000005"/>
    <x v="83"/>
    <d v="2025-03-27T00:00:00"/>
    <x v="2"/>
    <x v="1"/>
    <x v="1"/>
    <x v="0"/>
    <x v="11"/>
    <x v="1"/>
    <x v="12"/>
    <x v="2"/>
  </r>
  <r>
    <x v="2259"/>
    <x v="5"/>
    <x v="27"/>
    <n v="30.5"/>
    <n v="488"/>
    <x v="83"/>
    <d v="2025-03-26T00:00:00"/>
    <x v="2"/>
    <x v="2"/>
    <x v="0"/>
    <x v="0"/>
    <x v="11"/>
    <x v="3"/>
    <x v="12"/>
    <x v="2"/>
  </r>
  <r>
    <x v="2260"/>
    <x v="1"/>
    <x v="13"/>
    <n v="38.1"/>
    <n v="228.60000000000002"/>
    <x v="83"/>
    <d v="2025-03-27T00:00:00"/>
    <x v="2"/>
    <x v="0"/>
    <x v="1"/>
    <x v="0"/>
    <x v="11"/>
    <x v="1"/>
    <x v="12"/>
    <x v="2"/>
  </r>
  <r>
    <x v="2261"/>
    <x v="10"/>
    <x v="9"/>
    <n v="37.6"/>
    <n v="188"/>
    <x v="83"/>
    <d v="2025-03-29T00:00:00"/>
    <x v="1"/>
    <x v="0"/>
    <x v="0"/>
    <x v="0"/>
    <x v="11"/>
    <x v="5"/>
    <x v="12"/>
    <x v="1"/>
  </r>
  <r>
    <x v="2262"/>
    <x v="15"/>
    <x v="1"/>
    <n v="31.4"/>
    <n v="62.8"/>
    <x v="83"/>
    <d v="2025-03-26T00:00:00"/>
    <x v="1"/>
    <x v="0"/>
    <x v="2"/>
    <x v="0"/>
    <x v="11"/>
    <x v="3"/>
    <x v="12"/>
    <x v="1"/>
  </r>
  <r>
    <x v="2263"/>
    <x v="6"/>
    <x v="1"/>
    <n v="61.5"/>
    <n v="123"/>
    <x v="83"/>
    <d v="2025-03-26T00:00:00"/>
    <x v="1"/>
    <x v="3"/>
    <x v="0"/>
    <x v="0"/>
    <x v="31"/>
    <x v="3"/>
    <x v="12"/>
    <x v="1"/>
  </r>
  <r>
    <x v="2264"/>
    <x v="6"/>
    <x v="0"/>
    <n v="72.599999999999994"/>
    <n v="72.599999999999994"/>
    <x v="83"/>
    <d v="2025-03-26T00:00:00"/>
    <x v="1"/>
    <x v="0"/>
    <x v="1"/>
    <x v="0"/>
    <x v="21"/>
    <x v="3"/>
    <x v="12"/>
    <x v="1"/>
  </r>
  <r>
    <x v="2265"/>
    <x v="9"/>
    <x v="2"/>
    <n v="26.9"/>
    <n v="80.699999999999989"/>
    <x v="83"/>
    <d v="2025-03-30T00:00:00"/>
    <x v="3"/>
    <x v="4"/>
    <x v="1"/>
    <x v="0"/>
    <x v="46"/>
    <x v="0"/>
    <x v="12"/>
    <x v="3"/>
  </r>
  <r>
    <x v="2266"/>
    <x v="17"/>
    <x v="4"/>
    <n v="29.4"/>
    <n v="352.79999999999995"/>
    <x v="83"/>
    <d v="2025-03-26T00:00:00"/>
    <x v="2"/>
    <x v="1"/>
    <x v="0"/>
    <x v="0"/>
    <x v="51"/>
    <x v="3"/>
    <x v="12"/>
    <x v="2"/>
  </r>
  <r>
    <x v="2267"/>
    <x v="17"/>
    <x v="1"/>
    <n v="42.1"/>
    <n v="84.2"/>
    <x v="83"/>
    <d v="2025-03-26T00:00:00"/>
    <x v="2"/>
    <x v="3"/>
    <x v="1"/>
    <x v="0"/>
    <x v="1"/>
    <x v="3"/>
    <x v="12"/>
    <x v="2"/>
  </r>
  <r>
    <x v="2268"/>
    <x v="5"/>
    <x v="0"/>
    <n v="40.5"/>
    <n v="40.5"/>
    <x v="83"/>
    <d v="2025-03-26T00:00:00"/>
    <x v="2"/>
    <x v="2"/>
    <x v="1"/>
    <x v="0"/>
    <x v="1"/>
    <x v="3"/>
    <x v="12"/>
    <x v="2"/>
  </r>
  <r>
    <x v="2269"/>
    <x v="2"/>
    <x v="12"/>
    <n v="182.3"/>
    <n v="729.2"/>
    <x v="83"/>
    <d v="2025-03-26T00:00:00"/>
    <x v="2"/>
    <x v="1"/>
    <x v="0"/>
    <x v="0"/>
    <x v="1"/>
    <x v="3"/>
    <x v="12"/>
    <x v="2"/>
  </r>
  <r>
    <x v="2270"/>
    <x v="2"/>
    <x v="9"/>
    <n v="157"/>
    <n v="785"/>
    <x v="83"/>
    <d v="2025-03-28T00:00:00"/>
    <x v="2"/>
    <x v="1"/>
    <x v="2"/>
    <x v="0"/>
    <x v="2"/>
    <x v="2"/>
    <x v="12"/>
    <x v="2"/>
  </r>
  <r>
    <x v="2271"/>
    <x v="17"/>
    <x v="9"/>
    <n v="45.2"/>
    <n v="226"/>
    <x v="83"/>
    <d v="2025-03-28T00:00:00"/>
    <x v="2"/>
    <x v="1"/>
    <x v="0"/>
    <x v="0"/>
    <x v="22"/>
    <x v="2"/>
    <x v="12"/>
    <x v="2"/>
  </r>
  <r>
    <x v="2272"/>
    <x v="15"/>
    <x v="12"/>
    <n v="27.4"/>
    <n v="109.6"/>
    <x v="83"/>
    <d v="2025-03-27T00:00:00"/>
    <x v="2"/>
    <x v="0"/>
    <x v="0"/>
    <x v="0"/>
    <x v="3"/>
    <x v="1"/>
    <x v="12"/>
    <x v="2"/>
  </r>
  <r>
    <x v="2273"/>
    <x v="5"/>
    <x v="9"/>
    <n v="34.1"/>
    <n v="170.5"/>
    <x v="83"/>
    <d v="2025-03-27T00:00:00"/>
    <x v="1"/>
    <x v="0"/>
    <x v="2"/>
    <x v="0"/>
    <x v="3"/>
    <x v="1"/>
    <x v="12"/>
    <x v="1"/>
  </r>
  <r>
    <x v="2274"/>
    <x v="0"/>
    <x v="1"/>
    <n v="26"/>
    <n v="52"/>
    <x v="83"/>
    <d v="2025-03-27T00:00:00"/>
    <x v="1"/>
    <x v="2"/>
    <x v="1"/>
    <x v="0"/>
    <x v="3"/>
    <x v="1"/>
    <x v="12"/>
    <x v="1"/>
  </r>
  <r>
    <x v="2275"/>
    <x v="8"/>
    <x v="3"/>
    <n v="19.399999999999999"/>
    <n v="135.79999999999998"/>
    <x v="83"/>
    <d v="2025-03-27T00:00:00"/>
    <x v="0"/>
    <x v="1"/>
    <x v="1"/>
    <x v="0"/>
    <x v="3"/>
    <x v="1"/>
    <x v="12"/>
    <x v="0"/>
  </r>
  <r>
    <x v="2276"/>
    <x v="16"/>
    <x v="2"/>
    <n v="30.3"/>
    <n v="90.9"/>
    <x v="83"/>
    <d v="2025-03-28T00:00:00"/>
    <x v="2"/>
    <x v="1"/>
    <x v="2"/>
    <x v="0"/>
    <x v="3"/>
    <x v="2"/>
    <x v="12"/>
    <x v="2"/>
  </r>
  <r>
    <x v="2277"/>
    <x v="2"/>
    <x v="2"/>
    <n v="101.4"/>
    <n v="304.20000000000005"/>
    <x v="83"/>
    <d v="2025-03-26T00:00:00"/>
    <x v="1"/>
    <x v="0"/>
    <x v="0"/>
    <x v="0"/>
    <x v="3"/>
    <x v="3"/>
    <x v="12"/>
    <x v="1"/>
  </r>
  <r>
    <x v="2278"/>
    <x v="3"/>
    <x v="9"/>
    <n v="55.5"/>
    <n v="277.5"/>
    <x v="83"/>
    <d v="2025-03-28T00:00:00"/>
    <x v="1"/>
    <x v="1"/>
    <x v="0"/>
    <x v="0"/>
    <x v="24"/>
    <x v="2"/>
    <x v="12"/>
    <x v="1"/>
  </r>
  <r>
    <x v="2279"/>
    <x v="8"/>
    <x v="0"/>
    <n v="23.1"/>
    <n v="23.1"/>
    <x v="83"/>
    <d v="2025-03-26T00:00:00"/>
    <x v="1"/>
    <x v="0"/>
    <x v="0"/>
    <x v="0"/>
    <x v="25"/>
    <x v="3"/>
    <x v="12"/>
    <x v="1"/>
  </r>
  <r>
    <x v="2280"/>
    <x v="18"/>
    <x v="1"/>
    <n v="38.9"/>
    <n v="77.8"/>
    <x v="83"/>
    <d v="2025-03-26T00:00:00"/>
    <x v="1"/>
    <x v="2"/>
    <x v="0"/>
    <x v="0"/>
    <x v="25"/>
    <x v="3"/>
    <x v="12"/>
    <x v="1"/>
  </r>
  <r>
    <x v="2281"/>
    <x v="6"/>
    <x v="11"/>
    <n v="116.3"/>
    <n v="1046.7"/>
    <x v="83"/>
    <d v="2025-03-29T00:00:00"/>
    <x v="2"/>
    <x v="0"/>
    <x v="0"/>
    <x v="0"/>
    <x v="5"/>
    <x v="5"/>
    <x v="12"/>
    <x v="2"/>
  </r>
  <r>
    <x v="2282"/>
    <x v="16"/>
    <x v="11"/>
    <n v="64.099999999999994"/>
    <n v="576.9"/>
    <x v="83"/>
    <d v="2025-03-25T00:00:00"/>
    <x v="2"/>
    <x v="0"/>
    <x v="2"/>
    <x v="0"/>
    <x v="6"/>
    <x v="7"/>
    <x v="12"/>
    <x v="2"/>
  </r>
  <r>
    <x v="2283"/>
    <x v="2"/>
    <x v="13"/>
    <n v="109.2"/>
    <n v="655.20000000000005"/>
    <x v="83"/>
    <d v="2025-03-27T00:00:00"/>
    <x v="1"/>
    <x v="0"/>
    <x v="1"/>
    <x v="0"/>
    <x v="8"/>
    <x v="1"/>
    <x v="12"/>
    <x v="1"/>
  </r>
  <r>
    <x v="2284"/>
    <x v="10"/>
    <x v="9"/>
    <n v="23.2"/>
    <n v="116"/>
    <x v="84"/>
    <d v="2025-03-27T00:00:00"/>
    <x v="1"/>
    <x v="0"/>
    <x v="1"/>
    <x v="0"/>
    <x v="8"/>
    <x v="3"/>
    <x v="12"/>
    <x v="1"/>
  </r>
  <r>
    <x v="2285"/>
    <x v="18"/>
    <x v="13"/>
    <n v="81.2"/>
    <n v="487.20000000000005"/>
    <x v="84"/>
    <d v="2025-03-28T00:00:00"/>
    <x v="1"/>
    <x v="2"/>
    <x v="2"/>
    <x v="0"/>
    <x v="8"/>
    <x v="1"/>
    <x v="12"/>
    <x v="1"/>
  </r>
  <r>
    <x v="2286"/>
    <x v="1"/>
    <x v="21"/>
    <n v="35.700000000000003"/>
    <n v="499.80000000000007"/>
    <x v="84"/>
    <d v="2025-03-27T00:00:00"/>
    <x v="1"/>
    <x v="3"/>
    <x v="0"/>
    <x v="0"/>
    <x v="8"/>
    <x v="3"/>
    <x v="12"/>
    <x v="1"/>
  </r>
  <r>
    <x v="2287"/>
    <x v="7"/>
    <x v="1"/>
    <n v="44.5"/>
    <n v="89"/>
    <x v="84"/>
    <d v="2025-03-29T00:00:00"/>
    <x v="1"/>
    <x v="4"/>
    <x v="0"/>
    <x v="0"/>
    <x v="9"/>
    <x v="2"/>
    <x v="12"/>
    <x v="1"/>
  </r>
  <r>
    <x v="2288"/>
    <x v="1"/>
    <x v="9"/>
    <n v="32"/>
    <n v="160"/>
    <x v="84"/>
    <d v="2025-03-28T00:00:00"/>
    <x v="3"/>
    <x v="1"/>
    <x v="1"/>
    <x v="0"/>
    <x v="9"/>
    <x v="1"/>
    <x v="12"/>
    <x v="3"/>
  </r>
  <r>
    <x v="2289"/>
    <x v="8"/>
    <x v="0"/>
    <n v="25.7"/>
    <n v="25.7"/>
    <x v="84"/>
    <d v="2025-03-27T00:00:00"/>
    <x v="1"/>
    <x v="0"/>
    <x v="0"/>
    <x v="0"/>
    <x v="10"/>
    <x v="3"/>
    <x v="12"/>
    <x v="1"/>
  </r>
  <r>
    <x v="2290"/>
    <x v="16"/>
    <x v="2"/>
    <n v="65.599999999999994"/>
    <n v="196.79999999999998"/>
    <x v="84"/>
    <d v="2025-04-01T00:00:00"/>
    <x v="1"/>
    <x v="0"/>
    <x v="0"/>
    <x v="0"/>
    <x v="11"/>
    <x v="4"/>
    <x v="12"/>
    <x v="1"/>
  </r>
  <r>
    <x v="2291"/>
    <x v="1"/>
    <x v="12"/>
    <n v="52.1"/>
    <n v="208.4"/>
    <x v="84"/>
    <d v="2025-03-27T00:00:00"/>
    <x v="2"/>
    <x v="0"/>
    <x v="2"/>
    <x v="0"/>
    <x v="11"/>
    <x v="3"/>
    <x v="12"/>
    <x v="2"/>
  </r>
  <r>
    <x v="2292"/>
    <x v="8"/>
    <x v="0"/>
    <n v="31"/>
    <n v="31"/>
    <x v="84"/>
    <d v="2025-03-27T00:00:00"/>
    <x v="1"/>
    <x v="0"/>
    <x v="1"/>
    <x v="0"/>
    <x v="19"/>
    <x v="3"/>
    <x v="12"/>
    <x v="1"/>
  </r>
  <r>
    <x v="2293"/>
    <x v="8"/>
    <x v="0"/>
    <n v="32"/>
    <n v="32"/>
    <x v="84"/>
    <d v="2025-03-28T00:00:00"/>
    <x v="3"/>
    <x v="3"/>
    <x v="1"/>
    <x v="0"/>
    <x v="31"/>
    <x v="1"/>
    <x v="12"/>
    <x v="3"/>
  </r>
  <r>
    <x v="2294"/>
    <x v="16"/>
    <x v="12"/>
    <n v="58.3"/>
    <n v="233.2"/>
    <x v="84"/>
    <d v="2025-03-30T00:00:00"/>
    <x v="1"/>
    <x v="1"/>
    <x v="4"/>
    <x v="0"/>
    <x v="20"/>
    <x v="5"/>
    <x v="12"/>
    <x v="1"/>
  </r>
  <r>
    <x v="2295"/>
    <x v="8"/>
    <x v="2"/>
    <n v="31"/>
    <n v="93"/>
    <x v="84"/>
    <d v="2025-03-28T00:00:00"/>
    <x v="2"/>
    <x v="2"/>
    <x v="4"/>
    <x v="0"/>
    <x v="13"/>
    <x v="1"/>
    <x v="12"/>
    <x v="2"/>
  </r>
  <r>
    <x v="2296"/>
    <x v="3"/>
    <x v="0"/>
    <n v="40.299999999999997"/>
    <n v="40.299999999999997"/>
    <x v="84"/>
    <d v="2025-03-27T00:00:00"/>
    <x v="1"/>
    <x v="1"/>
    <x v="2"/>
    <x v="0"/>
    <x v="54"/>
    <x v="3"/>
    <x v="12"/>
    <x v="1"/>
  </r>
  <r>
    <x v="2297"/>
    <x v="6"/>
    <x v="2"/>
    <n v="47.3"/>
    <n v="141.89999999999998"/>
    <x v="84"/>
    <d v="2025-03-28T00:00:00"/>
    <x v="1"/>
    <x v="4"/>
    <x v="2"/>
    <x v="0"/>
    <x v="2"/>
    <x v="1"/>
    <x v="12"/>
    <x v="1"/>
  </r>
  <r>
    <x v="2298"/>
    <x v="2"/>
    <x v="0"/>
    <n v="82.8"/>
    <n v="82.8"/>
    <x v="84"/>
    <d v="2025-03-27T00:00:00"/>
    <x v="1"/>
    <x v="0"/>
    <x v="0"/>
    <x v="0"/>
    <x v="2"/>
    <x v="3"/>
    <x v="12"/>
    <x v="1"/>
  </r>
  <r>
    <x v="2299"/>
    <x v="8"/>
    <x v="0"/>
    <n v="18.5"/>
    <n v="18.5"/>
    <x v="84"/>
    <d v="2025-04-09T00:00:00"/>
    <x v="2"/>
    <x v="0"/>
    <x v="0"/>
    <x v="0"/>
    <x v="44"/>
    <x v="12"/>
    <x v="12"/>
    <x v="2"/>
  </r>
  <r>
    <x v="2300"/>
    <x v="3"/>
    <x v="1"/>
    <n v="60.4"/>
    <n v="120.8"/>
    <x v="84"/>
    <d v="2025-03-27T00:00:00"/>
    <x v="1"/>
    <x v="2"/>
    <x v="0"/>
    <x v="0"/>
    <x v="22"/>
    <x v="3"/>
    <x v="12"/>
    <x v="1"/>
  </r>
  <r>
    <x v="2301"/>
    <x v="6"/>
    <x v="9"/>
    <n v="80.2"/>
    <n v="401"/>
    <x v="84"/>
    <d v="2025-04-02T00:00:00"/>
    <x v="1"/>
    <x v="1"/>
    <x v="1"/>
    <x v="0"/>
    <x v="50"/>
    <x v="6"/>
    <x v="12"/>
    <x v="1"/>
  </r>
  <r>
    <x v="2302"/>
    <x v="4"/>
    <x v="0"/>
    <n v="41.5"/>
    <n v="41.5"/>
    <x v="84"/>
    <d v="2025-03-28T00:00:00"/>
    <x v="1"/>
    <x v="2"/>
    <x v="0"/>
    <x v="0"/>
    <x v="3"/>
    <x v="1"/>
    <x v="12"/>
    <x v="1"/>
  </r>
  <r>
    <x v="2303"/>
    <x v="2"/>
    <x v="1"/>
    <n v="83.9"/>
    <n v="167.8"/>
    <x v="84"/>
    <d v="2025-03-29T00:00:00"/>
    <x v="2"/>
    <x v="0"/>
    <x v="0"/>
    <x v="0"/>
    <x v="3"/>
    <x v="2"/>
    <x v="12"/>
    <x v="2"/>
  </r>
  <r>
    <x v="2304"/>
    <x v="8"/>
    <x v="1"/>
    <n v="16.7"/>
    <n v="33.4"/>
    <x v="84"/>
    <d v="2025-03-30T00:00:00"/>
    <x v="2"/>
    <x v="0"/>
    <x v="1"/>
    <x v="0"/>
    <x v="3"/>
    <x v="5"/>
    <x v="12"/>
    <x v="2"/>
  </r>
  <r>
    <x v="2305"/>
    <x v="9"/>
    <x v="1"/>
    <n v="72.900000000000006"/>
    <n v="145.80000000000001"/>
    <x v="84"/>
    <d v="2025-03-27T00:00:00"/>
    <x v="1"/>
    <x v="2"/>
    <x v="1"/>
    <x v="0"/>
    <x v="3"/>
    <x v="3"/>
    <x v="12"/>
    <x v="1"/>
  </r>
  <r>
    <x v="2306"/>
    <x v="5"/>
    <x v="1"/>
    <n v="50.2"/>
    <n v="100.4"/>
    <x v="84"/>
    <d v="2025-03-28T00:00:00"/>
    <x v="2"/>
    <x v="1"/>
    <x v="2"/>
    <x v="0"/>
    <x v="3"/>
    <x v="1"/>
    <x v="12"/>
    <x v="2"/>
  </r>
  <r>
    <x v="2307"/>
    <x v="3"/>
    <x v="1"/>
    <n v="34.200000000000003"/>
    <n v="68.400000000000006"/>
    <x v="84"/>
    <d v="2025-04-05T00:00:00"/>
    <x v="0"/>
    <x v="1"/>
    <x v="0"/>
    <x v="0"/>
    <x v="3"/>
    <x v="14"/>
    <x v="12"/>
    <x v="0"/>
  </r>
  <r>
    <x v="2308"/>
    <x v="5"/>
    <x v="1"/>
    <n v="107.9"/>
    <n v="215.8"/>
    <x v="84"/>
    <d v="2025-03-26T00:00:00"/>
    <x v="1"/>
    <x v="1"/>
    <x v="4"/>
    <x v="0"/>
    <x v="3"/>
    <x v="7"/>
    <x v="12"/>
    <x v="1"/>
  </r>
  <r>
    <x v="2309"/>
    <x v="0"/>
    <x v="2"/>
    <n v="17.5"/>
    <n v="52.5"/>
    <x v="84"/>
    <d v="2025-03-28T00:00:00"/>
    <x v="1"/>
    <x v="4"/>
    <x v="0"/>
    <x v="0"/>
    <x v="3"/>
    <x v="1"/>
    <x v="12"/>
    <x v="1"/>
  </r>
  <r>
    <x v="2310"/>
    <x v="13"/>
    <x v="20"/>
    <n v="44.7"/>
    <n v="670.5"/>
    <x v="84"/>
    <d v="2025-03-27T00:00:00"/>
    <x v="1"/>
    <x v="0"/>
    <x v="1"/>
    <x v="0"/>
    <x v="3"/>
    <x v="3"/>
    <x v="12"/>
    <x v="1"/>
  </r>
  <r>
    <x v="2311"/>
    <x v="12"/>
    <x v="13"/>
    <n v="92.7"/>
    <n v="556.20000000000005"/>
    <x v="84"/>
    <d v="2025-03-28T00:00:00"/>
    <x v="2"/>
    <x v="2"/>
    <x v="1"/>
    <x v="0"/>
    <x v="3"/>
    <x v="1"/>
    <x v="12"/>
    <x v="2"/>
  </r>
  <r>
    <x v="2312"/>
    <x v="7"/>
    <x v="2"/>
    <n v="48.8"/>
    <n v="146.39999999999998"/>
    <x v="84"/>
    <d v="2025-03-28T00:00:00"/>
    <x v="2"/>
    <x v="2"/>
    <x v="0"/>
    <x v="0"/>
    <x v="3"/>
    <x v="1"/>
    <x v="12"/>
    <x v="2"/>
  </r>
  <r>
    <x v="2313"/>
    <x v="4"/>
    <x v="27"/>
    <n v="21.3"/>
    <n v="340.8"/>
    <x v="84"/>
    <d v="2025-03-30T00:00:00"/>
    <x v="2"/>
    <x v="3"/>
    <x v="3"/>
    <x v="0"/>
    <x v="3"/>
    <x v="5"/>
    <x v="12"/>
    <x v="2"/>
  </r>
  <r>
    <x v="2314"/>
    <x v="16"/>
    <x v="0"/>
    <n v="52.5"/>
    <n v="52.5"/>
    <x v="84"/>
    <d v="2025-03-27T00:00:00"/>
    <x v="2"/>
    <x v="0"/>
    <x v="0"/>
    <x v="0"/>
    <x v="3"/>
    <x v="3"/>
    <x v="12"/>
    <x v="2"/>
  </r>
  <r>
    <x v="2315"/>
    <x v="1"/>
    <x v="1"/>
    <n v="92.4"/>
    <n v="184.8"/>
    <x v="84"/>
    <d v="2025-04-01T00:00:00"/>
    <x v="2"/>
    <x v="0"/>
    <x v="2"/>
    <x v="0"/>
    <x v="3"/>
    <x v="4"/>
    <x v="12"/>
    <x v="2"/>
  </r>
  <r>
    <x v="2316"/>
    <x v="4"/>
    <x v="5"/>
    <n v="58.3"/>
    <n v="641.29999999999995"/>
    <x v="84"/>
    <d v="2025-03-28T00:00:00"/>
    <x v="1"/>
    <x v="1"/>
    <x v="2"/>
    <x v="0"/>
    <x v="3"/>
    <x v="1"/>
    <x v="12"/>
    <x v="1"/>
  </r>
  <r>
    <x v="2317"/>
    <x v="6"/>
    <x v="44"/>
    <n v="152.6"/>
    <n v="3509.7999999999997"/>
    <x v="85"/>
    <d v="2025-03-29T00:00:00"/>
    <x v="0"/>
    <x v="0"/>
    <x v="0"/>
    <x v="0"/>
    <x v="3"/>
    <x v="1"/>
    <x v="12"/>
    <x v="0"/>
  </r>
  <r>
    <x v="2318"/>
    <x v="8"/>
    <x v="1"/>
    <n v="26"/>
    <n v="52"/>
    <x v="85"/>
    <d v="2025-03-27T00:00:00"/>
    <x v="0"/>
    <x v="0"/>
    <x v="1"/>
    <x v="0"/>
    <x v="3"/>
    <x v="7"/>
    <x v="12"/>
    <x v="0"/>
  </r>
  <r>
    <x v="2319"/>
    <x v="1"/>
    <x v="12"/>
    <n v="33.1"/>
    <n v="132.4"/>
    <x v="85"/>
    <d v="2025-03-27T00:00:00"/>
    <x v="1"/>
    <x v="2"/>
    <x v="4"/>
    <x v="0"/>
    <x v="5"/>
    <x v="7"/>
    <x v="12"/>
    <x v="1"/>
  </r>
  <r>
    <x v="2320"/>
    <x v="18"/>
    <x v="0"/>
    <n v="51.4"/>
    <n v="51.4"/>
    <x v="85"/>
    <d v="2025-03-29T00:00:00"/>
    <x v="2"/>
    <x v="1"/>
    <x v="1"/>
    <x v="0"/>
    <x v="5"/>
    <x v="1"/>
    <x v="12"/>
    <x v="2"/>
  </r>
  <r>
    <x v="2321"/>
    <x v="8"/>
    <x v="1"/>
    <n v="30.2"/>
    <n v="60.4"/>
    <x v="85"/>
    <d v="2025-03-28T00:00:00"/>
    <x v="2"/>
    <x v="2"/>
    <x v="2"/>
    <x v="0"/>
    <x v="6"/>
    <x v="3"/>
    <x v="12"/>
    <x v="2"/>
  </r>
  <r>
    <x v="2322"/>
    <x v="2"/>
    <x v="13"/>
    <n v="97"/>
    <n v="582"/>
    <x v="85"/>
    <d v="2025-03-31T00:00:00"/>
    <x v="2"/>
    <x v="0"/>
    <x v="2"/>
    <x v="0"/>
    <x v="7"/>
    <x v="5"/>
    <x v="12"/>
    <x v="2"/>
  </r>
  <r>
    <x v="2323"/>
    <x v="2"/>
    <x v="0"/>
    <n v="76.900000000000006"/>
    <n v="76.900000000000006"/>
    <x v="85"/>
    <d v="2025-03-28T00:00:00"/>
    <x v="1"/>
    <x v="1"/>
    <x v="2"/>
    <x v="0"/>
    <x v="8"/>
    <x v="3"/>
    <x v="12"/>
    <x v="1"/>
  </r>
  <r>
    <x v="2324"/>
    <x v="7"/>
    <x v="13"/>
    <n v="36.1"/>
    <n v="216.60000000000002"/>
    <x v="85"/>
    <d v="2025-03-31T00:00:00"/>
    <x v="2"/>
    <x v="0"/>
    <x v="0"/>
    <x v="0"/>
    <x v="8"/>
    <x v="5"/>
    <x v="12"/>
    <x v="2"/>
  </r>
  <r>
    <x v="2325"/>
    <x v="1"/>
    <x v="3"/>
    <n v="34.4"/>
    <n v="240.79999999999998"/>
    <x v="85"/>
    <d v="2025-03-27T00:00:00"/>
    <x v="2"/>
    <x v="2"/>
    <x v="1"/>
    <x v="0"/>
    <x v="11"/>
    <x v="7"/>
    <x v="12"/>
    <x v="2"/>
  </r>
  <r>
    <x v="2326"/>
    <x v="1"/>
    <x v="31"/>
    <n v="53.4"/>
    <n v="1495.2"/>
    <x v="85"/>
    <d v="2025-03-29T00:00:00"/>
    <x v="2"/>
    <x v="1"/>
    <x v="0"/>
    <x v="0"/>
    <x v="18"/>
    <x v="1"/>
    <x v="12"/>
    <x v="2"/>
  </r>
  <r>
    <x v="2327"/>
    <x v="2"/>
    <x v="0"/>
    <n v="77.599999999999994"/>
    <n v="77.599999999999994"/>
    <x v="85"/>
    <d v="2025-03-28T00:00:00"/>
    <x v="2"/>
    <x v="0"/>
    <x v="1"/>
    <x v="0"/>
    <x v="19"/>
    <x v="3"/>
    <x v="12"/>
    <x v="2"/>
  </r>
  <r>
    <x v="2328"/>
    <x v="1"/>
    <x v="2"/>
    <n v="71.7"/>
    <n v="215.10000000000002"/>
    <x v="85"/>
    <d v="2025-03-30T00:00:00"/>
    <x v="2"/>
    <x v="1"/>
    <x v="0"/>
    <x v="0"/>
    <x v="19"/>
    <x v="2"/>
    <x v="12"/>
    <x v="2"/>
  </r>
  <r>
    <x v="2329"/>
    <x v="3"/>
    <x v="2"/>
    <n v="80.599999999999994"/>
    <n v="241.79999999999998"/>
    <x v="85"/>
    <d v="2025-03-28T00:00:00"/>
    <x v="1"/>
    <x v="4"/>
    <x v="1"/>
    <x v="0"/>
    <x v="19"/>
    <x v="3"/>
    <x v="12"/>
    <x v="1"/>
  </r>
  <r>
    <x v="2330"/>
    <x v="1"/>
    <x v="20"/>
    <n v="70"/>
    <n v="1050"/>
    <x v="85"/>
    <d v="2025-03-29T00:00:00"/>
    <x v="1"/>
    <x v="0"/>
    <x v="0"/>
    <x v="0"/>
    <x v="20"/>
    <x v="1"/>
    <x v="12"/>
    <x v="1"/>
  </r>
  <r>
    <x v="2331"/>
    <x v="4"/>
    <x v="13"/>
    <n v="27.3"/>
    <n v="163.80000000000001"/>
    <x v="85"/>
    <d v="2025-03-29T00:00:00"/>
    <x v="2"/>
    <x v="1"/>
    <x v="1"/>
    <x v="0"/>
    <x v="2"/>
    <x v="1"/>
    <x v="12"/>
    <x v="2"/>
  </r>
  <r>
    <x v="2332"/>
    <x v="8"/>
    <x v="21"/>
    <n v="37.6"/>
    <n v="526.4"/>
    <x v="85"/>
    <d v="2025-03-29T00:00:00"/>
    <x v="1"/>
    <x v="1"/>
    <x v="0"/>
    <x v="0"/>
    <x v="3"/>
    <x v="1"/>
    <x v="12"/>
    <x v="1"/>
  </r>
  <r>
    <x v="2333"/>
    <x v="5"/>
    <x v="2"/>
    <n v="36.6"/>
    <n v="109.80000000000001"/>
    <x v="85"/>
    <d v="2025-03-29T00:00:00"/>
    <x v="2"/>
    <x v="4"/>
    <x v="0"/>
    <x v="0"/>
    <x v="3"/>
    <x v="1"/>
    <x v="12"/>
    <x v="2"/>
  </r>
  <r>
    <x v="2334"/>
    <x v="13"/>
    <x v="0"/>
    <n v="55.2"/>
    <n v="55.2"/>
    <x v="85"/>
    <d v="2025-03-29T00:00:00"/>
    <x v="1"/>
    <x v="3"/>
    <x v="0"/>
    <x v="0"/>
    <x v="3"/>
    <x v="1"/>
    <x v="12"/>
    <x v="1"/>
  </r>
  <r>
    <x v="2335"/>
    <x v="6"/>
    <x v="9"/>
    <n v="59.9"/>
    <n v="299.5"/>
    <x v="85"/>
    <d v="2025-03-29T00:00:00"/>
    <x v="1"/>
    <x v="0"/>
    <x v="0"/>
    <x v="0"/>
    <x v="3"/>
    <x v="1"/>
    <x v="12"/>
    <x v="1"/>
  </r>
  <r>
    <x v="2336"/>
    <x v="6"/>
    <x v="0"/>
    <n v="44"/>
    <n v="44"/>
    <x v="85"/>
    <d v="2025-03-28T00:00:00"/>
    <x v="2"/>
    <x v="2"/>
    <x v="2"/>
    <x v="0"/>
    <x v="3"/>
    <x v="3"/>
    <x v="12"/>
    <x v="2"/>
  </r>
  <r>
    <x v="2337"/>
    <x v="9"/>
    <x v="1"/>
    <n v="68.7"/>
    <n v="137.4"/>
    <x v="85"/>
    <d v="2025-03-27T00:00:00"/>
    <x v="1"/>
    <x v="0"/>
    <x v="0"/>
    <x v="0"/>
    <x v="3"/>
    <x v="7"/>
    <x v="12"/>
    <x v="1"/>
  </r>
  <r>
    <x v="2338"/>
    <x v="5"/>
    <x v="1"/>
    <n v="61.6"/>
    <n v="123.2"/>
    <x v="85"/>
    <d v="2025-03-31T00:00:00"/>
    <x v="1"/>
    <x v="3"/>
    <x v="1"/>
    <x v="0"/>
    <x v="3"/>
    <x v="5"/>
    <x v="12"/>
    <x v="1"/>
  </r>
  <r>
    <x v="2339"/>
    <x v="7"/>
    <x v="3"/>
    <n v="51.8"/>
    <n v="362.59999999999997"/>
    <x v="85"/>
    <d v="2025-03-28T00:00:00"/>
    <x v="1"/>
    <x v="0"/>
    <x v="0"/>
    <x v="0"/>
    <x v="3"/>
    <x v="3"/>
    <x v="12"/>
    <x v="1"/>
  </r>
  <r>
    <x v="2340"/>
    <x v="8"/>
    <x v="7"/>
    <n v="46.2"/>
    <n v="462"/>
    <x v="85"/>
    <d v="2025-03-29T00:00:00"/>
    <x v="1"/>
    <x v="1"/>
    <x v="2"/>
    <x v="0"/>
    <x v="3"/>
    <x v="1"/>
    <x v="12"/>
    <x v="1"/>
  </r>
  <r>
    <x v="2341"/>
    <x v="0"/>
    <x v="1"/>
    <n v="19.399999999999999"/>
    <n v="38.799999999999997"/>
    <x v="85"/>
    <d v="2025-03-29T00:00:00"/>
    <x v="2"/>
    <x v="1"/>
    <x v="2"/>
    <x v="0"/>
    <x v="6"/>
    <x v="1"/>
    <x v="12"/>
    <x v="2"/>
  </r>
  <r>
    <x v="2342"/>
    <x v="11"/>
    <x v="2"/>
    <n v="52.1"/>
    <n v="156.30000000000001"/>
    <x v="85"/>
    <d v="2025-03-30T00:00:00"/>
    <x v="1"/>
    <x v="3"/>
    <x v="3"/>
    <x v="0"/>
    <x v="6"/>
    <x v="2"/>
    <x v="12"/>
    <x v="1"/>
  </r>
  <r>
    <x v="2343"/>
    <x v="6"/>
    <x v="0"/>
    <n v="74.900000000000006"/>
    <n v="74.900000000000006"/>
    <x v="85"/>
    <d v="2025-03-29T00:00:00"/>
    <x v="3"/>
    <x v="0"/>
    <x v="0"/>
    <x v="0"/>
    <x v="7"/>
    <x v="1"/>
    <x v="12"/>
    <x v="3"/>
  </r>
  <r>
    <x v="2344"/>
    <x v="9"/>
    <x v="3"/>
    <n v="49.6"/>
    <n v="347.2"/>
    <x v="85"/>
    <d v="2025-03-30T00:00:00"/>
    <x v="2"/>
    <x v="4"/>
    <x v="0"/>
    <x v="0"/>
    <x v="8"/>
    <x v="2"/>
    <x v="12"/>
    <x v="2"/>
  </r>
  <r>
    <x v="2345"/>
    <x v="16"/>
    <x v="12"/>
    <n v="82.8"/>
    <n v="331.2"/>
    <x v="86"/>
    <d v="2025-03-31T00:00:00"/>
    <x v="2"/>
    <x v="4"/>
    <x v="0"/>
    <x v="0"/>
    <x v="8"/>
    <x v="2"/>
    <x v="12"/>
    <x v="2"/>
  </r>
  <r>
    <x v="2346"/>
    <x v="2"/>
    <x v="0"/>
    <n v="97.7"/>
    <n v="97.7"/>
    <x v="86"/>
    <d v="2025-03-29T00:00:00"/>
    <x v="2"/>
    <x v="1"/>
    <x v="0"/>
    <x v="0"/>
    <x v="8"/>
    <x v="3"/>
    <x v="12"/>
    <x v="2"/>
  </r>
  <r>
    <x v="2347"/>
    <x v="6"/>
    <x v="9"/>
    <n v="83.6"/>
    <n v="418"/>
    <x v="86"/>
    <d v="2025-03-29T00:00:00"/>
    <x v="2"/>
    <x v="4"/>
    <x v="0"/>
    <x v="0"/>
    <x v="8"/>
    <x v="3"/>
    <x v="12"/>
    <x v="2"/>
  </r>
  <r>
    <x v="2348"/>
    <x v="8"/>
    <x v="9"/>
    <n v="23.5"/>
    <n v="117.5"/>
    <x v="86"/>
    <d v="2025-04-01T00:00:00"/>
    <x v="3"/>
    <x v="0"/>
    <x v="0"/>
    <x v="0"/>
    <x v="8"/>
    <x v="5"/>
    <x v="12"/>
    <x v="3"/>
  </r>
  <r>
    <x v="2349"/>
    <x v="9"/>
    <x v="2"/>
    <n v="44.6"/>
    <n v="133.80000000000001"/>
    <x v="86"/>
    <d v="2025-03-31T00:00:00"/>
    <x v="2"/>
    <x v="4"/>
    <x v="1"/>
    <x v="0"/>
    <x v="26"/>
    <x v="2"/>
    <x v="12"/>
    <x v="2"/>
  </r>
  <r>
    <x v="2350"/>
    <x v="0"/>
    <x v="2"/>
    <n v="20.100000000000001"/>
    <n v="60.300000000000004"/>
    <x v="86"/>
    <d v="2025-03-30T00:00:00"/>
    <x v="2"/>
    <x v="3"/>
    <x v="4"/>
    <x v="0"/>
    <x v="11"/>
    <x v="1"/>
    <x v="12"/>
    <x v="2"/>
  </r>
  <r>
    <x v="2351"/>
    <x v="2"/>
    <x v="9"/>
    <n v="153.6"/>
    <n v="768"/>
    <x v="86"/>
    <d v="2025-03-29T00:00:00"/>
    <x v="2"/>
    <x v="1"/>
    <x v="2"/>
    <x v="0"/>
    <x v="53"/>
    <x v="3"/>
    <x v="12"/>
    <x v="2"/>
  </r>
  <r>
    <x v="2352"/>
    <x v="1"/>
    <x v="1"/>
    <n v="71.8"/>
    <n v="143.6"/>
    <x v="86"/>
    <d v="2025-04-01T00:00:00"/>
    <x v="2"/>
    <x v="1"/>
    <x v="0"/>
    <x v="0"/>
    <x v="1"/>
    <x v="5"/>
    <x v="12"/>
    <x v="2"/>
  </r>
  <r>
    <x v="2353"/>
    <x v="10"/>
    <x v="0"/>
    <n v="64.7"/>
    <n v="64.7"/>
    <x v="86"/>
    <d v="2025-03-30T00:00:00"/>
    <x v="0"/>
    <x v="0"/>
    <x v="1"/>
    <x v="0"/>
    <x v="1"/>
    <x v="1"/>
    <x v="12"/>
    <x v="0"/>
  </r>
  <r>
    <x v="2354"/>
    <x v="9"/>
    <x v="8"/>
    <n v="60.4"/>
    <n v="483.2"/>
    <x v="86"/>
    <d v="2025-03-30T00:00:00"/>
    <x v="2"/>
    <x v="3"/>
    <x v="2"/>
    <x v="0"/>
    <x v="2"/>
    <x v="1"/>
    <x v="12"/>
    <x v="2"/>
  </r>
  <r>
    <x v="2355"/>
    <x v="6"/>
    <x v="12"/>
    <n v="86"/>
    <n v="344"/>
    <x v="86"/>
    <d v="2025-03-31T00:00:00"/>
    <x v="2"/>
    <x v="2"/>
    <x v="2"/>
    <x v="0"/>
    <x v="22"/>
    <x v="2"/>
    <x v="12"/>
    <x v="2"/>
  </r>
  <r>
    <x v="2356"/>
    <x v="12"/>
    <x v="1"/>
    <n v="42.1"/>
    <n v="84.2"/>
    <x v="86"/>
    <d v="2025-03-29T00:00:00"/>
    <x v="2"/>
    <x v="4"/>
    <x v="1"/>
    <x v="0"/>
    <x v="34"/>
    <x v="3"/>
    <x v="12"/>
    <x v="2"/>
  </r>
  <r>
    <x v="2357"/>
    <x v="16"/>
    <x v="11"/>
    <n v="51.1"/>
    <n v="459.90000000000003"/>
    <x v="86"/>
    <d v="2025-03-29T00:00:00"/>
    <x v="1"/>
    <x v="2"/>
    <x v="1"/>
    <x v="0"/>
    <x v="3"/>
    <x v="3"/>
    <x v="12"/>
    <x v="1"/>
  </r>
  <r>
    <x v="2358"/>
    <x v="9"/>
    <x v="12"/>
    <n v="73.8"/>
    <n v="295.2"/>
    <x v="86"/>
    <d v="2025-03-29T00:00:00"/>
    <x v="1"/>
    <x v="4"/>
    <x v="0"/>
    <x v="0"/>
    <x v="3"/>
    <x v="3"/>
    <x v="12"/>
    <x v="1"/>
  </r>
  <r>
    <x v="2359"/>
    <x v="8"/>
    <x v="9"/>
    <n v="27"/>
    <n v="135"/>
    <x v="86"/>
    <d v="2025-03-31T00:00:00"/>
    <x v="2"/>
    <x v="2"/>
    <x v="2"/>
    <x v="0"/>
    <x v="3"/>
    <x v="2"/>
    <x v="12"/>
    <x v="2"/>
  </r>
  <r>
    <x v="2360"/>
    <x v="8"/>
    <x v="13"/>
    <n v="60.1"/>
    <n v="360.6"/>
    <x v="86"/>
    <d v="2025-03-29T00:00:00"/>
    <x v="1"/>
    <x v="3"/>
    <x v="0"/>
    <x v="0"/>
    <x v="3"/>
    <x v="3"/>
    <x v="12"/>
    <x v="1"/>
  </r>
  <r>
    <x v="2361"/>
    <x v="2"/>
    <x v="3"/>
    <n v="94.1"/>
    <n v="658.69999999999993"/>
    <x v="86"/>
    <d v="2025-03-30T00:00:00"/>
    <x v="2"/>
    <x v="4"/>
    <x v="1"/>
    <x v="0"/>
    <x v="3"/>
    <x v="1"/>
    <x v="12"/>
    <x v="2"/>
  </r>
  <r>
    <x v="2362"/>
    <x v="2"/>
    <x v="1"/>
    <n v="124.1"/>
    <n v="248.2"/>
    <x v="86"/>
    <d v="2025-03-28T00:00:00"/>
    <x v="2"/>
    <x v="2"/>
    <x v="3"/>
    <x v="0"/>
    <x v="43"/>
    <x v="7"/>
    <x v="12"/>
    <x v="2"/>
  </r>
  <r>
    <x v="2363"/>
    <x v="8"/>
    <x v="12"/>
    <n v="16.899999999999999"/>
    <n v="67.599999999999994"/>
    <x v="86"/>
    <d v="2025-03-31T00:00:00"/>
    <x v="1"/>
    <x v="3"/>
    <x v="0"/>
    <x v="0"/>
    <x v="6"/>
    <x v="2"/>
    <x v="12"/>
    <x v="1"/>
  </r>
  <r>
    <x v="2364"/>
    <x v="1"/>
    <x v="0"/>
    <n v="36.9"/>
    <n v="36.9"/>
    <x v="86"/>
    <d v="2025-03-29T00:00:00"/>
    <x v="1"/>
    <x v="0"/>
    <x v="0"/>
    <x v="0"/>
    <x v="6"/>
    <x v="3"/>
    <x v="12"/>
    <x v="1"/>
  </r>
  <r>
    <x v="2365"/>
    <x v="9"/>
    <x v="1"/>
    <n v="22.6"/>
    <n v="45.2"/>
    <x v="86"/>
    <d v="2025-04-10T00:00:00"/>
    <x v="2"/>
    <x v="2"/>
    <x v="1"/>
    <x v="0"/>
    <x v="8"/>
    <x v="10"/>
    <x v="12"/>
    <x v="2"/>
  </r>
  <r>
    <x v="2366"/>
    <x v="7"/>
    <x v="12"/>
    <n v="35"/>
    <n v="140"/>
    <x v="86"/>
    <d v="2025-04-02T00:00:00"/>
    <x v="1"/>
    <x v="3"/>
    <x v="1"/>
    <x v="0"/>
    <x v="8"/>
    <x v="0"/>
    <x v="12"/>
    <x v="1"/>
  </r>
  <r>
    <x v="2367"/>
    <x v="9"/>
    <x v="13"/>
    <n v="63.6"/>
    <n v="381.6"/>
    <x v="86"/>
    <d v="2025-04-04T00:00:00"/>
    <x v="0"/>
    <x v="1"/>
    <x v="2"/>
    <x v="0"/>
    <x v="8"/>
    <x v="6"/>
    <x v="12"/>
    <x v="0"/>
  </r>
  <r>
    <x v="2368"/>
    <x v="15"/>
    <x v="12"/>
    <n v="78.599999999999994"/>
    <n v="314.39999999999998"/>
    <x v="86"/>
    <d v="2025-03-29T00:00:00"/>
    <x v="1"/>
    <x v="4"/>
    <x v="1"/>
    <x v="0"/>
    <x v="8"/>
    <x v="3"/>
    <x v="12"/>
    <x v="1"/>
  </r>
  <r>
    <x v="2369"/>
    <x v="3"/>
    <x v="1"/>
    <n v="38.5"/>
    <n v="77"/>
    <x v="86"/>
    <d v="2025-03-29T00:00:00"/>
    <x v="1"/>
    <x v="0"/>
    <x v="2"/>
    <x v="0"/>
    <x v="8"/>
    <x v="3"/>
    <x v="12"/>
    <x v="1"/>
  </r>
  <r>
    <x v="2370"/>
    <x v="8"/>
    <x v="5"/>
    <n v="71.5"/>
    <n v="786.5"/>
    <x v="86"/>
    <d v="2025-03-29T00:00:00"/>
    <x v="2"/>
    <x v="1"/>
    <x v="4"/>
    <x v="0"/>
    <x v="8"/>
    <x v="3"/>
    <x v="12"/>
    <x v="2"/>
  </r>
  <r>
    <x v="2371"/>
    <x v="6"/>
    <x v="12"/>
    <n v="121.4"/>
    <n v="485.6"/>
    <x v="86"/>
    <d v="2025-04-01T00:00:00"/>
    <x v="1"/>
    <x v="1"/>
    <x v="2"/>
    <x v="0"/>
    <x v="17"/>
    <x v="5"/>
    <x v="12"/>
    <x v="1"/>
  </r>
  <r>
    <x v="2372"/>
    <x v="11"/>
    <x v="0"/>
    <n v="40.200000000000003"/>
    <n v="40.200000000000003"/>
    <x v="86"/>
    <d v="2025-03-31T00:00:00"/>
    <x v="2"/>
    <x v="0"/>
    <x v="2"/>
    <x v="0"/>
    <x v="11"/>
    <x v="2"/>
    <x v="12"/>
    <x v="2"/>
  </r>
  <r>
    <x v="2373"/>
    <x v="5"/>
    <x v="9"/>
    <n v="31.9"/>
    <n v="159.5"/>
    <x v="86"/>
    <d v="2025-03-30T00:00:00"/>
    <x v="2"/>
    <x v="2"/>
    <x v="2"/>
    <x v="0"/>
    <x v="28"/>
    <x v="1"/>
    <x v="12"/>
    <x v="2"/>
  </r>
  <r>
    <x v="2374"/>
    <x v="14"/>
    <x v="9"/>
    <n v="15.8"/>
    <n v="79"/>
    <x v="87"/>
    <d v="2025-03-30T00:00:00"/>
    <x v="1"/>
    <x v="3"/>
    <x v="2"/>
    <x v="0"/>
    <x v="21"/>
    <x v="3"/>
    <x v="12"/>
    <x v="1"/>
  </r>
  <r>
    <x v="2375"/>
    <x v="10"/>
    <x v="1"/>
    <n v="25.1"/>
    <n v="50.2"/>
    <x v="87"/>
    <d v="2025-03-31T00:00:00"/>
    <x v="0"/>
    <x v="1"/>
    <x v="0"/>
    <x v="0"/>
    <x v="21"/>
    <x v="1"/>
    <x v="12"/>
    <x v="0"/>
  </r>
  <r>
    <x v="2376"/>
    <x v="1"/>
    <x v="44"/>
    <n v="38.1"/>
    <n v="876.30000000000007"/>
    <x v="87"/>
    <d v="2025-03-30T00:00:00"/>
    <x v="2"/>
    <x v="4"/>
    <x v="0"/>
    <x v="0"/>
    <x v="1"/>
    <x v="3"/>
    <x v="12"/>
    <x v="2"/>
  </r>
  <r>
    <x v="2377"/>
    <x v="3"/>
    <x v="1"/>
    <n v="42.2"/>
    <n v="84.4"/>
    <x v="87"/>
    <d v="2025-03-31T00:00:00"/>
    <x v="2"/>
    <x v="0"/>
    <x v="2"/>
    <x v="0"/>
    <x v="1"/>
    <x v="1"/>
    <x v="12"/>
    <x v="2"/>
  </r>
  <r>
    <x v="2378"/>
    <x v="0"/>
    <x v="7"/>
    <n v="12.3"/>
    <n v="123"/>
    <x v="87"/>
    <d v="2025-03-30T00:00:00"/>
    <x v="2"/>
    <x v="4"/>
    <x v="0"/>
    <x v="0"/>
    <x v="2"/>
    <x v="3"/>
    <x v="12"/>
    <x v="2"/>
  </r>
  <r>
    <x v="2379"/>
    <x v="7"/>
    <x v="0"/>
    <n v="30.2"/>
    <n v="30.2"/>
    <x v="87"/>
    <d v="2025-03-31T00:00:00"/>
    <x v="2"/>
    <x v="1"/>
    <x v="2"/>
    <x v="0"/>
    <x v="34"/>
    <x v="1"/>
    <x v="12"/>
    <x v="2"/>
  </r>
  <r>
    <x v="2380"/>
    <x v="5"/>
    <x v="2"/>
    <n v="25.3"/>
    <n v="75.900000000000006"/>
    <x v="87"/>
    <d v="2025-04-01T00:00:00"/>
    <x v="2"/>
    <x v="2"/>
    <x v="0"/>
    <x v="0"/>
    <x v="3"/>
    <x v="2"/>
    <x v="12"/>
    <x v="2"/>
  </r>
  <r>
    <x v="2381"/>
    <x v="8"/>
    <x v="9"/>
    <n v="29.7"/>
    <n v="148.5"/>
    <x v="87"/>
    <d v="2025-03-31T00:00:00"/>
    <x v="1"/>
    <x v="3"/>
    <x v="0"/>
    <x v="0"/>
    <x v="3"/>
    <x v="1"/>
    <x v="12"/>
    <x v="1"/>
  </r>
  <r>
    <x v="2382"/>
    <x v="9"/>
    <x v="8"/>
    <n v="32.9"/>
    <n v="263.2"/>
    <x v="87"/>
    <d v="2025-03-30T00:00:00"/>
    <x v="0"/>
    <x v="3"/>
    <x v="2"/>
    <x v="0"/>
    <x v="3"/>
    <x v="3"/>
    <x v="12"/>
    <x v="0"/>
  </r>
  <r>
    <x v="2383"/>
    <x v="10"/>
    <x v="1"/>
    <n v="43.6"/>
    <n v="87.2"/>
    <x v="87"/>
    <d v="2025-03-30T00:00:00"/>
    <x v="1"/>
    <x v="1"/>
    <x v="2"/>
    <x v="0"/>
    <x v="3"/>
    <x v="3"/>
    <x v="12"/>
    <x v="1"/>
  </r>
  <r>
    <x v="2384"/>
    <x v="15"/>
    <x v="12"/>
    <n v="78.400000000000006"/>
    <n v="313.60000000000002"/>
    <x v="87"/>
    <d v="2025-03-30T00:00:00"/>
    <x v="1"/>
    <x v="2"/>
    <x v="0"/>
    <x v="0"/>
    <x v="3"/>
    <x v="3"/>
    <x v="12"/>
    <x v="1"/>
  </r>
  <r>
    <x v="2385"/>
    <x v="6"/>
    <x v="1"/>
    <n v="56.5"/>
    <n v="113"/>
    <x v="87"/>
    <d v="2025-04-02T00:00:00"/>
    <x v="1"/>
    <x v="1"/>
    <x v="1"/>
    <x v="0"/>
    <x v="3"/>
    <x v="5"/>
    <x v="12"/>
    <x v="1"/>
  </r>
  <r>
    <x v="2386"/>
    <x v="16"/>
    <x v="0"/>
    <n v="36.700000000000003"/>
    <n v="36.700000000000003"/>
    <x v="87"/>
    <d v="2025-03-30T00:00:00"/>
    <x v="2"/>
    <x v="0"/>
    <x v="2"/>
    <x v="0"/>
    <x v="3"/>
    <x v="3"/>
    <x v="12"/>
    <x v="2"/>
  </r>
  <r>
    <x v="2387"/>
    <x v="2"/>
    <x v="12"/>
    <n v="103.6"/>
    <n v="414.4"/>
    <x v="87"/>
    <d v="2025-04-09T00:00:00"/>
    <x v="1"/>
    <x v="4"/>
    <x v="2"/>
    <x v="0"/>
    <x v="3"/>
    <x v="11"/>
    <x v="12"/>
    <x v="1"/>
  </r>
  <r>
    <x v="2388"/>
    <x v="8"/>
    <x v="13"/>
    <n v="16.2"/>
    <n v="97.199999999999989"/>
    <x v="87"/>
    <d v="2025-04-02T00:00:00"/>
    <x v="1"/>
    <x v="1"/>
    <x v="2"/>
    <x v="0"/>
    <x v="6"/>
    <x v="5"/>
    <x v="12"/>
    <x v="1"/>
  </r>
  <r>
    <x v="2389"/>
    <x v="8"/>
    <x v="1"/>
    <n v="20.2"/>
    <n v="40.4"/>
    <x v="87"/>
    <d v="2025-03-30T00:00:00"/>
    <x v="2"/>
    <x v="0"/>
    <x v="0"/>
    <x v="0"/>
    <x v="6"/>
    <x v="3"/>
    <x v="12"/>
    <x v="2"/>
  </r>
  <r>
    <x v="2390"/>
    <x v="11"/>
    <x v="1"/>
    <n v="26.9"/>
    <n v="53.8"/>
    <x v="87"/>
    <d v="2025-03-31T00:00:00"/>
    <x v="2"/>
    <x v="2"/>
    <x v="0"/>
    <x v="0"/>
    <x v="6"/>
    <x v="1"/>
    <x v="12"/>
    <x v="2"/>
  </r>
  <r>
    <x v="2391"/>
    <x v="1"/>
    <x v="1"/>
    <n v="82.4"/>
    <n v="164.8"/>
    <x v="87"/>
    <d v="2025-04-01T00:00:00"/>
    <x v="0"/>
    <x v="0"/>
    <x v="0"/>
    <x v="0"/>
    <x v="7"/>
    <x v="2"/>
    <x v="12"/>
    <x v="0"/>
  </r>
  <r>
    <x v="2392"/>
    <x v="2"/>
    <x v="1"/>
    <n v="117.8"/>
    <n v="235.6"/>
    <x v="87"/>
    <d v="2025-03-31T00:00:00"/>
    <x v="1"/>
    <x v="1"/>
    <x v="2"/>
    <x v="0"/>
    <x v="8"/>
    <x v="1"/>
    <x v="12"/>
    <x v="1"/>
  </r>
  <r>
    <x v="2393"/>
    <x v="11"/>
    <x v="12"/>
    <n v="36.700000000000003"/>
    <n v="146.80000000000001"/>
    <x v="87"/>
    <d v="2025-03-30T00:00:00"/>
    <x v="1"/>
    <x v="1"/>
    <x v="0"/>
    <x v="0"/>
    <x v="8"/>
    <x v="3"/>
    <x v="12"/>
    <x v="1"/>
  </r>
  <r>
    <x v="2394"/>
    <x v="17"/>
    <x v="2"/>
    <n v="46.8"/>
    <n v="140.39999999999998"/>
    <x v="87"/>
    <d v="2025-03-30T00:00:00"/>
    <x v="1"/>
    <x v="4"/>
    <x v="2"/>
    <x v="0"/>
    <x v="10"/>
    <x v="3"/>
    <x v="12"/>
    <x v="1"/>
  </r>
  <r>
    <x v="2395"/>
    <x v="3"/>
    <x v="0"/>
    <n v="61.4"/>
    <n v="61.4"/>
    <x v="87"/>
    <d v="2025-03-30T00:00:00"/>
    <x v="1"/>
    <x v="1"/>
    <x v="0"/>
    <x v="0"/>
    <x v="10"/>
    <x v="3"/>
    <x v="12"/>
    <x v="1"/>
  </r>
  <r>
    <x v="2396"/>
    <x v="15"/>
    <x v="1"/>
    <n v="22.9"/>
    <n v="45.8"/>
    <x v="87"/>
    <d v="2025-03-30T00:00:00"/>
    <x v="1"/>
    <x v="0"/>
    <x v="0"/>
    <x v="0"/>
    <x v="11"/>
    <x v="3"/>
    <x v="12"/>
    <x v="1"/>
  </r>
  <r>
    <x v="2397"/>
    <x v="10"/>
    <x v="1"/>
    <n v="22.1"/>
    <n v="44.2"/>
    <x v="87"/>
    <d v="2025-03-30T00:00:00"/>
    <x v="2"/>
    <x v="4"/>
    <x v="0"/>
    <x v="0"/>
    <x v="11"/>
    <x v="3"/>
    <x v="12"/>
    <x v="2"/>
  </r>
  <r>
    <x v="2398"/>
    <x v="12"/>
    <x v="1"/>
    <n v="31"/>
    <n v="62"/>
    <x v="87"/>
    <d v="2025-03-31T00:00:00"/>
    <x v="2"/>
    <x v="2"/>
    <x v="0"/>
    <x v="0"/>
    <x v="18"/>
    <x v="1"/>
    <x v="12"/>
    <x v="2"/>
  </r>
  <r>
    <x v="2399"/>
    <x v="18"/>
    <x v="1"/>
    <n v="84.2"/>
    <n v="168.4"/>
    <x v="87"/>
    <d v="2025-03-31T00:00:00"/>
    <x v="1"/>
    <x v="2"/>
    <x v="2"/>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BDAA5B-56D8-4D69-B522-EAFD3CF1DF2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9:C23" firstHeaderRow="0" firstDataRow="1" firstDataCol="1"/>
  <pivotFields count="18">
    <pivotField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items count="16">
        <item x="7"/>
        <item x="3"/>
        <item x="1"/>
        <item x="2"/>
        <item x="5"/>
        <item x="0"/>
        <item x="4"/>
        <item x="6"/>
        <item x="9"/>
        <item x="8"/>
        <item x="14"/>
        <item x="11"/>
        <item x="13"/>
        <item x="10"/>
        <item x="12"/>
        <item t="default"/>
      </items>
    </pivotField>
    <pivotField axis="axisRow" showAll="0">
      <items count="14">
        <item x="0"/>
        <item x="1"/>
        <item x="2"/>
        <item x="3"/>
        <item x="4"/>
        <item x="5"/>
        <item x="6"/>
        <item x="7"/>
        <item x="8"/>
        <item x="9"/>
        <item x="10"/>
        <item x="11"/>
        <item x="12"/>
        <item t="default"/>
      </items>
    </pivotField>
    <pivotField showAll="0"/>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Amount" fld="4" baseField="0" baseItem="0" numFmtId="164"/>
    <dataField name="Sum of Quantity" fld="2" baseField="0" baseItem="0"/>
  </dataField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07F372-6DA1-4C0A-B9BC-1BE039EE671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8">
    <pivotField dataField="1"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dataField="1" showAll="0"/>
    <pivotField showAll="0"/>
    <pivotField showAll="0"/>
    <pivotField dataField="1" showAll="0"/>
    <pivotField showAll="0"/>
    <pivotField showAll="0"/>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Amount" fld="4" baseField="0" baseItem="0"/>
    <dataField name="Sum of Quantity" fld="2" baseField="0" baseItem="0"/>
    <dataField name="Average of Rating C" fld="9" subtotal="average" baseField="0" baseItem="0"/>
    <dataField name="Average of Days to Deliver"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A6E009-974E-4718-B385-53B9AAEA1134}"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62" firstHeaderRow="0" firstDataRow="1" firstDataCol="1"/>
  <pivotFields count="18">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items count="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s>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
        <item x="0"/>
        <item x="3"/>
        <item x="4"/>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7">
        <item x="0"/>
        <item x="1"/>
        <item x="2"/>
        <item x="3"/>
        <item x="4"/>
        <item x="5"/>
        <item x="6"/>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s>
  <rowFields count="1">
    <field x="11"/>
  </rowFields>
  <rowItems count="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t="grand">
      <x/>
    </i>
  </rowItems>
  <colFields count="1">
    <field x="-2"/>
  </colFields>
  <colItems count="2">
    <i>
      <x/>
    </i>
    <i i="1">
      <x v="1"/>
    </i>
  </colItems>
  <dataFields count="2">
    <dataField name="Sum of Quantity" fld="2" baseField="0" baseItem="0"/>
    <dataField name="Sum of Am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6525C3E-6CC2-4A68-A8B2-039568885946}"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0:G25" firstHeaderRow="1" firstDataRow="2"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axis="axisCol" showAll="0">
      <items count="6">
        <item x="3"/>
        <item x="4"/>
        <item x="1"/>
        <item x="0"/>
        <item x="2"/>
        <item t="default"/>
      </items>
    </pivotField>
    <pivotField showAll="0"/>
    <pivotField showAll="0"/>
    <pivotField showAll="0"/>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4">
    <i>
      <x v="1"/>
    </i>
    <i>
      <x v="2"/>
    </i>
    <i>
      <x v="3"/>
    </i>
    <i t="grand">
      <x/>
    </i>
  </rowItems>
  <colFields count="1">
    <field x="9"/>
  </colFields>
  <colItems count="6">
    <i>
      <x/>
    </i>
    <i>
      <x v="1"/>
    </i>
    <i>
      <x v="2"/>
    </i>
    <i>
      <x v="3"/>
    </i>
    <i>
      <x v="4"/>
    </i>
    <i t="grand">
      <x/>
    </i>
  </colItems>
  <dataFields count="1">
    <dataField name="Count of TX ID" fld="0" subtotal="count" baseField="0" baseItem="0"/>
  </dataFields>
  <chartFormats count="5">
    <chartFormat chart="5" format="13" series="1">
      <pivotArea type="data" outline="0" fieldPosition="0">
        <references count="2">
          <reference field="4294967294" count="1" selected="0">
            <x v="0"/>
          </reference>
          <reference field="9" count="1" selected="0">
            <x v="0"/>
          </reference>
        </references>
      </pivotArea>
    </chartFormat>
    <chartFormat chart="5" format="14" series="1">
      <pivotArea type="data" outline="0" fieldPosition="0">
        <references count="2">
          <reference field="4294967294" count="1" selected="0">
            <x v="0"/>
          </reference>
          <reference field="9" count="1" selected="0">
            <x v="1"/>
          </reference>
        </references>
      </pivotArea>
    </chartFormat>
    <chartFormat chart="5" format="15" series="1">
      <pivotArea type="data" outline="0" fieldPosition="0">
        <references count="2">
          <reference field="4294967294" count="1" selected="0">
            <x v="0"/>
          </reference>
          <reference field="9" count="1" selected="0">
            <x v="2"/>
          </reference>
        </references>
      </pivotArea>
    </chartFormat>
    <chartFormat chart="5" format="16" series="1">
      <pivotArea type="data" outline="0" fieldPosition="0">
        <references count="2">
          <reference field="4294967294" count="1" selected="0">
            <x v="0"/>
          </reference>
          <reference field="9" count="1" selected="0">
            <x v="3"/>
          </reference>
        </references>
      </pivotArea>
    </chartFormat>
    <chartFormat chart="5" format="17"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B54884-3620-4432-ABB3-DD7BE581E10B}"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9"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axis="axisRow" showAll="0">
      <items count="16">
        <item x="7"/>
        <item x="3"/>
        <item x="1"/>
        <item x="2"/>
        <item x="5"/>
        <item x="0"/>
        <item x="4"/>
        <item x="6"/>
        <item x="9"/>
        <item x="8"/>
        <item x="14"/>
        <item x="11"/>
        <item x="13"/>
        <item x="10"/>
        <item x="12"/>
        <item t="default"/>
      </items>
    </pivotField>
    <pivotField showAll="0"/>
    <pivotField showAll="0"/>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16">
    <i>
      <x/>
    </i>
    <i>
      <x v="1"/>
    </i>
    <i>
      <x v="2"/>
    </i>
    <i>
      <x v="3"/>
    </i>
    <i>
      <x v="4"/>
    </i>
    <i>
      <x v="5"/>
    </i>
    <i>
      <x v="6"/>
    </i>
    <i>
      <x v="7"/>
    </i>
    <i>
      <x v="8"/>
    </i>
    <i>
      <x v="9"/>
    </i>
    <i>
      <x v="10"/>
    </i>
    <i>
      <x v="11"/>
    </i>
    <i>
      <x v="12"/>
    </i>
    <i>
      <x v="13"/>
    </i>
    <i>
      <x v="14"/>
    </i>
    <i t="grand">
      <x/>
    </i>
  </rowItems>
  <colItems count="1">
    <i/>
  </colItems>
  <dataFields count="1">
    <dataField name="Count of TX ID" fld="0"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998CCE5-6293-464D-B6AF-35F73A4E2DE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0" firstHeaderRow="1" firstDataRow="2" firstDataCol="1"/>
  <pivotFields count="18">
    <pivotField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axis="axisRow"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Amount" fld="4"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81C2EC6-CF92-453D-B578-2F3AA987EFE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K3:L8" firstHeaderRow="1" firstDataRow="1" firstDataCol="1"/>
  <pivotFields count="18">
    <pivotField showAll="0"/>
    <pivotField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axis="axisRow" showAll="0">
      <items count="5">
        <item x="0"/>
        <item x="2"/>
        <item x="1"/>
        <item x="3"/>
        <item t="default"/>
      </items>
    </pivotField>
    <pivotField showAll="0">
      <items count="6">
        <item x="0"/>
        <item x="3"/>
        <item x="4"/>
        <item x="2"/>
        <item x="1"/>
        <item t="default"/>
      </items>
    </pivotField>
    <pivotField showAll="0"/>
    <pivotField showAll="0"/>
    <pivotField showAll="0"/>
    <pivotField showAll="0"/>
    <pivotField showAll="0"/>
    <pivotField showAll="0"/>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5">
    <i>
      <x/>
    </i>
    <i>
      <x v="1"/>
    </i>
    <i>
      <x v="2"/>
    </i>
    <i>
      <x v="3"/>
    </i>
    <i t="grand">
      <x/>
    </i>
  </rowItems>
  <colItems count="1">
    <i/>
  </colItems>
  <dataFields count="1">
    <dataField name="Sum of Quantity" fld="2" baseField="0" baseItem="0"/>
  </dataFields>
  <chartFormats count="13">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2" format="8" series="1">
      <pivotArea type="data" outline="0" fieldPosition="0">
        <references count="2">
          <reference field="4294967294" count="1" selected="0">
            <x v="0"/>
          </reference>
          <reference field="7" count="1" selected="0">
            <x v="0"/>
          </reference>
        </references>
      </pivotArea>
    </chartFormat>
    <chartFormat chart="2" format="9" series="1">
      <pivotArea type="data" outline="0" fieldPosition="0">
        <references count="2">
          <reference field="4294967294" count="1" selected="0">
            <x v="0"/>
          </reference>
          <reference field="7" count="1" selected="0">
            <x v="1"/>
          </reference>
        </references>
      </pivotArea>
    </chartFormat>
    <chartFormat chart="2" format="10" series="1">
      <pivotArea type="data" outline="0" fieldPosition="0">
        <references count="2">
          <reference field="4294967294" count="1" selected="0">
            <x v="0"/>
          </reference>
          <reference field="7" count="1" selected="0">
            <x v="2"/>
          </reference>
        </references>
      </pivotArea>
    </chartFormat>
    <chartFormat chart="2" format="11" series="1">
      <pivotArea type="data" outline="0" fieldPosition="0">
        <references count="2">
          <reference field="4294967294" count="1" selected="0">
            <x v="0"/>
          </reference>
          <reference field="7" count="1" selected="0">
            <x v="3"/>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7" count="1" selected="0">
            <x v="0"/>
          </reference>
        </references>
      </pivotArea>
    </chartFormat>
    <chartFormat chart="10" format="8">
      <pivotArea type="data" outline="0" fieldPosition="0">
        <references count="2">
          <reference field="4294967294" count="1" selected="0">
            <x v="0"/>
          </reference>
          <reference field="7" count="1" selected="0">
            <x v="1"/>
          </reference>
        </references>
      </pivotArea>
    </chartFormat>
    <chartFormat chart="10" format="9">
      <pivotArea type="data" outline="0" fieldPosition="0">
        <references count="2">
          <reference field="4294967294" count="1" selected="0">
            <x v="0"/>
          </reference>
          <reference field="7" count="1" selected="0">
            <x v="2"/>
          </reference>
        </references>
      </pivotArea>
    </chartFormat>
    <chartFormat chart="10" format="10">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398DC71-355B-472B-84AE-4C725CB146C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F25" firstHeaderRow="1" firstDataRow="2" firstDataCol="1"/>
  <pivotFields count="18">
    <pivotField showAll="0"/>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axis="axisCol" showAll="0">
      <items count="5">
        <item x="0"/>
        <item x="2"/>
        <item x="1"/>
        <item x="3"/>
        <item t="default"/>
      </items>
    </pivotField>
    <pivotField showAll="0">
      <items count="6">
        <item x="0"/>
        <item x="3"/>
        <item x="4"/>
        <item x="2"/>
        <item x="1"/>
        <item t="default"/>
      </items>
    </pivotField>
    <pivotField showAll="0"/>
    <pivotField showAll="0"/>
    <pivotField showAll="0"/>
    <pivotField showAll="0"/>
    <pivotField showAll="0"/>
    <pivotField showAll="0"/>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21">
    <i>
      <x v="18"/>
    </i>
    <i>
      <x v="6"/>
    </i>
    <i>
      <x v="13"/>
    </i>
    <i>
      <x v="16"/>
    </i>
    <i>
      <x v="1"/>
    </i>
    <i>
      <x v="12"/>
    </i>
    <i>
      <x v="14"/>
    </i>
    <i>
      <x v="4"/>
    </i>
    <i>
      <x v="5"/>
    </i>
    <i>
      <x v="11"/>
    </i>
    <i>
      <x v="3"/>
    </i>
    <i>
      <x v="8"/>
    </i>
    <i>
      <x v="2"/>
    </i>
    <i>
      <x v="19"/>
    </i>
    <i>
      <x v="10"/>
    </i>
    <i>
      <x v="9"/>
    </i>
    <i>
      <x v="15"/>
    </i>
    <i>
      <x v="17"/>
    </i>
    <i>
      <x/>
    </i>
    <i>
      <x v="7"/>
    </i>
    <i t="grand">
      <x/>
    </i>
  </rowItems>
  <colFields count="1">
    <field x="7"/>
  </colFields>
  <colItems count="5">
    <i>
      <x/>
    </i>
    <i>
      <x v="1"/>
    </i>
    <i>
      <x v="2"/>
    </i>
    <i>
      <x v="3"/>
    </i>
    <i t="grand">
      <x/>
    </i>
  </colItems>
  <dataFields count="1">
    <dataField name="Sum of Quantity" fld="2" baseField="0" baseItem="0"/>
  </dataFields>
  <chartFormats count="4">
    <chartFormat chart="2" format="8" series="1">
      <pivotArea type="data" outline="0" fieldPosition="0">
        <references count="2">
          <reference field="4294967294" count="1" selected="0">
            <x v="0"/>
          </reference>
          <reference field="7" count="1" selected="0">
            <x v="0"/>
          </reference>
        </references>
      </pivotArea>
    </chartFormat>
    <chartFormat chart="2" format="9" series="1">
      <pivotArea type="data" outline="0" fieldPosition="0">
        <references count="2">
          <reference field="4294967294" count="1" selected="0">
            <x v="0"/>
          </reference>
          <reference field="7" count="1" selected="0">
            <x v="1"/>
          </reference>
        </references>
      </pivotArea>
    </chartFormat>
    <chartFormat chart="2" format="10" series="1">
      <pivotArea type="data" outline="0" fieldPosition="0">
        <references count="2">
          <reference field="4294967294" count="1" selected="0">
            <x v="0"/>
          </reference>
          <reference field="7" count="1" selected="0">
            <x v="2"/>
          </reference>
        </references>
      </pivotArea>
    </chartFormat>
    <chartFormat chart="2" format="11" series="1">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7AD1D60-B4EA-4556-891C-5E1A8A8B324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1"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showAll="0"/>
    <pivotField showAll="0"/>
    <pivotField axis="axisRow" showAll="0">
      <items count="8">
        <item x="0"/>
        <item x="1"/>
        <item x="2"/>
        <item x="4"/>
        <item x="3"/>
        <item n="6 TO 10" x="5"/>
        <item n="More than 10"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5"/>
  </rowFields>
  <rowItems count="8">
    <i>
      <x/>
    </i>
    <i>
      <x v="1"/>
    </i>
    <i>
      <x v="2"/>
    </i>
    <i>
      <x v="3"/>
    </i>
    <i>
      <x v="4"/>
    </i>
    <i>
      <x v="5"/>
    </i>
    <i>
      <x v="6"/>
    </i>
    <i t="grand">
      <x/>
    </i>
  </rowItems>
  <colItems count="1">
    <i/>
  </colItems>
  <dataFields count="1">
    <dataField name="Count of TX ID" fld="0"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41FCBA1B-D782-43B2-815E-1C0972079902}" sourceName="Order Mode">
  <pivotTables>
    <pivotTable tabId="12" name="PivotTable15"/>
    <pivotTable tabId="5" name="PivotTable1"/>
    <pivotTable tabId="5" name="PivotTable2"/>
    <pivotTable tabId="8" name="PivotTable6"/>
    <pivotTable tabId="9" name="PivotTable7"/>
    <pivotTable tabId="9" name="PivotTable8"/>
    <pivotTable tabId="10" name="PivotTable9"/>
    <pivotTable tabId="12" name="PivotTable13"/>
  </pivotTables>
  <data>
    <tabular pivotCacheId="1846576816">
      <items count="5">
        <i x="0" s="1"/>
        <i x="3" s="1"/>
        <i x="4"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1C2D9C9F-1907-4512-AA49-0EFB437E8FC6}" sourceName="Gender Value">
  <pivotTables>
    <pivotTable tabId="12" name="PivotTable15"/>
  </pivotTables>
  <data>
    <tabular pivotCacheId="1846576816">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1" xr10:uid="{A7EF62A7-D4FC-4D61-B7B8-66DF86A6166D}" cache="Slicer_Order_Mode" caption="Order Mode" rowHeight="257175"/>
  <slicer name="Gender Value" xr10:uid="{D3E6B9C8-E077-4B69-8EEF-ACE32DBB2872}" cache="Slicer_Gender_Value" caption="Gender Value"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30C26536-9396-4270-8B39-595F9E62A7DB}" cache="Slicer_Order_Mode" caption="Order Mode"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4"/>
    <tableColumn id="7" xr3:uid="{43BB5DBF-46E1-4185-80C0-4361F55A385C}" name="Ship Date" dataDxfId="3"/>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2">
      <calculatedColumnFormula>orders[[#This Row],[Ship Date]]-orders[[#This Row],[Order Date]]</calculatedColumnFormula>
    </tableColumn>
    <tableColumn id="12" xr3:uid="{B071C0DA-87A9-4516-B4D9-4F5B7D3FF44A}" name="Weeknum" dataDxfId="1">
      <calculatedColumnFormula>WEEKNUM(orders[[#This Row],[Order Date]])</calculatedColumnFormula>
    </tableColumn>
    <tableColumn id="13" xr3:uid="{B8EA9E28-7541-4E76-9935-C26438661A18}" name="Gender Value" dataDxfId="0">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chandoo.org/wp/excel-school-program/" TargetMode="External"/><Relationship Id="rId1" Type="http://schemas.openxmlformats.org/officeDocument/2006/relationships/hyperlink" Target="https://youtu.be/l5qkg8gzY6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88482-1690-491E-890C-7BB4CCE66016}">
  <dimension ref="A2:K23"/>
  <sheetViews>
    <sheetView workbookViewId="0">
      <selection activeCell="E10" sqref="E10"/>
    </sheetView>
  </sheetViews>
  <sheetFormatPr defaultRowHeight="15" x14ac:dyDescent="0.25"/>
  <cols>
    <col min="1" max="1" width="13.140625" bestFit="1" customWidth="1"/>
    <col min="2" max="2" width="14.85546875" customWidth="1"/>
    <col min="3" max="3" width="15.42578125" bestFit="1" customWidth="1"/>
    <col min="4" max="4" width="18.42578125" bestFit="1" customWidth="1"/>
    <col min="5" max="5" width="24.7109375" bestFit="1" customWidth="1"/>
    <col min="8" max="8" width="17" customWidth="1"/>
    <col min="10" max="11" width="11.28515625" customWidth="1"/>
  </cols>
  <sheetData>
    <row r="2" spans="1:11" ht="10.5" customHeight="1" x14ac:dyDescent="0.25">
      <c r="G2" t="s">
        <v>2557</v>
      </c>
    </row>
    <row r="3" spans="1:11" x14ac:dyDescent="0.25">
      <c r="A3" t="s">
        <v>2552</v>
      </c>
      <c r="B3" t="s">
        <v>2554</v>
      </c>
      <c r="C3" t="s">
        <v>2553</v>
      </c>
      <c r="D3" t="s">
        <v>2555</v>
      </c>
      <c r="E3" t="s">
        <v>2556</v>
      </c>
      <c r="G3" t="s">
        <v>2538</v>
      </c>
      <c r="H3" t="s">
        <v>4</v>
      </c>
      <c r="I3" t="s">
        <v>2558</v>
      </c>
      <c r="J3" t="s">
        <v>2507</v>
      </c>
      <c r="K3" t="s">
        <v>2559</v>
      </c>
    </row>
    <row r="4" spans="1:11" x14ac:dyDescent="0.25">
      <c r="A4">
        <v>2400</v>
      </c>
      <c r="B4">
        <v>649019.80000000144</v>
      </c>
      <c r="C4">
        <v>11997</v>
      </c>
      <c r="D4">
        <v>3.9620833333333332</v>
      </c>
      <c r="E4">
        <v>2.3424999999999998</v>
      </c>
      <c r="G4" t="str">
        <f>TEXT(A4,"#,##")</f>
        <v>2,400</v>
      </c>
      <c r="H4" t="str">
        <f>TEXT(B4,"$#,##,.0K")</f>
        <v>$649.0K</v>
      </c>
      <c r="I4" t="str">
        <f t="shared" ref="I4" si="0">TEXT(C4,"#,##")</f>
        <v>11,997</v>
      </c>
      <c r="J4" t="str">
        <f>TEXT(D4,"0.0")</f>
        <v>4.0</v>
      </c>
      <c r="K4" t="str">
        <f>TEXT(E4,"0.0")</f>
        <v>2.3</v>
      </c>
    </row>
    <row r="8" spans="1:11" x14ac:dyDescent="0.25">
      <c r="A8" t="s">
        <v>2562</v>
      </c>
    </row>
    <row r="9" spans="1:11" x14ac:dyDescent="0.25">
      <c r="A9" s="12" t="s">
        <v>2560</v>
      </c>
      <c r="B9" t="s">
        <v>2554</v>
      </c>
      <c r="C9" t="s">
        <v>2553</v>
      </c>
    </row>
    <row r="10" spans="1:11" x14ac:dyDescent="0.25">
      <c r="A10" s="13">
        <v>1</v>
      </c>
      <c r="B10" s="14">
        <v>32413.300000000003</v>
      </c>
      <c r="C10">
        <v>546</v>
      </c>
    </row>
    <row r="11" spans="1:11" x14ac:dyDescent="0.25">
      <c r="A11" s="13">
        <v>2</v>
      </c>
      <c r="B11" s="14">
        <v>49562.999999999993</v>
      </c>
      <c r="C11">
        <v>905</v>
      </c>
    </row>
    <row r="12" spans="1:11" x14ac:dyDescent="0.25">
      <c r="A12" s="13">
        <v>3</v>
      </c>
      <c r="B12" s="14">
        <v>41700.400000000016</v>
      </c>
      <c r="C12">
        <v>796</v>
      </c>
    </row>
    <row r="13" spans="1:11" x14ac:dyDescent="0.25">
      <c r="A13" s="13">
        <v>4</v>
      </c>
      <c r="B13" s="14">
        <v>46782.599999999984</v>
      </c>
      <c r="C13">
        <v>913</v>
      </c>
    </row>
    <row r="14" spans="1:11" x14ac:dyDescent="0.25">
      <c r="A14" s="13">
        <v>5</v>
      </c>
      <c r="B14" s="14">
        <v>42676.100000000006</v>
      </c>
      <c r="C14">
        <v>844</v>
      </c>
    </row>
    <row r="15" spans="1:11" x14ac:dyDescent="0.25">
      <c r="A15" s="13">
        <v>6</v>
      </c>
      <c r="B15" s="14">
        <v>62910.7</v>
      </c>
      <c r="C15">
        <v>1202</v>
      </c>
    </row>
    <row r="16" spans="1:11" x14ac:dyDescent="0.25">
      <c r="A16" s="13">
        <v>7</v>
      </c>
      <c r="B16" s="14">
        <v>50332.200000000004</v>
      </c>
      <c r="C16">
        <v>935</v>
      </c>
    </row>
    <row r="17" spans="1:3" x14ac:dyDescent="0.25">
      <c r="A17" s="13">
        <v>8</v>
      </c>
      <c r="B17" s="14">
        <v>58760.599999999977</v>
      </c>
      <c r="C17">
        <v>1128</v>
      </c>
    </row>
    <row r="18" spans="1:3" x14ac:dyDescent="0.25">
      <c r="A18" s="13">
        <v>9</v>
      </c>
      <c r="B18" s="14">
        <v>52017.299999999996</v>
      </c>
      <c r="C18">
        <v>1007</v>
      </c>
    </row>
    <row r="19" spans="1:3" x14ac:dyDescent="0.25">
      <c r="A19" s="13">
        <v>10</v>
      </c>
      <c r="B19" s="14">
        <v>64915.700000000033</v>
      </c>
      <c r="C19">
        <v>1128</v>
      </c>
    </row>
    <row r="20" spans="1:3" x14ac:dyDescent="0.25">
      <c r="A20" s="13">
        <v>11</v>
      </c>
      <c r="B20" s="14">
        <v>45943.80000000001</v>
      </c>
      <c r="C20">
        <v>861</v>
      </c>
    </row>
    <row r="21" spans="1:3" x14ac:dyDescent="0.25">
      <c r="A21" s="13">
        <v>12</v>
      </c>
      <c r="B21" s="14">
        <v>55077.900000000031</v>
      </c>
      <c r="C21">
        <v>944</v>
      </c>
    </row>
    <row r="22" spans="1:3" x14ac:dyDescent="0.25">
      <c r="A22" s="13">
        <v>13</v>
      </c>
      <c r="B22" s="14">
        <v>45926.19999999999</v>
      </c>
      <c r="C22">
        <v>788</v>
      </c>
    </row>
    <row r="23" spans="1:3" x14ac:dyDescent="0.25">
      <c r="A23" s="13" t="s">
        <v>2561</v>
      </c>
      <c r="B23" s="14">
        <v>649019.79999999993</v>
      </c>
      <c r="C23">
        <v>11997</v>
      </c>
    </row>
  </sheetData>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3E083-86F9-44E8-ACDB-834105823C0D}">
  <dimension ref="A1"/>
  <sheetViews>
    <sheetView tabSelected="1" view="pageBreakPreview" topLeftCell="A37" zoomScale="70" zoomScaleNormal="10" zoomScaleSheetLayoutView="70" workbookViewId="0">
      <selection activeCell="AI31" sqref="AI31"/>
    </sheetView>
  </sheetViews>
  <sheetFormatPr defaultRowHeight="15" x14ac:dyDescent="0.25"/>
  <cols>
    <col min="1" max="1" width="6.7109375" customWidth="1"/>
    <col min="2" max="2" width="4" customWidth="1"/>
    <col min="3" max="3" width="7.85546875" customWidth="1"/>
  </cols>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41F85-663B-4B14-8711-AB0E8AEB0563}">
  <dimension ref="A2:M63"/>
  <sheetViews>
    <sheetView workbookViewId="0">
      <selection activeCell="G53" sqref="G53"/>
    </sheetView>
  </sheetViews>
  <sheetFormatPr defaultRowHeight="15" x14ac:dyDescent="0.25"/>
  <cols>
    <col min="1" max="1" width="21.85546875" bestFit="1" customWidth="1"/>
    <col min="2" max="2" width="15.42578125" bestFit="1" customWidth="1"/>
    <col min="3" max="3" width="14.85546875" customWidth="1"/>
    <col min="6" max="6" width="14.85546875" customWidth="1"/>
    <col min="7" max="7" width="22" customWidth="1"/>
    <col min="8" max="8" width="14.85546875" customWidth="1"/>
    <col min="9" max="9" width="22" customWidth="1"/>
    <col min="10" max="11" width="15.5703125" customWidth="1"/>
    <col min="12" max="14" width="22.7109375" customWidth="1"/>
    <col min="15" max="64" width="22.7109375" bestFit="1" customWidth="1"/>
    <col min="65" max="65" width="11.28515625" bestFit="1" customWidth="1"/>
    <col min="66" max="122" width="22.7109375" bestFit="1" customWidth="1"/>
    <col min="123" max="123" width="20.5703125" bestFit="1" customWidth="1"/>
    <col min="124" max="124" width="19.85546875" bestFit="1" customWidth="1"/>
  </cols>
  <sheetData>
    <row r="2" spans="1:13" ht="15.75" thickBot="1" x14ac:dyDescent="0.3"/>
    <row r="3" spans="1:13" ht="15.75" thickBot="1" x14ac:dyDescent="0.3">
      <c r="A3" s="12" t="s">
        <v>11</v>
      </c>
      <c r="B3" t="s">
        <v>2553</v>
      </c>
      <c r="C3" t="s">
        <v>2554</v>
      </c>
      <c r="E3" s="27" t="s">
        <v>10</v>
      </c>
      <c r="F3" s="27" t="s">
        <v>11</v>
      </c>
      <c r="G3" s="28" t="s">
        <v>2554</v>
      </c>
      <c r="K3" s="18" t="s">
        <v>10</v>
      </c>
      <c r="L3" s="19" t="s">
        <v>11</v>
      </c>
      <c r="M3" s="19" t="s">
        <v>2553</v>
      </c>
    </row>
    <row r="4" spans="1:13" ht="30.75" thickBot="1" x14ac:dyDescent="0.3">
      <c r="A4" t="s">
        <v>115</v>
      </c>
      <c r="B4">
        <v>579</v>
      </c>
      <c r="C4">
        <v>31884.999999999996</v>
      </c>
      <c r="E4" s="29" t="s">
        <v>19</v>
      </c>
      <c r="F4" s="30" t="s">
        <v>115</v>
      </c>
      <c r="G4" s="31">
        <v>31885</v>
      </c>
      <c r="K4" s="20" t="s">
        <v>19</v>
      </c>
      <c r="L4" s="21" t="s">
        <v>115</v>
      </c>
      <c r="M4" s="22">
        <v>579</v>
      </c>
    </row>
    <row r="5" spans="1:13" ht="30.75" thickBot="1" x14ac:dyDescent="0.3">
      <c r="A5" t="s">
        <v>20</v>
      </c>
      <c r="B5">
        <v>1</v>
      </c>
      <c r="C5">
        <v>10.9</v>
      </c>
      <c r="E5" s="29" t="s">
        <v>19</v>
      </c>
      <c r="F5" s="30" t="s">
        <v>20</v>
      </c>
      <c r="G5" s="31">
        <v>10.9</v>
      </c>
      <c r="K5" s="20" t="s">
        <v>19</v>
      </c>
      <c r="L5" s="21" t="s">
        <v>20</v>
      </c>
      <c r="M5" s="22">
        <v>1</v>
      </c>
    </row>
    <row r="6" spans="1:13" ht="30.75" thickBot="1" x14ac:dyDescent="0.3">
      <c r="A6" t="s">
        <v>641</v>
      </c>
      <c r="B6">
        <v>9</v>
      </c>
      <c r="C6">
        <v>800.3</v>
      </c>
      <c r="E6" s="29" t="s">
        <v>19</v>
      </c>
      <c r="F6" s="30" t="s">
        <v>641</v>
      </c>
      <c r="G6" s="31">
        <v>800.3</v>
      </c>
      <c r="K6" s="20" t="s">
        <v>19</v>
      </c>
      <c r="L6" s="21" t="s">
        <v>641</v>
      </c>
      <c r="M6" s="22">
        <v>9</v>
      </c>
    </row>
    <row r="7" spans="1:13" ht="30.75" thickBot="1" x14ac:dyDescent="0.3">
      <c r="A7" t="s">
        <v>967</v>
      </c>
      <c r="B7">
        <v>35</v>
      </c>
      <c r="C7">
        <v>1062.5999999999999</v>
      </c>
      <c r="E7" s="29" t="s">
        <v>19</v>
      </c>
      <c r="F7" s="30" t="s">
        <v>967</v>
      </c>
      <c r="G7" s="31">
        <v>1062.5999999999999</v>
      </c>
      <c r="K7" s="20" t="s">
        <v>19</v>
      </c>
      <c r="L7" s="21" t="s">
        <v>967</v>
      </c>
      <c r="M7" s="22">
        <v>35</v>
      </c>
    </row>
    <row r="8" spans="1:13" ht="30.75" thickBot="1" x14ac:dyDescent="0.3">
      <c r="A8" t="s">
        <v>84</v>
      </c>
      <c r="B8">
        <v>12</v>
      </c>
      <c r="C8">
        <v>326.20000000000005</v>
      </c>
      <c r="E8" s="29" t="s">
        <v>19</v>
      </c>
      <c r="F8" s="30" t="s">
        <v>84</v>
      </c>
      <c r="G8" s="31">
        <v>326.2</v>
      </c>
      <c r="K8" s="20" t="s">
        <v>19</v>
      </c>
      <c r="L8" s="21" t="s">
        <v>84</v>
      </c>
      <c r="M8" s="22">
        <v>12</v>
      </c>
    </row>
    <row r="9" spans="1:13" ht="30.75" thickBot="1" x14ac:dyDescent="0.3">
      <c r="A9" t="s">
        <v>1383</v>
      </c>
      <c r="B9">
        <v>4</v>
      </c>
      <c r="C9">
        <v>167.5</v>
      </c>
      <c r="E9" s="29" t="s">
        <v>19</v>
      </c>
      <c r="F9" s="30" t="s">
        <v>1383</v>
      </c>
      <c r="G9" s="31">
        <v>167.5</v>
      </c>
      <c r="K9" s="20" t="s">
        <v>19</v>
      </c>
      <c r="L9" s="21" t="s">
        <v>1383</v>
      </c>
      <c r="M9" s="22">
        <v>4</v>
      </c>
    </row>
    <row r="10" spans="1:13" ht="30.75" thickBot="1" x14ac:dyDescent="0.3">
      <c r="A10" t="s">
        <v>24</v>
      </c>
      <c r="B10">
        <v>341</v>
      </c>
      <c r="C10">
        <v>16168.7</v>
      </c>
      <c r="E10" s="29" t="s">
        <v>19</v>
      </c>
      <c r="F10" s="30" t="s">
        <v>24</v>
      </c>
      <c r="G10" s="31">
        <v>16168.7</v>
      </c>
      <c r="K10" s="20" t="s">
        <v>19</v>
      </c>
      <c r="L10" s="21" t="s">
        <v>24</v>
      </c>
      <c r="M10" s="22">
        <v>341</v>
      </c>
    </row>
    <row r="11" spans="1:13" ht="30.75" thickBot="1" x14ac:dyDescent="0.3">
      <c r="A11" t="s">
        <v>2204</v>
      </c>
      <c r="B11">
        <v>13</v>
      </c>
      <c r="C11">
        <v>322.40000000000003</v>
      </c>
      <c r="E11" s="29" t="s">
        <v>19</v>
      </c>
      <c r="F11" s="30" t="s">
        <v>2204</v>
      </c>
      <c r="G11" s="31">
        <v>322.39999999999998</v>
      </c>
      <c r="K11" s="20" t="s">
        <v>19</v>
      </c>
      <c r="L11" s="21" t="s">
        <v>2204</v>
      </c>
      <c r="M11" s="22">
        <v>13</v>
      </c>
    </row>
    <row r="12" spans="1:13" ht="30.75" thickBot="1" x14ac:dyDescent="0.3">
      <c r="A12" t="s">
        <v>437</v>
      </c>
      <c r="B12">
        <v>31</v>
      </c>
      <c r="C12">
        <v>2092.8000000000002</v>
      </c>
      <c r="E12" s="29" t="s">
        <v>19</v>
      </c>
      <c r="F12" s="30" t="s">
        <v>437</v>
      </c>
      <c r="G12" s="31">
        <v>2092.8000000000002</v>
      </c>
      <c r="K12" s="20" t="s">
        <v>19</v>
      </c>
      <c r="L12" s="21" t="s">
        <v>437</v>
      </c>
      <c r="M12" s="22">
        <v>31</v>
      </c>
    </row>
    <row r="13" spans="1:13" ht="30.75" thickBot="1" x14ac:dyDescent="0.3">
      <c r="A13" t="s">
        <v>28</v>
      </c>
      <c r="B13">
        <v>279</v>
      </c>
      <c r="C13">
        <v>12662.500000000002</v>
      </c>
      <c r="E13" s="29" t="s">
        <v>19</v>
      </c>
      <c r="F13" s="30" t="s">
        <v>28</v>
      </c>
      <c r="G13" s="31">
        <v>12662.5</v>
      </c>
      <c r="K13" s="20" t="s">
        <v>19</v>
      </c>
      <c r="L13" s="21" t="s">
        <v>28</v>
      </c>
      <c r="M13" s="22">
        <v>279</v>
      </c>
    </row>
    <row r="14" spans="1:13" ht="30.75" thickBot="1" x14ac:dyDescent="0.3">
      <c r="A14" t="s">
        <v>208</v>
      </c>
      <c r="B14">
        <v>9</v>
      </c>
      <c r="C14">
        <v>343.2</v>
      </c>
      <c r="E14" s="29" t="s">
        <v>19</v>
      </c>
      <c r="F14" s="30" t="s">
        <v>208</v>
      </c>
      <c r="G14" s="31">
        <v>343.2</v>
      </c>
      <c r="K14" s="20" t="s">
        <v>19</v>
      </c>
      <c r="L14" s="21" t="s">
        <v>208</v>
      </c>
      <c r="M14" s="22">
        <v>9</v>
      </c>
    </row>
    <row r="15" spans="1:13" ht="30.75" thickBot="1" x14ac:dyDescent="0.3">
      <c r="A15" t="s">
        <v>587</v>
      </c>
      <c r="B15">
        <v>49</v>
      </c>
      <c r="C15">
        <v>2188.2999999999997</v>
      </c>
      <c r="E15" s="29" t="s">
        <v>19</v>
      </c>
      <c r="F15" s="30" t="s">
        <v>587</v>
      </c>
      <c r="G15" s="31">
        <v>2188.3000000000002</v>
      </c>
      <c r="K15" s="20" t="s">
        <v>19</v>
      </c>
      <c r="L15" s="21" t="s">
        <v>587</v>
      </c>
      <c r="M15" s="22">
        <v>49</v>
      </c>
    </row>
    <row r="16" spans="1:13" ht="30.75" thickBot="1" x14ac:dyDescent="0.3">
      <c r="A16" t="s">
        <v>331</v>
      </c>
      <c r="B16">
        <v>59</v>
      </c>
      <c r="C16">
        <v>2661.5999999999995</v>
      </c>
      <c r="E16" s="29" t="s">
        <v>19</v>
      </c>
      <c r="F16" s="30" t="s">
        <v>331</v>
      </c>
      <c r="G16" s="31">
        <v>2661.6</v>
      </c>
      <c r="K16" s="20" t="s">
        <v>19</v>
      </c>
      <c r="L16" s="21" t="s">
        <v>331</v>
      </c>
      <c r="M16" s="22">
        <v>59</v>
      </c>
    </row>
    <row r="17" spans="1:13" ht="30.75" thickBot="1" x14ac:dyDescent="0.3">
      <c r="A17" t="s">
        <v>86</v>
      </c>
      <c r="B17">
        <v>8</v>
      </c>
      <c r="C17">
        <v>887.5</v>
      </c>
      <c r="E17" s="29" t="s">
        <v>19</v>
      </c>
      <c r="F17" s="30" t="s">
        <v>86</v>
      </c>
      <c r="G17" s="31">
        <v>887.5</v>
      </c>
      <c r="K17" s="20" t="s">
        <v>19</v>
      </c>
      <c r="L17" s="21" t="s">
        <v>86</v>
      </c>
      <c r="M17" s="22">
        <v>8</v>
      </c>
    </row>
    <row r="18" spans="1:13" ht="30.75" thickBot="1" x14ac:dyDescent="0.3">
      <c r="A18" t="s">
        <v>147</v>
      </c>
      <c r="B18">
        <v>222</v>
      </c>
      <c r="C18">
        <v>11354.199999999993</v>
      </c>
      <c r="E18" s="29" t="s">
        <v>19</v>
      </c>
      <c r="F18" s="30" t="s">
        <v>147</v>
      </c>
      <c r="G18" s="31">
        <v>11354.2</v>
      </c>
      <c r="K18" s="20" t="s">
        <v>19</v>
      </c>
      <c r="L18" s="21" t="s">
        <v>147</v>
      </c>
      <c r="M18" s="22">
        <v>222</v>
      </c>
    </row>
    <row r="19" spans="1:13" ht="30.75" thickBot="1" x14ac:dyDescent="0.3">
      <c r="A19" t="s">
        <v>334</v>
      </c>
      <c r="B19">
        <v>36</v>
      </c>
      <c r="C19">
        <v>1558.4</v>
      </c>
      <c r="E19" s="29" t="s">
        <v>19</v>
      </c>
      <c r="F19" s="30" t="s">
        <v>334</v>
      </c>
      <c r="G19" s="31">
        <v>1558.4</v>
      </c>
      <c r="K19" s="20" t="s">
        <v>19</v>
      </c>
      <c r="L19" s="21" t="s">
        <v>334</v>
      </c>
      <c r="M19" s="22">
        <v>36</v>
      </c>
    </row>
    <row r="20" spans="1:13" ht="30.75" thickBot="1" x14ac:dyDescent="0.3">
      <c r="A20" t="s">
        <v>949</v>
      </c>
      <c r="B20">
        <v>30</v>
      </c>
      <c r="C20">
        <v>2223.9</v>
      </c>
      <c r="E20" s="29" t="s">
        <v>19</v>
      </c>
      <c r="F20" s="30" t="s">
        <v>949</v>
      </c>
      <c r="G20" s="31">
        <v>2223.9</v>
      </c>
      <c r="K20" s="20" t="s">
        <v>19</v>
      </c>
      <c r="L20" s="21" t="s">
        <v>949</v>
      </c>
      <c r="M20" s="22">
        <v>30</v>
      </c>
    </row>
    <row r="21" spans="1:13" ht="30.75" thickBot="1" x14ac:dyDescent="0.3">
      <c r="A21" t="s">
        <v>1426</v>
      </c>
      <c r="B21">
        <v>1</v>
      </c>
      <c r="C21">
        <v>26.2</v>
      </c>
      <c r="E21" s="29" t="s">
        <v>19</v>
      </c>
      <c r="F21" s="30" t="s">
        <v>1426</v>
      </c>
      <c r="G21" s="31">
        <v>26.2</v>
      </c>
      <c r="K21" s="20" t="s">
        <v>19</v>
      </c>
      <c r="L21" s="21" t="s">
        <v>1426</v>
      </c>
      <c r="M21" s="22">
        <v>1</v>
      </c>
    </row>
    <row r="22" spans="1:13" ht="30.75" thickBot="1" x14ac:dyDescent="0.3">
      <c r="A22" t="s">
        <v>33</v>
      </c>
      <c r="B22">
        <v>3991</v>
      </c>
      <c r="C22">
        <v>215551.19999999981</v>
      </c>
      <c r="E22" s="29" t="s">
        <v>19</v>
      </c>
      <c r="F22" s="30" t="s">
        <v>33</v>
      </c>
      <c r="G22" s="31">
        <v>215551.2</v>
      </c>
      <c r="K22" s="20" t="s">
        <v>19</v>
      </c>
      <c r="L22" s="21" t="s">
        <v>33</v>
      </c>
      <c r="M22" s="22">
        <v>3991</v>
      </c>
    </row>
    <row r="23" spans="1:13" ht="30.75" thickBot="1" x14ac:dyDescent="0.3">
      <c r="A23" t="s">
        <v>364</v>
      </c>
      <c r="B23">
        <v>45</v>
      </c>
      <c r="C23">
        <v>2687.3999999999996</v>
      </c>
      <c r="E23" s="29" t="s">
        <v>19</v>
      </c>
      <c r="F23" s="30" t="s">
        <v>364</v>
      </c>
      <c r="G23" s="31">
        <v>2687.4</v>
      </c>
      <c r="K23" s="20" t="s">
        <v>19</v>
      </c>
      <c r="L23" s="21" t="s">
        <v>364</v>
      </c>
      <c r="M23" s="22">
        <v>45</v>
      </c>
    </row>
    <row r="24" spans="1:13" ht="30.75" thickBot="1" x14ac:dyDescent="0.3">
      <c r="A24" t="s">
        <v>545</v>
      </c>
      <c r="B24">
        <v>39</v>
      </c>
      <c r="C24">
        <v>1463.3000000000002</v>
      </c>
      <c r="E24" s="29" t="s">
        <v>19</v>
      </c>
      <c r="F24" s="30" t="s">
        <v>545</v>
      </c>
      <c r="G24" s="31">
        <v>1463.3</v>
      </c>
      <c r="K24" s="20" t="s">
        <v>19</v>
      </c>
      <c r="L24" s="21" t="s">
        <v>545</v>
      </c>
      <c r="M24" s="22">
        <v>39</v>
      </c>
    </row>
    <row r="25" spans="1:13" ht="30.75" thickBot="1" x14ac:dyDescent="0.3">
      <c r="A25" t="s">
        <v>416</v>
      </c>
      <c r="B25">
        <v>6</v>
      </c>
      <c r="C25">
        <v>445.79999999999995</v>
      </c>
      <c r="E25" s="29" t="s">
        <v>19</v>
      </c>
      <c r="F25" s="30" t="s">
        <v>416</v>
      </c>
      <c r="G25" s="31">
        <v>445.8</v>
      </c>
      <c r="K25" s="20" t="s">
        <v>19</v>
      </c>
      <c r="L25" s="21" t="s">
        <v>416</v>
      </c>
      <c r="M25" s="22">
        <v>6</v>
      </c>
    </row>
    <row r="26" spans="1:13" ht="30.75" thickBot="1" x14ac:dyDescent="0.3">
      <c r="A26" t="s">
        <v>258</v>
      </c>
      <c r="B26">
        <v>9</v>
      </c>
      <c r="C26">
        <v>273.59999999999997</v>
      </c>
      <c r="E26" s="29" t="s">
        <v>19</v>
      </c>
      <c r="F26" s="30" t="s">
        <v>258</v>
      </c>
      <c r="G26" s="31">
        <v>273.60000000000002</v>
      </c>
      <c r="K26" s="20" t="s">
        <v>19</v>
      </c>
      <c r="L26" s="21" t="s">
        <v>258</v>
      </c>
      <c r="M26" s="22">
        <v>9</v>
      </c>
    </row>
    <row r="27" spans="1:13" ht="30.75" thickBot="1" x14ac:dyDescent="0.3">
      <c r="A27" t="s">
        <v>186</v>
      </c>
      <c r="B27">
        <v>60</v>
      </c>
      <c r="C27">
        <v>2690.4</v>
      </c>
      <c r="E27" s="29" t="s">
        <v>19</v>
      </c>
      <c r="F27" s="30" t="s">
        <v>186</v>
      </c>
      <c r="G27" s="31">
        <v>2690.4</v>
      </c>
      <c r="K27" s="20" t="s">
        <v>19</v>
      </c>
      <c r="L27" s="21" t="s">
        <v>186</v>
      </c>
      <c r="M27" s="22">
        <v>60</v>
      </c>
    </row>
    <row r="28" spans="1:13" ht="30.75" thickBot="1" x14ac:dyDescent="0.3">
      <c r="A28" t="s">
        <v>392</v>
      </c>
      <c r="B28">
        <v>2</v>
      </c>
      <c r="C28">
        <v>28.4</v>
      </c>
      <c r="E28" s="29" t="s">
        <v>19</v>
      </c>
      <c r="F28" s="30" t="s">
        <v>392</v>
      </c>
      <c r="G28" s="31">
        <v>28.4</v>
      </c>
      <c r="K28" s="20" t="s">
        <v>19</v>
      </c>
      <c r="L28" s="21" t="s">
        <v>392</v>
      </c>
      <c r="M28" s="22">
        <v>2</v>
      </c>
    </row>
    <row r="29" spans="1:13" ht="30.75" thickBot="1" x14ac:dyDescent="0.3">
      <c r="A29" t="s">
        <v>670</v>
      </c>
      <c r="B29">
        <v>4</v>
      </c>
      <c r="C29">
        <v>204.8</v>
      </c>
      <c r="E29" s="29" t="s">
        <v>19</v>
      </c>
      <c r="F29" s="30" t="s">
        <v>670</v>
      </c>
      <c r="G29" s="31">
        <v>204.8</v>
      </c>
      <c r="K29" s="20" t="s">
        <v>19</v>
      </c>
      <c r="L29" s="21" t="s">
        <v>670</v>
      </c>
      <c r="M29" s="22">
        <v>4</v>
      </c>
    </row>
    <row r="30" spans="1:13" ht="30.75" thickBot="1" x14ac:dyDescent="0.3">
      <c r="A30" t="s">
        <v>802</v>
      </c>
      <c r="B30">
        <v>31</v>
      </c>
      <c r="C30">
        <v>1607.8999999999999</v>
      </c>
      <c r="E30" s="29" t="s">
        <v>19</v>
      </c>
      <c r="F30" s="30" t="s">
        <v>802</v>
      </c>
      <c r="G30" s="31">
        <v>1607.9</v>
      </c>
      <c r="K30" s="20" t="s">
        <v>19</v>
      </c>
      <c r="L30" s="21" t="s">
        <v>802</v>
      </c>
      <c r="M30" s="22">
        <v>31</v>
      </c>
    </row>
    <row r="31" spans="1:13" ht="30.75" thickBot="1" x14ac:dyDescent="0.3">
      <c r="A31" t="s">
        <v>98</v>
      </c>
      <c r="B31">
        <v>88</v>
      </c>
      <c r="C31">
        <v>6444.9</v>
      </c>
      <c r="E31" s="29" t="s">
        <v>19</v>
      </c>
      <c r="F31" s="30" t="s">
        <v>98</v>
      </c>
      <c r="G31" s="31">
        <v>6444.9</v>
      </c>
      <c r="K31" s="20" t="s">
        <v>19</v>
      </c>
      <c r="L31" s="21" t="s">
        <v>98</v>
      </c>
      <c r="M31" s="22">
        <v>88</v>
      </c>
    </row>
    <row r="32" spans="1:13" ht="30.75" thickBot="1" x14ac:dyDescent="0.3">
      <c r="A32" t="s">
        <v>49</v>
      </c>
      <c r="B32">
        <v>25</v>
      </c>
      <c r="C32">
        <v>1809.3</v>
      </c>
      <c r="E32" s="29" t="s">
        <v>19</v>
      </c>
      <c r="F32" s="30" t="s">
        <v>49</v>
      </c>
      <c r="G32" s="31">
        <v>1809.3</v>
      </c>
      <c r="K32" s="20" t="s">
        <v>19</v>
      </c>
      <c r="L32" s="21" t="s">
        <v>49</v>
      </c>
      <c r="M32" s="22">
        <v>25</v>
      </c>
    </row>
    <row r="33" spans="1:13" ht="30.75" thickBot="1" x14ac:dyDescent="0.3">
      <c r="A33" t="s">
        <v>188</v>
      </c>
      <c r="B33">
        <v>178</v>
      </c>
      <c r="C33">
        <v>9680.399999999996</v>
      </c>
      <c r="E33" s="29" t="s">
        <v>19</v>
      </c>
      <c r="F33" s="30" t="s">
        <v>188</v>
      </c>
      <c r="G33" s="31">
        <v>9680.4</v>
      </c>
      <c r="K33" s="20" t="s">
        <v>19</v>
      </c>
      <c r="L33" s="21" t="s">
        <v>188</v>
      </c>
      <c r="M33" s="22">
        <v>178</v>
      </c>
    </row>
    <row r="34" spans="1:13" ht="30.75" thickBot="1" x14ac:dyDescent="0.3">
      <c r="A34" t="s">
        <v>52</v>
      </c>
      <c r="B34">
        <v>141</v>
      </c>
      <c r="C34">
        <v>9414.7999999999993</v>
      </c>
      <c r="E34" s="29" t="s">
        <v>19</v>
      </c>
      <c r="F34" s="30" t="s">
        <v>52</v>
      </c>
      <c r="G34" s="31">
        <v>9414.7999999999993</v>
      </c>
      <c r="K34" s="20" t="s">
        <v>19</v>
      </c>
      <c r="L34" s="21" t="s">
        <v>52</v>
      </c>
      <c r="M34" s="22">
        <v>141</v>
      </c>
    </row>
    <row r="35" spans="1:13" ht="30.75" thickBot="1" x14ac:dyDescent="0.3">
      <c r="A35" t="s">
        <v>338</v>
      </c>
      <c r="B35">
        <v>6</v>
      </c>
      <c r="C35">
        <v>206.1</v>
      </c>
      <c r="E35" s="29" t="s">
        <v>19</v>
      </c>
      <c r="F35" s="30" t="s">
        <v>338</v>
      </c>
      <c r="G35" s="31">
        <v>206.1</v>
      </c>
      <c r="K35" s="20" t="s">
        <v>19</v>
      </c>
      <c r="L35" s="21" t="s">
        <v>338</v>
      </c>
      <c r="M35" s="22">
        <v>6</v>
      </c>
    </row>
    <row r="36" spans="1:13" ht="30.75" thickBot="1" x14ac:dyDescent="0.3">
      <c r="A36" t="s">
        <v>158</v>
      </c>
      <c r="B36">
        <v>178</v>
      </c>
      <c r="C36">
        <v>7691.3</v>
      </c>
      <c r="E36" s="29" t="s">
        <v>19</v>
      </c>
      <c r="F36" s="30" t="s">
        <v>158</v>
      </c>
      <c r="G36" s="31">
        <v>7691.3</v>
      </c>
      <c r="K36" s="20" t="s">
        <v>19</v>
      </c>
      <c r="L36" s="21" t="s">
        <v>158</v>
      </c>
      <c r="M36" s="22">
        <v>178</v>
      </c>
    </row>
    <row r="37" spans="1:13" ht="30.75" thickBot="1" x14ac:dyDescent="0.3">
      <c r="A37" t="s">
        <v>55</v>
      </c>
      <c r="B37">
        <v>699</v>
      </c>
      <c r="C37">
        <v>37784.900000000016</v>
      </c>
      <c r="E37" s="29" t="s">
        <v>19</v>
      </c>
      <c r="F37" s="30" t="s">
        <v>55</v>
      </c>
      <c r="G37" s="31">
        <v>37784.9</v>
      </c>
      <c r="K37" s="20" t="s">
        <v>19</v>
      </c>
      <c r="L37" s="21" t="s">
        <v>55</v>
      </c>
      <c r="M37" s="22">
        <v>699</v>
      </c>
    </row>
    <row r="38" spans="1:13" ht="30.75" thickBot="1" x14ac:dyDescent="0.3">
      <c r="A38" t="s">
        <v>342</v>
      </c>
      <c r="B38">
        <v>23</v>
      </c>
      <c r="C38">
        <v>1129.7</v>
      </c>
      <c r="E38" s="29" t="s">
        <v>19</v>
      </c>
      <c r="F38" s="30" t="s">
        <v>342</v>
      </c>
      <c r="G38" s="31">
        <v>1129.7</v>
      </c>
      <c r="K38" s="20" t="s">
        <v>19</v>
      </c>
      <c r="L38" s="21" t="s">
        <v>342</v>
      </c>
      <c r="M38" s="22">
        <v>23</v>
      </c>
    </row>
    <row r="39" spans="1:13" ht="30.75" thickBot="1" x14ac:dyDescent="0.3">
      <c r="A39" t="s">
        <v>59</v>
      </c>
      <c r="B39">
        <v>356</v>
      </c>
      <c r="C39">
        <v>20988.9</v>
      </c>
      <c r="E39" s="29" t="s">
        <v>19</v>
      </c>
      <c r="F39" s="30" t="s">
        <v>59</v>
      </c>
      <c r="G39" s="31">
        <v>20988.9</v>
      </c>
      <c r="K39" s="20" t="s">
        <v>19</v>
      </c>
      <c r="L39" s="21" t="s">
        <v>59</v>
      </c>
      <c r="M39" s="22">
        <v>356</v>
      </c>
    </row>
    <row r="40" spans="1:13" ht="30.75" thickBot="1" x14ac:dyDescent="0.3">
      <c r="A40" t="s">
        <v>62</v>
      </c>
      <c r="B40">
        <v>1768</v>
      </c>
      <c r="C40">
        <v>98367.099999999977</v>
      </c>
      <c r="E40" s="29" t="s">
        <v>19</v>
      </c>
      <c r="F40" s="30" t="s">
        <v>62</v>
      </c>
      <c r="G40" s="31">
        <v>98367.1</v>
      </c>
      <c r="K40" s="20" t="s">
        <v>19</v>
      </c>
      <c r="L40" s="21" t="s">
        <v>62</v>
      </c>
      <c r="M40" s="22">
        <v>1768</v>
      </c>
    </row>
    <row r="41" spans="1:13" ht="30.75" thickBot="1" x14ac:dyDescent="0.3">
      <c r="A41" t="s">
        <v>103</v>
      </c>
      <c r="B41">
        <v>307</v>
      </c>
      <c r="C41">
        <v>21911.9</v>
      </c>
      <c r="E41" s="29" t="s">
        <v>19</v>
      </c>
      <c r="F41" s="30" t="s">
        <v>103</v>
      </c>
      <c r="G41" s="31">
        <v>21911.9</v>
      </c>
      <c r="K41" s="20" t="s">
        <v>19</v>
      </c>
      <c r="L41" s="21" t="s">
        <v>103</v>
      </c>
      <c r="M41" s="22">
        <v>307</v>
      </c>
    </row>
    <row r="42" spans="1:13" ht="30.75" thickBot="1" x14ac:dyDescent="0.3">
      <c r="A42" t="s">
        <v>201</v>
      </c>
      <c r="B42">
        <v>117</v>
      </c>
      <c r="C42">
        <v>5441.2</v>
      </c>
      <c r="E42" s="29" t="s">
        <v>19</v>
      </c>
      <c r="F42" s="30" t="s">
        <v>201</v>
      </c>
      <c r="G42" s="31">
        <v>5441.2</v>
      </c>
      <c r="K42" s="20" t="s">
        <v>19</v>
      </c>
      <c r="L42" s="21" t="s">
        <v>201</v>
      </c>
      <c r="M42" s="22">
        <v>117</v>
      </c>
    </row>
    <row r="43" spans="1:13" ht="30.75" thickBot="1" x14ac:dyDescent="0.3">
      <c r="A43" t="s">
        <v>429</v>
      </c>
      <c r="B43">
        <v>13</v>
      </c>
      <c r="C43">
        <v>392.8</v>
      </c>
      <c r="E43" s="29" t="s">
        <v>19</v>
      </c>
      <c r="F43" s="30" t="s">
        <v>429</v>
      </c>
      <c r="G43" s="31">
        <v>392.8</v>
      </c>
      <c r="K43" s="20" t="s">
        <v>19</v>
      </c>
      <c r="L43" s="21" t="s">
        <v>429</v>
      </c>
      <c r="M43" s="22">
        <v>13</v>
      </c>
    </row>
    <row r="44" spans="1:13" ht="30.75" thickBot="1" x14ac:dyDescent="0.3">
      <c r="A44" t="s">
        <v>72</v>
      </c>
      <c r="B44">
        <v>364</v>
      </c>
      <c r="C44">
        <v>16172.000000000005</v>
      </c>
      <c r="E44" s="29" t="s">
        <v>19</v>
      </c>
      <c r="F44" s="30" t="s">
        <v>72</v>
      </c>
      <c r="G44" s="31">
        <v>16172</v>
      </c>
      <c r="K44" s="20" t="s">
        <v>19</v>
      </c>
      <c r="L44" s="21" t="s">
        <v>72</v>
      </c>
      <c r="M44" s="22">
        <v>364</v>
      </c>
    </row>
    <row r="45" spans="1:13" ht="30.75" thickBot="1" x14ac:dyDescent="0.3">
      <c r="A45" t="s">
        <v>74</v>
      </c>
      <c r="B45">
        <v>95</v>
      </c>
      <c r="C45">
        <v>4334.9999999999991</v>
      </c>
      <c r="E45" s="29" t="s">
        <v>19</v>
      </c>
      <c r="F45" s="30" t="s">
        <v>74</v>
      </c>
      <c r="G45" s="31">
        <v>4335</v>
      </c>
      <c r="K45" s="20" t="s">
        <v>19</v>
      </c>
      <c r="L45" s="21" t="s">
        <v>74</v>
      </c>
      <c r="M45" s="22">
        <v>95</v>
      </c>
    </row>
    <row r="46" spans="1:13" ht="30.75" thickBot="1" x14ac:dyDescent="0.3">
      <c r="A46" t="s">
        <v>77</v>
      </c>
      <c r="B46">
        <v>737</v>
      </c>
      <c r="C46">
        <v>37449.000000000007</v>
      </c>
      <c r="E46" s="29" t="s">
        <v>19</v>
      </c>
      <c r="F46" s="30" t="s">
        <v>77</v>
      </c>
      <c r="G46" s="31">
        <v>37449</v>
      </c>
      <c r="K46" s="20" t="s">
        <v>19</v>
      </c>
      <c r="L46" s="21" t="s">
        <v>77</v>
      </c>
      <c r="M46" s="22">
        <v>737</v>
      </c>
    </row>
    <row r="47" spans="1:13" ht="30.75" thickBot="1" x14ac:dyDescent="0.3">
      <c r="A47" t="s">
        <v>309</v>
      </c>
      <c r="B47">
        <v>39</v>
      </c>
      <c r="C47">
        <v>2447.5</v>
      </c>
      <c r="E47" s="29" t="s">
        <v>19</v>
      </c>
      <c r="F47" s="30" t="s">
        <v>309</v>
      </c>
      <c r="G47" s="31">
        <v>2447.5</v>
      </c>
      <c r="K47" s="20" t="s">
        <v>19</v>
      </c>
      <c r="L47" s="21" t="s">
        <v>309</v>
      </c>
      <c r="M47" s="22">
        <v>39</v>
      </c>
    </row>
    <row r="48" spans="1:13" ht="30.75" thickBot="1" x14ac:dyDescent="0.3">
      <c r="A48" t="s">
        <v>1116</v>
      </c>
      <c r="B48">
        <v>56</v>
      </c>
      <c r="C48">
        <v>3391.1</v>
      </c>
      <c r="E48" s="29" t="s">
        <v>19</v>
      </c>
      <c r="F48" s="30" t="s">
        <v>1116</v>
      </c>
      <c r="G48" s="31">
        <v>3391.1</v>
      </c>
      <c r="K48" s="20" t="s">
        <v>19</v>
      </c>
      <c r="L48" s="21" t="s">
        <v>1116</v>
      </c>
      <c r="M48" s="22">
        <v>56</v>
      </c>
    </row>
    <row r="49" spans="1:13" ht="30.75" thickBot="1" x14ac:dyDescent="0.3">
      <c r="A49" t="s">
        <v>700</v>
      </c>
      <c r="B49">
        <v>2</v>
      </c>
      <c r="C49">
        <v>30.8</v>
      </c>
      <c r="E49" s="29" t="s">
        <v>19</v>
      </c>
      <c r="F49" s="30" t="s">
        <v>700</v>
      </c>
      <c r="G49" s="31">
        <v>30.8</v>
      </c>
      <c r="K49" s="20" t="s">
        <v>19</v>
      </c>
      <c r="L49" s="21" t="s">
        <v>700</v>
      </c>
      <c r="M49" s="22">
        <v>2</v>
      </c>
    </row>
    <row r="50" spans="1:13" ht="30.75" thickBot="1" x14ac:dyDescent="0.3">
      <c r="A50" t="s">
        <v>268</v>
      </c>
      <c r="B50">
        <v>8</v>
      </c>
      <c r="C50">
        <v>332.3</v>
      </c>
      <c r="E50" s="29" t="s">
        <v>19</v>
      </c>
      <c r="F50" s="30" t="s">
        <v>268</v>
      </c>
      <c r="G50" s="31">
        <v>332.3</v>
      </c>
      <c r="K50" s="20" t="s">
        <v>19</v>
      </c>
      <c r="L50" s="21" t="s">
        <v>268</v>
      </c>
      <c r="M50" s="22">
        <v>8</v>
      </c>
    </row>
    <row r="51" spans="1:13" ht="30.75" thickBot="1" x14ac:dyDescent="0.3">
      <c r="A51" t="s">
        <v>377</v>
      </c>
      <c r="B51">
        <v>52</v>
      </c>
      <c r="C51">
        <v>3175.9999999999995</v>
      </c>
      <c r="E51" s="29" t="s">
        <v>19</v>
      </c>
      <c r="F51" s="30" t="s">
        <v>377</v>
      </c>
      <c r="G51" s="31">
        <v>3176</v>
      </c>
      <c r="K51" s="20" t="s">
        <v>19</v>
      </c>
      <c r="L51" s="21" t="s">
        <v>377</v>
      </c>
      <c r="M51" s="22">
        <v>52</v>
      </c>
    </row>
    <row r="52" spans="1:13" ht="30.75" thickBot="1" x14ac:dyDescent="0.3">
      <c r="A52" t="s">
        <v>108</v>
      </c>
      <c r="B52">
        <v>295</v>
      </c>
      <c r="C52">
        <v>20939.600000000002</v>
      </c>
      <c r="E52" s="29" t="s">
        <v>19</v>
      </c>
      <c r="F52" s="30" t="s">
        <v>108</v>
      </c>
      <c r="G52" s="31">
        <v>20939.599999999999</v>
      </c>
      <c r="K52" s="20" t="s">
        <v>19</v>
      </c>
      <c r="L52" s="21" t="s">
        <v>108</v>
      </c>
      <c r="M52" s="22">
        <v>295</v>
      </c>
    </row>
    <row r="53" spans="1:13" ht="30.75" thickBot="1" x14ac:dyDescent="0.3">
      <c r="A53" t="s">
        <v>110</v>
      </c>
      <c r="B53">
        <v>195</v>
      </c>
      <c r="C53">
        <v>10185.899999999996</v>
      </c>
      <c r="E53" s="29" t="s">
        <v>19</v>
      </c>
      <c r="F53" s="30" t="s">
        <v>110</v>
      </c>
      <c r="G53" s="31">
        <v>10185.9</v>
      </c>
      <c r="K53" s="20" t="s">
        <v>19</v>
      </c>
      <c r="L53" s="21" t="s">
        <v>110</v>
      </c>
      <c r="M53" s="22">
        <v>195</v>
      </c>
    </row>
    <row r="54" spans="1:13" ht="30.75" thickBot="1" x14ac:dyDescent="0.3">
      <c r="A54" t="s">
        <v>292</v>
      </c>
      <c r="B54">
        <v>20</v>
      </c>
      <c r="C54">
        <v>958.7</v>
      </c>
      <c r="E54" s="29" t="s">
        <v>19</v>
      </c>
      <c r="F54" s="30" t="s">
        <v>292</v>
      </c>
      <c r="G54" s="31">
        <v>958.7</v>
      </c>
      <c r="K54" s="20" t="s">
        <v>19</v>
      </c>
      <c r="L54" s="21" t="s">
        <v>292</v>
      </c>
      <c r="M54" s="22">
        <v>20</v>
      </c>
    </row>
    <row r="55" spans="1:13" ht="30.75" thickBot="1" x14ac:dyDescent="0.3">
      <c r="A55" t="s">
        <v>79</v>
      </c>
      <c r="B55">
        <v>6</v>
      </c>
      <c r="C55">
        <v>323</v>
      </c>
      <c r="E55" s="29" t="s">
        <v>19</v>
      </c>
      <c r="F55" s="30" t="s">
        <v>79</v>
      </c>
      <c r="G55" s="31">
        <v>323</v>
      </c>
      <c r="K55" s="20" t="s">
        <v>19</v>
      </c>
      <c r="L55" s="21" t="s">
        <v>79</v>
      </c>
      <c r="M55" s="22">
        <v>6</v>
      </c>
    </row>
    <row r="56" spans="1:13" ht="30.75" thickBot="1" x14ac:dyDescent="0.3">
      <c r="A56" t="s">
        <v>608</v>
      </c>
      <c r="B56">
        <v>5</v>
      </c>
      <c r="C56">
        <v>167.70000000000002</v>
      </c>
      <c r="E56" s="29" t="s">
        <v>19</v>
      </c>
      <c r="F56" s="30" t="s">
        <v>608</v>
      </c>
      <c r="G56" s="31">
        <v>167.7</v>
      </c>
      <c r="K56" s="20" t="s">
        <v>19</v>
      </c>
      <c r="L56" s="21" t="s">
        <v>608</v>
      </c>
      <c r="M56" s="22">
        <v>5</v>
      </c>
    </row>
    <row r="57" spans="1:13" ht="30.75" thickBot="1" x14ac:dyDescent="0.3">
      <c r="A57" t="s">
        <v>113</v>
      </c>
      <c r="B57">
        <v>94</v>
      </c>
      <c r="C57">
        <v>3978.5</v>
      </c>
      <c r="E57" s="29" t="s">
        <v>19</v>
      </c>
      <c r="F57" s="30" t="s">
        <v>113</v>
      </c>
      <c r="G57" s="31">
        <v>3978.5</v>
      </c>
      <c r="K57" s="20" t="s">
        <v>19</v>
      </c>
      <c r="L57" s="21" t="s">
        <v>113</v>
      </c>
      <c r="M57" s="22">
        <v>94</v>
      </c>
    </row>
    <row r="58" spans="1:13" ht="30.75" thickBot="1" x14ac:dyDescent="0.3">
      <c r="A58" t="s">
        <v>997</v>
      </c>
      <c r="B58">
        <v>28</v>
      </c>
      <c r="C58">
        <v>1405</v>
      </c>
      <c r="E58" s="29" t="s">
        <v>19</v>
      </c>
      <c r="F58" s="30" t="s">
        <v>997</v>
      </c>
      <c r="G58" s="31">
        <v>1405</v>
      </c>
      <c r="K58" s="20" t="s">
        <v>19</v>
      </c>
      <c r="L58" s="21" t="s">
        <v>997</v>
      </c>
      <c r="M58" s="22">
        <v>28</v>
      </c>
    </row>
    <row r="59" spans="1:13" ht="30.75" thickBot="1" x14ac:dyDescent="0.3">
      <c r="A59" t="s">
        <v>82</v>
      </c>
      <c r="B59">
        <v>179</v>
      </c>
      <c r="C59">
        <v>9869.0999999999985</v>
      </c>
      <c r="E59" s="29" t="s">
        <v>19</v>
      </c>
      <c r="F59" s="30" t="s">
        <v>82</v>
      </c>
      <c r="G59" s="31">
        <v>9869.1</v>
      </c>
      <c r="K59" s="20" t="s">
        <v>19</v>
      </c>
      <c r="L59" s="21" t="s">
        <v>82</v>
      </c>
      <c r="M59" s="22">
        <v>179</v>
      </c>
    </row>
    <row r="60" spans="1:13" ht="30.75" thickBot="1" x14ac:dyDescent="0.3">
      <c r="A60" t="s">
        <v>243</v>
      </c>
      <c r="B60">
        <v>15</v>
      </c>
      <c r="C60">
        <v>615.29999999999995</v>
      </c>
      <c r="E60" s="29" t="s">
        <v>19</v>
      </c>
      <c r="F60" s="30" t="s">
        <v>243</v>
      </c>
      <c r="G60" s="31">
        <v>615.29999999999995</v>
      </c>
      <c r="K60" s="20" t="s">
        <v>19</v>
      </c>
      <c r="L60" s="21" t="s">
        <v>243</v>
      </c>
      <c r="M60" s="22">
        <v>15</v>
      </c>
    </row>
    <row r="61" spans="1:13" ht="30.75" thickBot="1" x14ac:dyDescent="0.3">
      <c r="A61" t="s">
        <v>1911</v>
      </c>
      <c r="B61">
        <v>3</v>
      </c>
      <c r="C61">
        <v>285</v>
      </c>
      <c r="E61" s="32" t="s">
        <v>19</v>
      </c>
      <c r="F61" s="33" t="s">
        <v>1911</v>
      </c>
      <c r="G61" s="34">
        <v>285</v>
      </c>
      <c r="K61" s="20" t="s">
        <v>19</v>
      </c>
      <c r="L61" s="21" t="s">
        <v>1911</v>
      </c>
      <c r="M61" s="22">
        <v>3</v>
      </c>
    </row>
    <row r="62" spans="1:13" ht="15.75" thickBot="1" x14ac:dyDescent="0.3">
      <c r="A62" t="s">
        <v>2561</v>
      </c>
      <c r="B62">
        <v>11997</v>
      </c>
      <c r="C62">
        <v>649019.79999999981</v>
      </c>
      <c r="E62" s="36" t="s">
        <v>2561</v>
      </c>
      <c r="F62" s="37"/>
      <c r="G62" s="35">
        <v>649019.80000000005</v>
      </c>
      <c r="K62" s="23" t="s">
        <v>2561</v>
      </c>
      <c r="L62" s="24"/>
      <c r="M62" s="25">
        <v>11997</v>
      </c>
    </row>
    <row r="63" spans="1:13" ht="15.75" thickBot="1" x14ac:dyDescent="0.3">
      <c r="K63" s="26"/>
      <c r="L63" s="26"/>
      <c r="M63" s="26"/>
    </row>
  </sheetData>
  <mergeCells count="1">
    <mergeCell ref="E62:F62"/>
  </mergeCell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C64EC-2B80-445E-98D9-3F0C37691435}">
  <dimension ref="A3:G25"/>
  <sheetViews>
    <sheetView topLeftCell="A13" workbookViewId="0">
      <selection activeCell="O19" sqref="O19"/>
    </sheetView>
  </sheetViews>
  <sheetFormatPr defaultRowHeight="15" x14ac:dyDescent="0.25"/>
  <cols>
    <col min="1" max="1" width="13.5703125" bestFit="1" customWidth="1"/>
    <col min="2" max="2" width="16.28515625" bestFit="1" customWidth="1"/>
    <col min="3" max="4" width="4" bestFit="1" customWidth="1"/>
    <col min="5" max="5" width="5" bestFit="1" customWidth="1"/>
    <col min="6" max="6" width="4" bestFit="1" customWidth="1"/>
    <col min="7" max="7" width="11.28515625" customWidth="1"/>
    <col min="8" max="10" width="8.28515625" customWidth="1"/>
    <col min="11" max="32" width="9.28515625" customWidth="1"/>
    <col min="33" max="41" width="8.7109375" customWidth="1"/>
    <col min="42" max="60" width="9.7109375" customWidth="1"/>
    <col min="61" max="69" width="8.7109375" customWidth="1"/>
    <col min="70" max="89" width="9.7109375" customWidth="1"/>
    <col min="90" max="90" width="11.28515625" customWidth="1"/>
  </cols>
  <sheetData>
    <row r="3" spans="1:2" x14ac:dyDescent="0.25">
      <c r="A3" s="12" t="s">
        <v>2560</v>
      </c>
      <c r="B3" t="s">
        <v>2552</v>
      </c>
    </row>
    <row r="4" spans="1:2" x14ac:dyDescent="0.25">
      <c r="A4" s="13">
        <v>0</v>
      </c>
      <c r="B4">
        <v>175</v>
      </c>
    </row>
    <row r="5" spans="1:2" x14ac:dyDescent="0.25">
      <c r="A5" s="13">
        <v>1</v>
      </c>
      <c r="B5">
        <v>888</v>
      </c>
    </row>
    <row r="6" spans="1:2" x14ac:dyDescent="0.25">
      <c r="A6" s="13">
        <v>2</v>
      </c>
      <c r="B6">
        <v>538</v>
      </c>
    </row>
    <row r="7" spans="1:2" x14ac:dyDescent="0.25">
      <c r="A7" s="13">
        <v>3</v>
      </c>
      <c r="B7">
        <v>344</v>
      </c>
    </row>
    <row r="8" spans="1:2" x14ac:dyDescent="0.25">
      <c r="A8" s="13">
        <v>4</v>
      </c>
      <c r="B8">
        <v>200</v>
      </c>
    </row>
    <row r="9" spans="1:2" x14ac:dyDescent="0.25">
      <c r="A9" s="13">
        <v>5</v>
      </c>
      <c r="B9">
        <v>94</v>
      </c>
    </row>
    <row r="10" spans="1:2" x14ac:dyDescent="0.25">
      <c r="A10" s="13">
        <v>6</v>
      </c>
      <c r="B10">
        <v>51</v>
      </c>
    </row>
    <row r="11" spans="1:2" x14ac:dyDescent="0.25">
      <c r="A11" s="13">
        <v>7</v>
      </c>
      <c r="B11">
        <v>32</v>
      </c>
    </row>
    <row r="12" spans="1:2" x14ac:dyDescent="0.25">
      <c r="A12" s="13">
        <v>8</v>
      </c>
      <c r="B12">
        <v>23</v>
      </c>
    </row>
    <row r="13" spans="1:2" x14ac:dyDescent="0.25">
      <c r="A13" s="13">
        <v>9</v>
      </c>
      <c r="B13">
        <v>9</v>
      </c>
    </row>
    <row r="14" spans="1:2" x14ac:dyDescent="0.25">
      <c r="A14" s="13">
        <v>10</v>
      </c>
      <c r="B14">
        <v>8</v>
      </c>
    </row>
    <row r="15" spans="1:2" x14ac:dyDescent="0.25">
      <c r="A15" s="13">
        <v>11</v>
      </c>
      <c r="B15">
        <v>11</v>
      </c>
    </row>
    <row r="16" spans="1:2" x14ac:dyDescent="0.25">
      <c r="A16" s="13">
        <v>12</v>
      </c>
      <c r="B16">
        <v>4</v>
      </c>
    </row>
    <row r="17" spans="1:7" x14ac:dyDescent="0.25">
      <c r="A17" s="13">
        <v>13</v>
      </c>
      <c r="B17">
        <v>10</v>
      </c>
    </row>
    <row r="18" spans="1:7" x14ac:dyDescent="0.25">
      <c r="A18" s="13">
        <v>14</v>
      </c>
      <c r="B18">
        <v>13</v>
      </c>
    </row>
    <row r="19" spans="1:7" x14ac:dyDescent="0.25">
      <c r="A19" s="13" t="s">
        <v>2561</v>
      </c>
      <c r="B19">
        <v>2400</v>
      </c>
    </row>
    <row r="20" spans="1:7" x14ac:dyDescent="0.25">
      <c r="A20" s="12" t="s">
        <v>2552</v>
      </c>
      <c r="B20" s="12" t="s">
        <v>2563</v>
      </c>
    </row>
    <row r="21" spans="1:7" x14ac:dyDescent="0.25">
      <c r="A21" s="12" t="s">
        <v>2560</v>
      </c>
      <c r="B21">
        <v>1</v>
      </c>
      <c r="C21">
        <v>2</v>
      </c>
      <c r="D21">
        <v>3</v>
      </c>
      <c r="E21">
        <v>4</v>
      </c>
      <c r="F21">
        <v>5</v>
      </c>
      <c r="G21" t="s">
        <v>2561</v>
      </c>
    </row>
    <row r="22" spans="1:7" x14ac:dyDescent="0.25">
      <c r="A22" s="13" t="s">
        <v>2571</v>
      </c>
      <c r="B22">
        <v>7</v>
      </c>
      <c r="C22">
        <v>37</v>
      </c>
      <c r="D22">
        <v>150</v>
      </c>
      <c r="E22">
        <v>312</v>
      </c>
      <c r="F22">
        <v>224</v>
      </c>
      <c r="G22">
        <v>730</v>
      </c>
    </row>
    <row r="23" spans="1:7" x14ac:dyDescent="0.25">
      <c r="A23" s="13" t="s">
        <v>2572</v>
      </c>
      <c r="B23">
        <v>8</v>
      </c>
      <c r="C23">
        <v>51</v>
      </c>
      <c r="D23">
        <v>182</v>
      </c>
      <c r="E23">
        <v>373</v>
      </c>
      <c r="F23">
        <v>247</v>
      </c>
      <c r="G23">
        <v>861</v>
      </c>
    </row>
    <row r="24" spans="1:7" x14ac:dyDescent="0.25">
      <c r="A24" s="13" t="s">
        <v>2573</v>
      </c>
      <c r="B24">
        <v>6</v>
      </c>
      <c r="C24">
        <v>39</v>
      </c>
      <c r="D24">
        <v>163</v>
      </c>
      <c r="E24">
        <v>351</v>
      </c>
      <c r="F24">
        <v>250</v>
      </c>
      <c r="G24">
        <v>809</v>
      </c>
    </row>
    <row r="25" spans="1:7" x14ac:dyDescent="0.25">
      <c r="A25" s="13" t="s">
        <v>2561</v>
      </c>
      <c r="B25">
        <v>21</v>
      </c>
      <c r="C25">
        <v>127</v>
      </c>
      <c r="D25">
        <v>495</v>
      </c>
      <c r="E25">
        <v>1036</v>
      </c>
      <c r="F25">
        <v>721</v>
      </c>
      <c r="G25">
        <v>2400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dimension ref="A1:O2401"/>
  <sheetViews>
    <sheetView topLeftCell="A2" workbookViewId="0">
      <selection activeCell="K21" sqref="K21"/>
    </sheetView>
  </sheetViews>
  <sheetFormatPr defaultRowHeight="15" x14ac:dyDescent="0.25"/>
  <cols>
    <col min="2" max="2" width="19.140625" customWidth="1"/>
    <col min="3" max="3" width="8.140625" customWidth="1"/>
    <col min="4" max="4" width="9.140625" customWidth="1"/>
    <col min="5" max="5" width="7.42578125" customWidth="1"/>
    <col min="6" max="6" width="10" customWidth="1"/>
    <col min="7" max="7" width="9.42578125" customWidth="1"/>
    <col min="8" max="8" width="15.7109375" customWidth="1"/>
    <col min="9" max="9" width="10.7109375" customWidth="1"/>
    <col min="10" max="10" width="7.7109375" customWidth="1"/>
    <col min="11" max="11" width="8.7109375" customWidth="1"/>
    <col min="12" max="12" width="19.7109375" customWidth="1"/>
    <col min="13" max="13" width="13.28515625" customWidth="1"/>
    <col min="14" max="14" width="9.28515625" customWidth="1"/>
    <col min="15" max="15" width="12.140625" customWidth="1"/>
  </cols>
  <sheetData>
    <row r="1" spans="1:15" x14ac:dyDescent="0.25">
      <c r="A1" t="s">
        <v>0</v>
      </c>
      <c r="B1" t="s">
        <v>1</v>
      </c>
      <c r="C1" t="s">
        <v>2</v>
      </c>
      <c r="D1" t="s">
        <v>3</v>
      </c>
      <c r="E1" t="s">
        <v>4</v>
      </c>
      <c r="F1" t="s">
        <v>5</v>
      </c>
      <c r="G1" t="s">
        <v>6</v>
      </c>
      <c r="H1" t="s">
        <v>7</v>
      </c>
      <c r="I1" t="s">
        <v>8</v>
      </c>
      <c r="J1" t="s">
        <v>9</v>
      </c>
      <c r="K1" t="s">
        <v>10</v>
      </c>
      <c r="L1" t="s">
        <v>11</v>
      </c>
      <c r="M1" s="2" t="s">
        <v>12</v>
      </c>
      <c r="N1" s="2" t="s">
        <v>13</v>
      </c>
      <c r="O1" s="2" t="s">
        <v>14</v>
      </c>
    </row>
    <row r="2" spans="1:15" x14ac:dyDescent="0.25">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x14ac:dyDescent="0.25">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x14ac:dyDescent="0.25">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x14ac:dyDescent="0.25">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x14ac:dyDescent="0.25">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x14ac:dyDescent="0.25">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x14ac:dyDescent="0.25">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x14ac:dyDescent="0.25">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x14ac:dyDescent="0.25">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x14ac:dyDescent="0.25">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x14ac:dyDescent="0.25">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x14ac:dyDescent="0.25">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x14ac:dyDescent="0.25">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x14ac:dyDescent="0.25">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x14ac:dyDescent="0.25">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x14ac:dyDescent="0.25">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x14ac:dyDescent="0.25">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x14ac:dyDescent="0.25">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x14ac:dyDescent="0.25">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x14ac:dyDescent="0.25">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x14ac:dyDescent="0.25">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x14ac:dyDescent="0.25">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x14ac:dyDescent="0.25">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x14ac:dyDescent="0.25">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x14ac:dyDescent="0.25">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x14ac:dyDescent="0.25">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x14ac:dyDescent="0.25">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x14ac:dyDescent="0.25">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x14ac:dyDescent="0.25">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x14ac:dyDescent="0.25">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x14ac:dyDescent="0.25">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x14ac:dyDescent="0.25">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x14ac:dyDescent="0.25">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x14ac:dyDescent="0.25">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x14ac:dyDescent="0.25">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x14ac:dyDescent="0.25">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x14ac:dyDescent="0.25">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x14ac:dyDescent="0.25">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x14ac:dyDescent="0.25">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x14ac:dyDescent="0.25">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x14ac:dyDescent="0.25">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x14ac:dyDescent="0.25">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x14ac:dyDescent="0.25">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x14ac:dyDescent="0.25">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x14ac:dyDescent="0.25">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x14ac:dyDescent="0.25">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x14ac:dyDescent="0.25">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x14ac:dyDescent="0.25">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x14ac:dyDescent="0.25">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x14ac:dyDescent="0.25">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x14ac:dyDescent="0.25">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x14ac:dyDescent="0.25">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x14ac:dyDescent="0.25">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x14ac:dyDescent="0.25">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x14ac:dyDescent="0.25">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x14ac:dyDescent="0.25">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x14ac:dyDescent="0.25">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x14ac:dyDescent="0.25">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x14ac:dyDescent="0.25">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x14ac:dyDescent="0.25">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x14ac:dyDescent="0.25">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x14ac:dyDescent="0.25">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x14ac:dyDescent="0.25">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x14ac:dyDescent="0.25">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x14ac:dyDescent="0.25">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x14ac:dyDescent="0.25">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x14ac:dyDescent="0.25">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x14ac:dyDescent="0.25">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x14ac:dyDescent="0.25">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x14ac:dyDescent="0.25">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x14ac:dyDescent="0.25">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x14ac:dyDescent="0.25">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x14ac:dyDescent="0.25">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x14ac:dyDescent="0.25">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x14ac:dyDescent="0.25">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x14ac:dyDescent="0.25">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x14ac:dyDescent="0.25">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x14ac:dyDescent="0.25">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x14ac:dyDescent="0.25">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x14ac:dyDescent="0.25">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x14ac:dyDescent="0.25">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x14ac:dyDescent="0.25">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x14ac:dyDescent="0.25">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x14ac:dyDescent="0.25">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x14ac:dyDescent="0.25">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x14ac:dyDescent="0.25">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x14ac:dyDescent="0.25">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x14ac:dyDescent="0.25">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x14ac:dyDescent="0.25">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x14ac:dyDescent="0.25">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x14ac:dyDescent="0.25">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x14ac:dyDescent="0.25">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x14ac:dyDescent="0.25">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x14ac:dyDescent="0.25">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x14ac:dyDescent="0.25">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x14ac:dyDescent="0.25">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x14ac:dyDescent="0.25">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x14ac:dyDescent="0.25">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x14ac:dyDescent="0.25">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x14ac:dyDescent="0.25">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x14ac:dyDescent="0.25">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x14ac:dyDescent="0.25">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x14ac:dyDescent="0.25">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x14ac:dyDescent="0.25">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x14ac:dyDescent="0.25">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x14ac:dyDescent="0.25">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x14ac:dyDescent="0.25">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x14ac:dyDescent="0.25">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x14ac:dyDescent="0.25">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x14ac:dyDescent="0.25">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x14ac:dyDescent="0.25">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x14ac:dyDescent="0.25">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x14ac:dyDescent="0.25">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x14ac:dyDescent="0.25">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x14ac:dyDescent="0.25">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x14ac:dyDescent="0.25">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x14ac:dyDescent="0.25">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x14ac:dyDescent="0.25">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x14ac:dyDescent="0.25">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x14ac:dyDescent="0.25">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x14ac:dyDescent="0.25">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x14ac:dyDescent="0.25">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x14ac:dyDescent="0.25">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x14ac:dyDescent="0.25">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x14ac:dyDescent="0.25">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x14ac:dyDescent="0.25">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x14ac:dyDescent="0.25">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x14ac:dyDescent="0.25">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x14ac:dyDescent="0.25">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x14ac:dyDescent="0.25">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x14ac:dyDescent="0.25">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x14ac:dyDescent="0.25">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x14ac:dyDescent="0.25">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x14ac:dyDescent="0.25">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x14ac:dyDescent="0.25">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x14ac:dyDescent="0.25">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x14ac:dyDescent="0.25">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x14ac:dyDescent="0.25">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x14ac:dyDescent="0.25">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x14ac:dyDescent="0.25">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x14ac:dyDescent="0.25">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x14ac:dyDescent="0.25">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x14ac:dyDescent="0.25">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x14ac:dyDescent="0.25">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x14ac:dyDescent="0.25">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x14ac:dyDescent="0.25">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x14ac:dyDescent="0.25">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x14ac:dyDescent="0.25">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x14ac:dyDescent="0.25">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x14ac:dyDescent="0.25">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x14ac:dyDescent="0.25">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x14ac:dyDescent="0.25">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x14ac:dyDescent="0.25">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x14ac:dyDescent="0.25">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x14ac:dyDescent="0.25">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x14ac:dyDescent="0.25">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x14ac:dyDescent="0.25">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x14ac:dyDescent="0.25">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x14ac:dyDescent="0.25">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x14ac:dyDescent="0.25">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x14ac:dyDescent="0.25">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x14ac:dyDescent="0.25">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x14ac:dyDescent="0.25">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x14ac:dyDescent="0.25">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x14ac:dyDescent="0.25">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x14ac:dyDescent="0.25">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x14ac:dyDescent="0.25">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x14ac:dyDescent="0.25">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x14ac:dyDescent="0.25">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x14ac:dyDescent="0.25">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x14ac:dyDescent="0.25">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x14ac:dyDescent="0.25">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x14ac:dyDescent="0.25">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x14ac:dyDescent="0.25">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x14ac:dyDescent="0.25">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x14ac:dyDescent="0.25">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x14ac:dyDescent="0.25">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x14ac:dyDescent="0.25">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x14ac:dyDescent="0.25">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x14ac:dyDescent="0.25">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x14ac:dyDescent="0.25">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x14ac:dyDescent="0.25">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x14ac:dyDescent="0.25">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x14ac:dyDescent="0.25">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x14ac:dyDescent="0.25">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x14ac:dyDescent="0.25">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x14ac:dyDescent="0.25">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x14ac:dyDescent="0.25">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x14ac:dyDescent="0.25">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x14ac:dyDescent="0.25">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x14ac:dyDescent="0.25">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x14ac:dyDescent="0.25">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x14ac:dyDescent="0.25">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x14ac:dyDescent="0.25">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x14ac:dyDescent="0.25">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x14ac:dyDescent="0.25">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x14ac:dyDescent="0.25">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x14ac:dyDescent="0.25">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x14ac:dyDescent="0.25">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x14ac:dyDescent="0.25">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x14ac:dyDescent="0.25">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x14ac:dyDescent="0.25">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x14ac:dyDescent="0.25">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x14ac:dyDescent="0.25">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x14ac:dyDescent="0.25">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x14ac:dyDescent="0.25">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x14ac:dyDescent="0.25">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x14ac:dyDescent="0.25">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x14ac:dyDescent="0.25">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x14ac:dyDescent="0.25">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x14ac:dyDescent="0.25">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x14ac:dyDescent="0.25">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x14ac:dyDescent="0.25">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x14ac:dyDescent="0.25">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x14ac:dyDescent="0.25">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x14ac:dyDescent="0.25">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x14ac:dyDescent="0.25">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x14ac:dyDescent="0.25">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x14ac:dyDescent="0.25">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x14ac:dyDescent="0.25">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x14ac:dyDescent="0.25">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x14ac:dyDescent="0.25">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x14ac:dyDescent="0.25">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x14ac:dyDescent="0.25">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x14ac:dyDescent="0.25">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x14ac:dyDescent="0.25">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x14ac:dyDescent="0.25">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x14ac:dyDescent="0.25">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x14ac:dyDescent="0.25">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x14ac:dyDescent="0.25">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x14ac:dyDescent="0.25">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x14ac:dyDescent="0.25">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x14ac:dyDescent="0.25">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x14ac:dyDescent="0.25">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x14ac:dyDescent="0.25">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x14ac:dyDescent="0.25">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x14ac:dyDescent="0.25">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x14ac:dyDescent="0.25">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x14ac:dyDescent="0.25">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x14ac:dyDescent="0.25">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x14ac:dyDescent="0.25">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x14ac:dyDescent="0.25">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x14ac:dyDescent="0.25">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x14ac:dyDescent="0.25">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x14ac:dyDescent="0.25">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x14ac:dyDescent="0.25">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x14ac:dyDescent="0.25">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x14ac:dyDescent="0.25">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x14ac:dyDescent="0.25">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x14ac:dyDescent="0.25">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x14ac:dyDescent="0.25">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x14ac:dyDescent="0.25">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x14ac:dyDescent="0.25">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x14ac:dyDescent="0.25">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x14ac:dyDescent="0.25">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x14ac:dyDescent="0.25">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x14ac:dyDescent="0.25">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x14ac:dyDescent="0.25">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x14ac:dyDescent="0.25">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x14ac:dyDescent="0.25">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x14ac:dyDescent="0.25">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x14ac:dyDescent="0.25">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x14ac:dyDescent="0.25">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x14ac:dyDescent="0.25">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x14ac:dyDescent="0.25">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x14ac:dyDescent="0.25">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x14ac:dyDescent="0.25">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x14ac:dyDescent="0.25">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x14ac:dyDescent="0.25">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x14ac:dyDescent="0.25">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x14ac:dyDescent="0.25">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x14ac:dyDescent="0.25">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x14ac:dyDescent="0.25">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x14ac:dyDescent="0.25">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x14ac:dyDescent="0.25">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x14ac:dyDescent="0.25">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x14ac:dyDescent="0.25">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x14ac:dyDescent="0.25">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x14ac:dyDescent="0.25">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x14ac:dyDescent="0.25">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x14ac:dyDescent="0.25">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x14ac:dyDescent="0.25">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x14ac:dyDescent="0.25">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x14ac:dyDescent="0.25">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x14ac:dyDescent="0.25">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x14ac:dyDescent="0.25">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x14ac:dyDescent="0.25">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x14ac:dyDescent="0.25">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x14ac:dyDescent="0.25">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x14ac:dyDescent="0.25">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x14ac:dyDescent="0.25">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x14ac:dyDescent="0.25">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x14ac:dyDescent="0.25">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x14ac:dyDescent="0.25">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x14ac:dyDescent="0.25">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x14ac:dyDescent="0.25">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x14ac:dyDescent="0.25">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x14ac:dyDescent="0.25">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x14ac:dyDescent="0.25">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x14ac:dyDescent="0.25">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x14ac:dyDescent="0.25">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x14ac:dyDescent="0.25">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x14ac:dyDescent="0.25">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x14ac:dyDescent="0.25">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x14ac:dyDescent="0.25">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x14ac:dyDescent="0.25">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x14ac:dyDescent="0.25">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x14ac:dyDescent="0.25">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x14ac:dyDescent="0.25">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x14ac:dyDescent="0.25">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x14ac:dyDescent="0.25">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x14ac:dyDescent="0.25">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x14ac:dyDescent="0.25">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x14ac:dyDescent="0.25">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x14ac:dyDescent="0.25">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x14ac:dyDescent="0.25">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x14ac:dyDescent="0.25">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x14ac:dyDescent="0.25">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x14ac:dyDescent="0.25">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x14ac:dyDescent="0.25">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x14ac:dyDescent="0.25">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x14ac:dyDescent="0.25">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x14ac:dyDescent="0.25">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x14ac:dyDescent="0.25">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x14ac:dyDescent="0.25">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x14ac:dyDescent="0.25">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x14ac:dyDescent="0.25">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x14ac:dyDescent="0.25">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x14ac:dyDescent="0.25">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x14ac:dyDescent="0.25">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x14ac:dyDescent="0.25">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x14ac:dyDescent="0.25">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x14ac:dyDescent="0.25">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x14ac:dyDescent="0.25">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x14ac:dyDescent="0.25">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x14ac:dyDescent="0.25">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x14ac:dyDescent="0.25">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x14ac:dyDescent="0.25">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x14ac:dyDescent="0.25">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x14ac:dyDescent="0.25">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x14ac:dyDescent="0.25">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x14ac:dyDescent="0.25">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x14ac:dyDescent="0.25">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x14ac:dyDescent="0.25">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x14ac:dyDescent="0.25">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x14ac:dyDescent="0.25">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x14ac:dyDescent="0.25">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x14ac:dyDescent="0.25">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x14ac:dyDescent="0.25">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x14ac:dyDescent="0.25">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x14ac:dyDescent="0.25">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x14ac:dyDescent="0.25">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x14ac:dyDescent="0.25">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x14ac:dyDescent="0.25">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x14ac:dyDescent="0.25">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x14ac:dyDescent="0.25">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x14ac:dyDescent="0.25">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x14ac:dyDescent="0.25">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x14ac:dyDescent="0.25">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x14ac:dyDescent="0.25">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x14ac:dyDescent="0.25">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x14ac:dyDescent="0.25">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x14ac:dyDescent="0.25">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x14ac:dyDescent="0.25">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x14ac:dyDescent="0.25">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x14ac:dyDescent="0.25">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x14ac:dyDescent="0.25">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x14ac:dyDescent="0.25">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x14ac:dyDescent="0.25">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x14ac:dyDescent="0.25">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x14ac:dyDescent="0.25">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x14ac:dyDescent="0.25">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x14ac:dyDescent="0.25">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x14ac:dyDescent="0.25">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x14ac:dyDescent="0.25">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x14ac:dyDescent="0.25">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x14ac:dyDescent="0.25">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x14ac:dyDescent="0.25">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x14ac:dyDescent="0.25">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x14ac:dyDescent="0.25">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x14ac:dyDescent="0.25">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x14ac:dyDescent="0.25">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x14ac:dyDescent="0.25">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x14ac:dyDescent="0.25">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x14ac:dyDescent="0.25">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x14ac:dyDescent="0.25">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x14ac:dyDescent="0.25">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x14ac:dyDescent="0.25">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x14ac:dyDescent="0.25">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x14ac:dyDescent="0.25">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x14ac:dyDescent="0.25">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x14ac:dyDescent="0.25">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x14ac:dyDescent="0.25">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x14ac:dyDescent="0.25">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x14ac:dyDescent="0.25">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x14ac:dyDescent="0.25">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x14ac:dyDescent="0.25">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x14ac:dyDescent="0.25">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x14ac:dyDescent="0.25">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x14ac:dyDescent="0.25">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x14ac:dyDescent="0.25">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x14ac:dyDescent="0.25">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x14ac:dyDescent="0.25">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x14ac:dyDescent="0.25">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x14ac:dyDescent="0.25">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x14ac:dyDescent="0.25">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x14ac:dyDescent="0.25">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x14ac:dyDescent="0.25">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x14ac:dyDescent="0.25">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x14ac:dyDescent="0.25">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x14ac:dyDescent="0.25">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x14ac:dyDescent="0.25">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x14ac:dyDescent="0.25">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x14ac:dyDescent="0.25">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x14ac:dyDescent="0.25">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x14ac:dyDescent="0.25">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x14ac:dyDescent="0.25">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x14ac:dyDescent="0.25">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x14ac:dyDescent="0.25">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x14ac:dyDescent="0.25">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x14ac:dyDescent="0.25">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x14ac:dyDescent="0.25">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x14ac:dyDescent="0.25">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x14ac:dyDescent="0.25">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x14ac:dyDescent="0.25">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x14ac:dyDescent="0.25">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x14ac:dyDescent="0.25">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x14ac:dyDescent="0.25">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x14ac:dyDescent="0.25">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x14ac:dyDescent="0.25">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x14ac:dyDescent="0.25">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x14ac:dyDescent="0.25">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x14ac:dyDescent="0.25">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x14ac:dyDescent="0.25">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x14ac:dyDescent="0.25">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x14ac:dyDescent="0.25">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x14ac:dyDescent="0.25">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x14ac:dyDescent="0.25">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x14ac:dyDescent="0.25">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x14ac:dyDescent="0.25">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x14ac:dyDescent="0.25">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x14ac:dyDescent="0.25">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x14ac:dyDescent="0.25">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x14ac:dyDescent="0.25">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x14ac:dyDescent="0.25">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x14ac:dyDescent="0.25">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x14ac:dyDescent="0.25">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x14ac:dyDescent="0.25">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x14ac:dyDescent="0.25">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x14ac:dyDescent="0.25">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x14ac:dyDescent="0.25">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x14ac:dyDescent="0.25">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x14ac:dyDescent="0.25">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x14ac:dyDescent="0.25">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x14ac:dyDescent="0.25">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x14ac:dyDescent="0.25">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x14ac:dyDescent="0.25">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x14ac:dyDescent="0.25">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x14ac:dyDescent="0.25">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x14ac:dyDescent="0.25">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x14ac:dyDescent="0.25">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x14ac:dyDescent="0.25">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x14ac:dyDescent="0.25">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x14ac:dyDescent="0.25">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x14ac:dyDescent="0.25">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x14ac:dyDescent="0.25">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x14ac:dyDescent="0.25">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x14ac:dyDescent="0.25">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x14ac:dyDescent="0.25">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x14ac:dyDescent="0.25">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x14ac:dyDescent="0.25">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x14ac:dyDescent="0.25">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x14ac:dyDescent="0.25">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x14ac:dyDescent="0.25">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x14ac:dyDescent="0.25">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x14ac:dyDescent="0.25">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x14ac:dyDescent="0.25">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x14ac:dyDescent="0.25">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x14ac:dyDescent="0.25">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x14ac:dyDescent="0.25">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x14ac:dyDescent="0.25">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x14ac:dyDescent="0.25">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x14ac:dyDescent="0.25">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x14ac:dyDescent="0.25">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x14ac:dyDescent="0.25">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x14ac:dyDescent="0.25">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x14ac:dyDescent="0.25">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x14ac:dyDescent="0.25">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x14ac:dyDescent="0.25">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x14ac:dyDescent="0.25">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x14ac:dyDescent="0.25">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x14ac:dyDescent="0.25">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x14ac:dyDescent="0.25">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x14ac:dyDescent="0.25">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x14ac:dyDescent="0.25">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x14ac:dyDescent="0.25">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x14ac:dyDescent="0.25">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x14ac:dyDescent="0.25">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x14ac:dyDescent="0.25">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x14ac:dyDescent="0.25">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x14ac:dyDescent="0.25">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x14ac:dyDescent="0.25">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x14ac:dyDescent="0.25">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x14ac:dyDescent="0.25">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x14ac:dyDescent="0.25">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x14ac:dyDescent="0.25">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x14ac:dyDescent="0.25">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x14ac:dyDescent="0.25">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x14ac:dyDescent="0.25">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x14ac:dyDescent="0.25">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x14ac:dyDescent="0.25">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x14ac:dyDescent="0.25">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x14ac:dyDescent="0.25">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x14ac:dyDescent="0.25">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x14ac:dyDescent="0.25">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x14ac:dyDescent="0.25">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x14ac:dyDescent="0.25">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x14ac:dyDescent="0.25">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x14ac:dyDescent="0.25">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x14ac:dyDescent="0.25">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x14ac:dyDescent="0.25">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x14ac:dyDescent="0.25">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x14ac:dyDescent="0.25">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x14ac:dyDescent="0.25">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x14ac:dyDescent="0.25">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x14ac:dyDescent="0.25">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x14ac:dyDescent="0.25">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x14ac:dyDescent="0.25">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x14ac:dyDescent="0.25">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x14ac:dyDescent="0.25">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x14ac:dyDescent="0.25">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x14ac:dyDescent="0.25">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x14ac:dyDescent="0.25">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x14ac:dyDescent="0.25">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x14ac:dyDescent="0.25">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x14ac:dyDescent="0.25">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x14ac:dyDescent="0.25">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x14ac:dyDescent="0.25">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x14ac:dyDescent="0.25">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x14ac:dyDescent="0.25">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x14ac:dyDescent="0.25">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x14ac:dyDescent="0.25">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x14ac:dyDescent="0.25">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x14ac:dyDescent="0.25">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x14ac:dyDescent="0.25">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x14ac:dyDescent="0.25">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x14ac:dyDescent="0.25">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x14ac:dyDescent="0.25">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x14ac:dyDescent="0.25">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x14ac:dyDescent="0.25">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x14ac:dyDescent="0.25">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x14ac:dyDescent="0.25">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x14ac:dyDescent="0.25">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x14ac:dyDescent="0.25">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x14ac:dyDescent="0.25">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x14ac:dyDescent="0.25">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x14ac:dyDescent="0.25">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x14ac:dyDescent="0.25">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x14ac:dyDescent="0.25">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x14ac:dyDescent="0.25">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x14ac:dyDescent="0.25">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x14ac:dyDescent="0.25">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x14ac:dyDescent="0.25">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x14ac:dyDescent="0.25">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x14ac:dyDescent="0.25">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x14ac:dyDescent="0.25">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x14ac:dyDescent="0.25">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x14ac:dyDescent="0.25">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x14ac:dyDescent="0.25">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x14ac:dyDescent="0.25">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x14ac:dyDescent="0.25">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x14ac:dyDescent="0.25">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x14ac:dyDescent="0.25">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x14ac:dyDescent="0.25">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x14ac:dyDescent="0.25">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x14ac:dyDescent="0.25">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x14ac:dyDescent="0.25">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x14ac:dyDescent="0.25">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x14ac:dyDescent="0.25">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x14ac:dyDescent="0.25">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x14ac:dyDescent="0.25">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x14ac:dyDescent="0.25">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x14ac:dyDescent="0.25">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x14ac:dyDescent="0.25">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x14ac:dyDescent="0.25">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x14ac:dyDescent="0.25">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x14ac:dyDescent="0.25">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x14ac:dyDescent="0.25">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x14ac:dyDescent="0.25">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x14ac:dyDescent="0.25">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x14ac:dyDescent="0.25">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x14ac:dyDescent="0.25">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x14ac:dyDescent="0.25">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x14ac:dyDescent="0.25">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x14ac:dyDescent="0.25">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x14ac:dyDescent="0.25">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x14ac:dyDescent="0.25">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x14ac:dyDescent="0.25">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x14ac:dyDescent="0.25">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x14ac:dyDescent="0.25">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x14ac:dyDescent="0.25">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x14ac:dyDescent="0.25">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x14ac:dyDescent="0.25">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x14ac:dyDescent="0.25">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x14ac:dyDescent="0.25">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x14ac:dyDescent="0.25">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x14ac:dyDescent="0.25">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x14ac:dyDescent="0.25">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x14ac:dyDescent="0.25">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x14ac:dyDescent="0.25">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x14ac:dyDescent="0.25">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x14ac:dyDescent="0.25">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x14ac:dyDescent="0.25">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x14ac:dyDescent="0.25">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x14ac:dyDescent="0.25">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x14ac:dyDescent="0.25">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x14ac:dyDescent="0.25">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x14ac:dyDescent="0.25">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x14ac:dyDescent="0.25">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x14ac:dyDescent="0.25">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x14ac:dyDescent="0.25">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x14ac:dyDescent="0.25">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x14ac:dyDescent="0.25">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x14ac:dyDescent="0.25">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x14ac:dyDescent="0.25">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x14ac:dyDescent="0.25">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x14ac:dyDescent="0.25">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x14ac:dyDescent="0.25">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x14ac:dyDescent="0.25">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x14ac:dyDescent="0.25">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x14ac:dyDescent="0.25">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x14ac:dyDescent="0.25">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x14ac:dyDescent="0.25">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x14ac:dyDescent="0.25">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x14ac:dyDescent="0.25">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x14ac:dyDescent="0.25">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x14ac:dyDescent="0.25">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x14ac:dyDescent="0.25">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x14ac:dyDescent="0.25">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x14ac:dyDescent="0.25">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x14ac:dyDescent="0.25">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x14ac:dyDescent="0.25">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x14ac:dyDescent="0.25">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x14ac:dyDescent="0.25">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x14ac:dyDescent="0.25">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x14ac:dyDescent="0.25">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x14ac:dyDescent="0.25">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x14ac:dyDescent="0.25">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x14ac:dyDescent="0.25">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x14ac:dyDescent="0.25">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x14ac:dyDescent="0.25">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x14ac:dyDescent="0.25">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x14ac:dyDescent="0.25">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x14ac:dyDescent="0.25">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x14ac:dyDescent="0.25">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x14ac:dyDescent="0.25">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x14ac:dyDescent="0.25">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x14ac:dyDescent="0.25">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x14ac:dyDescent="0.25">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x14ac:dyDescent="0.25">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x14ac:dyDescent="0.25">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x14ac:dyDescent="0.25">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x14ac:dyDescent="0.25">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x14ac:dyDescent="0.25">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x14ac:dyDescent="0.25">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x14ac:dyDescent="0.25">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x14ac:dyDescent="0.25">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x14ac:dyDescent="0.25">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x14ac:dyDescent="0.25">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x14ac:dyDescent="0.25">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x14ac:dyDescent="0.25">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x14ac:dyDescent="0.25">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x14ac:dyDescent="0.25">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x14ac:dyDescent="0.25">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x14ac:dyDescent="0.25">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x14ac:dyDescent="0.25">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x14ac:dyDescent="0.25">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x14ac:dyDescent="0.25">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x14ac:dyDescent="0.25">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x14ac:dyDescent="0.25">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x14ac:dyDescent="0.25">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x14ac:dyDescent="0.25">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x14ac:dyDescent="0.25">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x14ac:dyDescent="0.25">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x14ac:dyDescent="0.25">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x14ac:dyDescent="0.25">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x14ac:dyDescent="0.25">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x14ac:dyDescent="0.25">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x14ac:dyDescent="0.25">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x14ac:dyDescent="0.25">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x14ac:dyDescent="0.25">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x14ac:dyDescent="0.25">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x14ac:dyDescent="0.25">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x14ac:dyDescent="0.25">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x14ac:dyDescent="0.25">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x14ac:dyDescent="0.25">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x14ac:dyDescent="0.25">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x14ac:dyDescent="0.25">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x14ac:dyDescent="0.25">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x14ac:dyDescent="0.25">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x14ac:dyDescent="0.25">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x14ac:dyDescent="0.25">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x14ac:dyDescent="0.25">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x14ac:dyDescent="0.25">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x14ac:dyDescent="0.25">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x14ac:dyDescent="0.25">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x14ac:dyDescent="0.25">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x14ac:dyDescent="0.25">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x14ac:dyDescent="0.25">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x14ac:dyDescent="0.25">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x14ac:dyDescent="0.25">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x14ac:dyDescent="0.25">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x14ac:dyDescent="0.25">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x14ac:dyDescent="0.25">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x14ac:dyDescent="0.25">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x14ac:dyDescent="0.25">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x14ac:dyDescent="0.25">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x14ac:dyDescent="0.25">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x14ac:dyDescent="0.25">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x14ac:dyDescent="0.25">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x14ac:dyDescent="0.25">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x14ac:dyDescent="0.25">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x14ac:dyDescent="0.25">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x14ac:dyDescent="0.25">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x14ac:dyDescent="0.25">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x14ac:dyDescent="0.25">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x14ac:dyDescent="0.25">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x14ac:dyDescent="0.25">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x14ac:dyDescent="0.25">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x14ac:dyDescent="0.25">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x14ac:dyDescent="0.25">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x14ac:dyDescent="0.25">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x14ac:dyDescent="0.25">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x14ac:dyDescent="0.25">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x14ac:dyDescent="0.25">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x14ac:dyDescent="0.25">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x14ac:dyDescent="0.25">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x14ac:dyDescent="0.25">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x14ac:dyDescent="0.25">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x14ac:dyDescent="0.25">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x14ac:dyDescent="0.25">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x14ac:dyDescent="0.25">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x14ac:dyDescent="0.25">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x14ac:dyDescent="0.25">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x14ac:dyDescent="0.25">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x14ac:dyDescent="0.25">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x14ac:dyDescent="0.25">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x14ac:dyDescent="0.25">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x14ac:dyDescent="0.25">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x14ac:dyDescent="0.25">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x14ac:dyDescent="0.25">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x14ac:dyDescent="0.25">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x14ac:dyDescent="0.25">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x14ac:dyDescent="0.25">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x14ac:dyDescent="0.25">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x14ac:dyDescent="0.25">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x14ac:dyDescent="0.25">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x14ac:dyDescent="0.25">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x14ac:dyDescent="0.25">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x14ac:dyDescent="0.25">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x14ac:dyDescent="0.25">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x14ac:dyDescent="0.25">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x14ac:dyDescent="0.25">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x14ac:dyDescent="0.25">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x14ac:dyDescent="0.25">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x14ac:dyDescent="0.25">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x14ac:dyDescent="0.25">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x14ac:dyDescent="0.25">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x14ac:dyDescent="0.25">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x14ac:dyDescent="0.25">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x14ac:dyDescent="0.25">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x14ac:dyDescent="0.25">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x14ac:dyDescent="0.25">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x14ac:dyDescent="0.25">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x14ac:dyDescent="0.25">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x14ac:dyDescent="0.25">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x14ac:dyDescent="0.25">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x14ac:dyDescent="0.25">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x14ac:dyDescent="0.25">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x14ac:dyDescent="0.25">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x14ac:dyDescent="0.25">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x14ac:dyDescent="0.25">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x14ac:dyDescent="0.25">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x14ac:dyDescent="0.25">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x14ac:dyDescent="0.25">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x14ac:dyDescent="0.25">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x14ac:dyDescent="0.25">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x14ac:dyDescent="0.25">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x14ac:dyDescent="0.25">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x14ac:dyDescent="0.25">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x14ac:dyDescent="0.25">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x14ac:dyDescent="0.25">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x14ac:dyDescent="0.25">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x14ac:dyDescent="0.25">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x14ac:dyDescent="0.25">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x14ac:dyDescent="0.25">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x14ac:dyDescent="0.25">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x14ac:dyDescent="0.25">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x14ac:dyDescent="0.25">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x14ac:dyDescent="0.25">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x14ac:dyDescent="0.25">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x14ac:dyDescent="0.25">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x14ac:dyDescent="0.25">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x14ac:dyDescent="0.25">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x14ac:dyDescent="0.25">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x14ac:dyDescent="0.25">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x14ac:dyDescent="0.25">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x14ac:dyDescent="0.25">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x14ac:dyDescent="0.25">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x14ac:dyDescent="0.25">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x14ac:dyDescent="0.25">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x14ac:dyDescent="0.25">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x14ac:dyDescent="0.25">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x14ac:dyDescent="0.25">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x14ac:dyDescent="0.25">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x14ac:dyDescent="0.25">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x14ac:dyDescent="0.25">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x14ac:dyDescent="0.25">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x14ac:dyDescent="0.25">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x14ac:dyDescent="0.25">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x14ac:dyDescent="0.25">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x14ac:dyDescent="0.25">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x14ac:dyDescent="0.25">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x14ac:dyDescent="0.25">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x14ac:dyDescent="0.25">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x14ac:dyDescent="0.25">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x14ac:dyDescent="0.25">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x14ac:dyDescent="0.25">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x14ac:dyDescent="0.25">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x14ac:dyDescent="0.25">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x14ac:dyDescent="0.25">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x14ac:dyDescent="0.25">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x14ac:dyDescent="0.25">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x14ac:dyDescent="0.25">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x14ac:dyDescent="0.25">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x14ac:dyDescent="0.25">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x14ac:dyDescent="0.25">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x14ac:dyDescent="0.25">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x14ac:dyDescent="0.25">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x14ac:dyDescent="0.25">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x14ac:dyDescent="0.25">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x14ac:dyDescent="0.25">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x14ac:dyDescent="0.25">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x14ac:dyDescent="0.25">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x14ac:dyDescent="0.25">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x14ac:dyDescent="0.25">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x14ac:dyDescent="0.25">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x14ac:dyDescent="0.25">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x14ac:dyDescent="0.25">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x14ac:dyDescent="0.25">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x14ac:dyDescent="0.25">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x14ac:dyDescent="0.25">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x14ac:dyDescent="0.25">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x14ac:dyDescent="0.25">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x14ac:dyDescent="0.25">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x14ac:dyDescent="0.25">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x14ac:dyDescent="0.25">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x14ac:dyDescent="0.25">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x14ac:dyDescent="0.25">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x14ac:dyDescent="0.25">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x14ac:dyDescent="0.25">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x14ac:dyDescent="0.25">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x14ac:dyDescent="0.25">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x14ac:dyDescent="0.25">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x14ac:dyDescent="0.25">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x14ac:dyDescent="0.25">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x14ac:dyDescent="0.25">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x14ac:dyDescent="0.25">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x14ac:dyDescent="0.25">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x14ac:dyDescent="0.25">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x14ac:dyDescent="0.25">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x14ac:dyDescent="0.25">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x14ac:dyDescent="0.25">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x14ac:dyDescent="0.25">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x14ac:dyDescent="0.25">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x14ac:dyDescent="0.25">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x14ac:dyDescent="0.25">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x14ac:dyDescent="0.25">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x14ac:dyDescent="0.25">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x14ac:dyDescent="0.25">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x14ac:dyDescent="0.25">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x14ac:dyDescent="0.25">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x14ac:dyDescent="0.25">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x14ac:dyDescent="0.25">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x14ac:dyDescent="0.25">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x14ac:dyDescent="0.25">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x14ac:dyDescent="0.25">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x14ac:dyDescent="0.25">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x14ac:dyDescent="0.25">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x14ac:dyDescent="0.25">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x14ac:dyDescent="0.25">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x14ac:dyDescent="0.25">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x14ac:dyDescent="0.25">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x14ac:dyDescent="0.25">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x14ac:dyDescent="0.25">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x14ac:dyDescent="0.25">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x14ac:dyDescent="0.25">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x14ac:dyDescent="0.25">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x14ac:dyDescent="0.25">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x14ac:dyDescent="0.25">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x14ac:dyDescent="0.25">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x14ac:dyDescent="0.25">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x14ac:dyDescent="0.25">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x14ac:dyDescent="0.25">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x14ac:dyDescent="0.25">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x14ac:dyDescent="0.25">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x14ac:dyDescent="0.25">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x14ac:dyDescent="0.25">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x14ac:dyDescent="0.25">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x14ac:dyDescent="0.25">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x14ac:dyDescent="0.25">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x14ac:dyDescent="0.25">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x14ac:dyDescent="0.25">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x14ac:dyDescent="0.25">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x14ac:dyDescent="0.25">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x14ac:dyDescent="0.25">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x14ac:dyDescent="0.25">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x14ac:dyDescent="0.25">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x14ac:dyDescent="0.25">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x14ac:dyDescent="0.25">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x14ac:dyDescent="0.25">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x14ac:dyDescent="0.25">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x14ac:dyDescent="0.25">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x14ac:dyDescent="0.25">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x14ac:dyDescent="0.25">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x14ac:dyDescent="0.25">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x14ac:dyDescent="0.25">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x14ac:dyDescent="0.25">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x14ac:dyDescent="0.25">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x14ac:dyDescent="0.25">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x14ac:dyDescent="0.25">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x14ac:dyDescent="0.25">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x14ac:dyDescent="0.25">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x14ac:dyDescent="0.25">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x14ac:dyDescent="0.25">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x14ac:dyDescent="0.25">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x14ac:dyDescent="0.25">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x14ac:dyDescent="0.25">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x14ac:dyDescent="0.25">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x14ac:dyDescent="0.25">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x14ac:dyDescent="0.25">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x14ac:dyDescent="0.25">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x14ac:dyDescent="0.25">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x14ac:dyDescent="0.25">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x14ac:dyDescent="0.25">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x14ac:dyDescent="0.25">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x14ac:dyDescent="0.25">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x14ac:dyDescent="0.25">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x14ac:dyDescent="0.25">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x14ac:dyDescent="0.25">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x14ac:dyDescent="0.25">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x14ac:dyDescent="0.25">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x14ac:dyDescent="0.25">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x14ac:dyDescent="0.25">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x14ac:dyDescent="0.25">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x14ac:dyDescent="0.25">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x14ac:dyDescent="0.25">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x14ac:dyDescent="0.25">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x14ac:dyDescent="0.25">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x14ac:dyDescent="0.25">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x14ac:dyDescent="0.25">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x14ac:dyDescent="0.25">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x14ac:dyDescent="0.25">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x14ac:dyDescent="0.25">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x14ac:dyDescent="0.25">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x14ac:dyDescent="0.25">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x14ac:dyDescent="0.25">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x14ac:dyDescent="0.25">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x14ac:dyDescent="0.25">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x14ac:dyDescent="0.25">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x14ac:dyDescent="0.25">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x14ac:dyDescent="0.25">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x14ac:dyDescent="0.25">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x14ac:dyDescent="0.25">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x14ac:dyDescent="0.25">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x14ac:dyDescent="0.25">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x14ac:dyDescent="0.25">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x14ac:dyDescent="0.25">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x14ac:dyDescent="0.25">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x14ac:dyDescent="0.25">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x14ac:dyDescent="0.25">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x14ac:dyDescent="0.25">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x14ac:dyDescent="0.25">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x14ac:dyDescent="0.25">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x14ac:dyDescent="0.25">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x14ac:dyDescent="0.25">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x14ac:dyDescent="0.25">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x14ac:dyDescent="0.25">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x14ac:dyDescent="0.25">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x14ac:dyDescent="0.25">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x14ac:dyDescent="0.25">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x14ac:dyDescent="0.25">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x14ac:dyDescent="0.25">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x14ac:dyDescent="0.25">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x14ac:dyDescent="0.25">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x14ac:dyDescent="0.25">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x14ac:dyDescent="0.25">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x14ac:dyDescent="0.25">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x14ac:dyDescent="0.25">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x14ac:dyDescent="0.25">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x14ac:dyDescent="0.25">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x14ac:dyDescent="0.25">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x14ac:dyDescent="0.25">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x14ac:dyDescent="0.25">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x14ac:dyDescent="0.25">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x14ac:dyDescent="0.25">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x14ac:dyDescent="0.25">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x14ac:dyDescent="0.25">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x14ac:dyDescent="0.25">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x14ac:dyDescent="0.25">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x14ac:dyDescent="0.25">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x14ac:dyDescent="0.25">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x14ac:dyDescent="0.25">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x14ac:dyDescent="0.25">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x14ac:dyDescent="0.25">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x14ac:dyDescent="0.25">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x14ac:dyDescent="0.25">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x14ac:dyDescent="0.25">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x14ac:dyDescent="0.25">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x14ac:dyDescent="0.25">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x14ac:dyDescent="0.25">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x14ac:dyDescent="0.25">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x14ac:dyDescent="0.25">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x14ac:dyDescent="0.25">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x14ac:dyDescent="0.25">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x14ac:dyDescent="0.25">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x14ac:dyDescent="0.25">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x14ac:dyDescent="0.25">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x14ac:dyDescent="0.25">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x14ac:dyDescent="0.25">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x14ac:dyDescent="0.25">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x14ac:dyDescent="0.25">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x14ac:dyDescent="0.25">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x14ac:dyDescent="0.25">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x14ac:dyDescent="0.25">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x14ac:dyDescent="0.25">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x14ac:dyDescent="0.25">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x14ac:dyDescent="0.25">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x14ac:dyDescent="0.25">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x14ac:dyDescent="0.25">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x14ac:dyDescent="0.25">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x14ac:dyDescent="0.25">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x14ac:dyDescent="0.25">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x14ac:dyDescent="0.25">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x14ac:dyDescent="0.25">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x14ac:dyDescent="0.25">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x14ac:dyDescent="0.25">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x14ac:dyDescent="0.25">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x14ac:dyDescent="0.25">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x14ac:dyDescent="0.25">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x14ac:dyDescent="0.25">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x14ac:dyDescent="0.25">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x14ac:dyDescent="0.25">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x14ac:dyDescent="0.25">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x14ac:dyDescent="0.25">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x14ac:dyDescent="0.25">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x14ac:dyDescent="0.25">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x14ac:dyDescent="0.25">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x14ac:dyDescent="0.25">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x14ac:dyDescent="0.25">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x14ac:dyDescent="0.25">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x14ac:dyDescent="0.25">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x14ac:dyDescent="0.25">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x14ac:dyDescent="0.25">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x14ac:dyDescent="0.25">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x14ac:dyDescent="0.25">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x14ac:dyDescent="0.25">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x14ac:dyDescent="0.25">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x14ac:dyDescent="0.25">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x14ac:dyDescent="0.25">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x14ac:dyDescent="0.25">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x14ac:dyDescent="0.25">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x14ac:dyDescent="0.25">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x14ac:dyDescent="0.25">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x14ac:dyDescent="0.25">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x14ac:dyDescent="0.25">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x14ac:dyDescent="0.25">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x14ac:dyDescent="0.25">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x14ac:dyDescent="0.25">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x14ac:dyDescent="0.25">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x14ac:dyDescent="0.25">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x14ac:dyDescent="0.25">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x14ac:dyDescent="0.25">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x14ac:dyDescent="0.25">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x14ac:dyDescent="0.25">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x14ac:dyDescent="0.25">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x14ac:dyDescent="0.25">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x14ac:dyDescent="0.25">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x14ac:dyDescent="0.25">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x14ac:dyDescent="0.25">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x14ac:dyDescent="0.25">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x14ac:dyDescent="0.25">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x14ac:dyDescent="0.25">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x14ac:dyDescent="0.25">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x14ac:dyDescent="0.25">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x14ac:dyDescent="0.25">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x14ac:dyDescent="0.25">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x14ac:dyDescent="0.25">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x14ac:dyDescent="0.25">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x14ac:dyDescent="0.25">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x14ac:dyDescent="0.25">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x14ac:dyDescent="0.25">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x14ac:dyDescent="0.25">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x14ac:dyDescent="0.25">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x14ac:dyDescent="0.25">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x14ac:dyDescent="0.25">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x14ac:dyDescent="0.25">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x14ac:dyDescent="0.25">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x14ac:dyDescent="0.25">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x14ac:dyDescent="0.25">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x14ac:dyDescent="0.25">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x14ac:dyDescent="0.25">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x14ac:dyDescent="0.25">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x14ac:dyDescent="0.25">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x14ac:dyDescent="0.25">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x14ac:dyDescent="0.25">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x14ac:dyDescent="0.25">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x14ac:dyDescent="0.25">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x14ac:dyDescent="0.25">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x14ac:dyDescent="0.25">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x14ac:dyDescent="0.25">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x14ac:dyDescent="0.25">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x14ac:dyDescent="0.25">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x14ac:dyDescent="0.25">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x14ac:dyDescent="0.25">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x14ac:dyDescent="0.25">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x14ac:dyDescent="0.25">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x14ac:dyDescent="0.25">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x14ac:dyDescent="0.25">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x14ac:dyDescent="0.25">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x14ac:dyDescent="0.25">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x14ac:dyDescent="0.25">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x14ac:dyDescent="0.25">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x14ac:dyDescent="0.25">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x14ac:dyDescent="0.25">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x14ac:dyDescent="0.25">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x14ac:dyDescent="0.25">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x14ac:dyDescent="0.25">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x14ac:dyDescent="0.25">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x14ac:dyDescent="0.25">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x14ac:dyDescent="0.25">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x14ac:dyDescent="0.25">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x14ac:dyDescent="0.25">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x14ac:dyDescent="0.25">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x14ac:dyDescent="0.25">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x14ac:dyDescent="0.25">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x14ac:dyDescent="0.25">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x14ac:dyDescent="0.25">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x14ac:dyDescent="0.25">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x14ac:dyDescent="0.25">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x14ac:dyDescent="0.25">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x14ac:dyDescent="0.25">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x14ac:dyDescent="0.25">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x14ac:dyDescent="0.25">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x14ac:dyDescent="0.25">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x14ac:dyDescent="0.25">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x14ac:dyDescent="0.25">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x14ac:dyDescent="0.25">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x14ac:dyDescent="0.25">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x14ac:dyDescent="0.25">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x14ac:dyDescent="0.25">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x14ac:dyDescent="0.25">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x14ac:dyDescent="0.25">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x14ac:dyDescent="0.25">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x14ac:dyDescent="0.25">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x14ac:dyDescent="0.25">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x14ac:dyDescent="0.25">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x14ac:dyDescent="0.25">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x14ac:dyDescent="0.25">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x14ac:dyDescent="0.25">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x14ac:dyDescent="0.25">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x14ac:dyDescent="0.25">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x14ac:dyDescent="0.25">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x14ac:dyDescent="0.25">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x14ac:dyDescent="0.25">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x14ac:dyDescent="0.25">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x14ac:dyDescent="0.25">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x14ac:dyDescent="0.25">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x14ac:dyDescent="0.25">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x14ac:dyDescent="0.25">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x14ac:dyDescent="0.25">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x14ac:dyDescent="0.25">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x14ac:dyDescent="0.25">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x14ac:dyDescent="0.25">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x14ac:dyDescent="0.25">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x14ac:dyDescent="0.25">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x14ac:dyDescent="0.25">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x14ac:dyDescent="0.25">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x14ac:dyDescent="0.25">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x14ac:dyDescent="0.25">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x14ac:dyDescent="0.25">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x14ac:dyDescent="0.25">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x14ac:dyDescent="0.25">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x14ac:dyDescent="0.25">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x14ac:dyDescent="0.25">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x14ac:dyDescent="0.25">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x14ac:dyDescent="0.25">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x14ac:dyDescent="0.25">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x14ac:dyDescent="0.25">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x14ac:dyDescent="0.25">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x14ac:dyDescent="0.25">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x14ac:dyDescent="0.25">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x14ac:dyDescent="0.25">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x14ac:dyDescent="0.25">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x14ac:dyDescent="0.25">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x14ac:dyDescent="0.25">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x14ac:dyDescent="0.25">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x14ac:dyDescent="0.25">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x14ac:dyDescent="0.25">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x14ac:dyDescent="0.25">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x14ac:dyDescent="0.25">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x14ac:dyDescent="0.25">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x14ac:dyDescent="0.25">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x14ac:dyDescent="0.25">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x14ac:dyDescent="0.25">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x14ac:dyDescent="0.25">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x14ac:dyDescent="0.25">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x14ac:dyDescent="0.25">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x14ac:dyDescent="0.25">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x14ac:dyDescent="0.25">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x14ac:dyDescent="0.25">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x14ac:dyDescent="0.25">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x14ac:dyDescent="0.25">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x14ac:dyDescent="0.25">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x14ac:dyDescent="0.25">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x14ac:dyDescent="0.25">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x14ac:dyDescent="0.25">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x14ac:dyDescent="0.25">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x14ac:dyDescent="0.25">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x14ac:dyDescent="0.25">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x14ac:dyDescent="0.25">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x14ac:dyDescent="0.25">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x14ac:dyDescent="0.25">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x14ac:dyDescent="0.25">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x14ac:dyDescent="0.25">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x14ac:dyDescent="0.25">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x14ac:dyDescent="0.25">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x14ac:dyDescent="0.25">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x14ac:dyDescent="0.25">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x14ac:dyDescent="0.25">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x14ac:dyDescent="0.25">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x14ac:dyDescent="0.25">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x14ac:dyDescent="0.25">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x14ac:dyDescent="0.25">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x14ac:dyDescent="0.25">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x14ac:dyDescent="0.25">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x14ac:dyDescent="0.25">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x14ac:dyDescent="0.25">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x14ac:dyDescent="0.25">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x14ac:dyDescent="0.25">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x14ac:dyDescent="0.25">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x14ac:dyDescent="0.25">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x14ac:dyDescent="0.25">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x14ac:dyDescent="0.25">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x14ac:dyDescent="0.25">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x14ac:dyDescent="0.25">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x14ac:dyDescent="0.25">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x14ac:dyDescent="0.25">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x14ac:dyDescent="0.25">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x14ac:dyDescent="0.25">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x14ac:dyDescent="0.25">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x14ac:dyDescent="0.25">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x14ac:dyDescent="0.25">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x14ac:dyDescent="0.25">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x14ac:dyDescent="0.25">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x14ac:dyDescent="0.25">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x14ac:dyDescent="0.25">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x14ac:dyDescent="0.25">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x14ac:dyDescent="0.25">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x14ac:dyDescent="0.25">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x14ac:dyDescent="0.25">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x14ac:dyDescent="0.25">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x14ac:dyDescent="0.25">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x14ac:dyDescent="0.25">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x14ac:dyDescent="0.25">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x14ac:dyDescent="0.25">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x14ac:dyDescent="0.25">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x14ac:dyDescent="0.25">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x14ac:dyDescent="0.25">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x14ac:dyDescent="0.25">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x14ac:dyDescent="0.25">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x14ac:dyDescent="0.25">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x14ac:dyDescent="0.25">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x14ac:dyDescent="0.25">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x14ac:dyDescent="0.25">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x14ac:dyDescent="0.25">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x14ac:dyDescent="0.25">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x14ac:dyDescent="0.25">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x14ac:dyDescent="0.25">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x14ac:dyDescent="0.25">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x14ac:dyDescent="0.25">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x14ac:dyDescent="0.25">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x14ac:dyDescent="0.25">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x14ac:dyDescent="0.25">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x14ac:dyDescent="0.25">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x14ac:dyDescent="0.25">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x14ac:dyDescent="0.25">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x14ac:dyDescent="0.25">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x14ac:dyDescent="0.25">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x14ac:dyDescent="0.25">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x14ac:dyDescent="0.25">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x14ac:dyDescent="0.25">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x14ac:dyDescent="0.25">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x14ac:dyDescent="0.25">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x14ac:dyDescent="0.25">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x14ac:dyDescent="0.25">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x14ac:dyDescent="0.25">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x14ac:dyDescent="0.25">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x14ac:dyDescent="0.25">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x14ac:dyDescent="0.25">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x14ac:dyDescent="0.25">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x14ac:dyDescent="0.25">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x14ac:dyDescent="0.25">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x14ac:dyDescent="0.25">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x14ac:dyDescent="0.25">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x14ac:dyDescent="0.25">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x14ac:dyDescent="0.25">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x14ac:dyDescent="0.25">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x14ac:dyDescent="0.25">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x14ac:dyDescent="0.25">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x14ac:dyDescent="0.25">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x14ac:dyDescent="0.25">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x14ac:dyDescent="0.25">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x14ac:dyDescent="0.25">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x14ac:dyDescent="0.25">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x14ac:dyDescent="0.25">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x14ac:dyDescent="0.25">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x14ac:dyDescent="0.25">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x14ac:dyDescent="0.25">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x14ac:dyDescent="0.25">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x14ac:dyDescent="0.25">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x14ac:dyDescent="0.25">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x14ac:dyDescent="0.25">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x14ac:dyDescent="0.25">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x14ac:dyDescent="0.25">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x14ac:dyDescent="0.25">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x14ac:dyDescent="0.25">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x14ac:dyDescent="0.25">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x14ac:dyDescent="0.25">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x14ac:dyDescent="0.25">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x14ac:dyDescent="0.25">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x14ac:dyDescent="0.25">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x14ac:dyDescent="0.25">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x14ac:dyDescent="0.25">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x14ac:dyDescent="0.25">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x14ac:dyDescent="0.25">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x14ac:dyDescent="0.25">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x14ac:dyDescent="0.25">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x14ac:dyDescent="0.25">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x14ac:dyDescent="0.25">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x14ac:dyDescent="0.25">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x14ac:dyDescent="0.25">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x14ac:dyDescent="0.25">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x14ac:dyDescent="0.25">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x14ac:dyDescent="0.25">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x14ac:dyDescent="0.25">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x14ac:dyDescent="0.25">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x14ac:dyDescent="0.25">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x14ac:dyDescent="0.25">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x14ac:dyDescent="0.25">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x14ac:dyDescent="0.25">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x14ac:dyDescent="0.25">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x14ac:dyDescent="0.25">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x14ac:dyDescent="0.25">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x14ac:dyDescent="0.25">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x14ac:dyDescent="0.25">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x14ac:dyDescent="0.25">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x14ac:dyDescent="0.25">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x14ac:dyDescent="0.25">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x14ac:dyDescent="0.25">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x14ac:dyDescent="0.25">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x14ac:dyDescent="0.25">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x14ac:dyDescent="0.25">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x14ac:dyDescent="0.25">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x14ac:dyDescent="0.25">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x14ac:dyDescent="0.25">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x14ac:dyDescent="0.25">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x14ac:dyDescent="0.25">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x14ac:dyDescent="0.25">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x14ac:dyDescent="0.25">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x14ac:dyDescent="0.25">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x14ac:dyDescent="0.25">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x14ac:dyDescent="0.25">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x14ac:dyDescent="0.25">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x14ac:dyDescent="0.25">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x14ac:dyDescent="0.25">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x14ac:dyDescent="0.25">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x14ac:dyDescent="0.25">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x14ac:dyDescent="0.25">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x14ac:dyDescent="0.25">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x14ac:dyDescent="0.25">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x14ac:dyDescent="0.25">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x14ac:dyDescent="0.25">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x14ac:dyDescent="0.25">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x14ac:dyDescent="0.25">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x14ac:dyDescent="0.25">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x14ac:dyDescent="0.25">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x14ac:dyDescent="0.25">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x14ac:dyDescent="0.25">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x14ac:dyDescent="0.25">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x14ac:dyDescent="0.25">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x14ac:dyDescent="0.25">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x14ac:dyDescent="0.25">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x14ac:dyDescent="0.25">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x14ac:dyDescent="0.25">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x14ac:dyDescent="0.25">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x14ac:dyDescent="0.25">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x14ac:dyDescent="0.25">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x14ac:dyDescent="0.25">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x14ac:dyDescent="0.25">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x14ac:dyDescent="0.25">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x14ac:dyDescent="0.25">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x14ac:dyDescent="0.25">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x14ac:dyDescent="0.25">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x14ac:dyDescent="0.25">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x14ac:dyDescent="0.25">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x14ac:dyDescent="0.25">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x14ac:dyDescent="0.25">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x14ac:dyDescent="0.25">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x14ac:dyDescent="0.25">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x14ac:dyDescent="0.25">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x14ac:dyDescent="0.25">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x14ac:dyDescent="0.25">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x14ac:dyDescent="0.25">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x14ac:dyDescent="0.25">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x14ac:dyDescent="0.25">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x14ac:dyDescent="0.25">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x14ac:dyDescent="0.25">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x14ac:dyDescent="0.25">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x14ac:dyDescent="0.25">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x14ac:dyDescent="0.25">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x14ac:dyDescent="0.25">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x14ac:dyDescent="0.25">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x14ac:dyDescent="0.25">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x14ac:dyDescent="0.25">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x14ac:dyDescent="0.25">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x14ac:dyDescent="0.25">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x14ac:dyDescent="0.25">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x14ac:dyDescent="0.25">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x14ac:dyDescent="0.25">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x14ac:dyDescent="0.25">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x14ac:dyDescent="0.25">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x14ac:dyDescent="0.25">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x14ac:dyDescent="0.25">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x14ac:dyDescent="0.25">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x14ac:dyDescent="0.25">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x14ac:dyDescent="0.25">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x14ac:dyDescent="0.25">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x14ac:dyDescent="0.25">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x14ac:dyDescent="0.25">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x14ac:dyDescent="0.25">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x14ac:dyDescent="0.25">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x14ac:dyDescent="0.25">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x14ac:dyDescent="0.25">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x14ac:dyDescent="0.25">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x14ac:dyDescent="0.25">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x14ac:dyDescent="0.25">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x14ac:dyDescent="0.25">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x14ac:dyDescent="0.25">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x14ac:dyDescent="0.25">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x14ac:dyDescent="0.25">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x14ac:dyDescent="0.25">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x14ac:dyDescent="0.25">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x14ac:dyDescent="0.25">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x14ac:dyDescent="0.25">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x14ac:dyDescent="0.25">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x14ac:dyDescent="0.25">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x14ac:dyDescent="0.25">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x14ac:dyDescent="0.25">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x14ac:dyDescent="0.25">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x14ac:dyDescent="0.25">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x14ac:dyDescent="0.25">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x14ac:dyDescent="0.25">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x14ac:dyDescent="0.25">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x14ac:dyDescent="0.25">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x14ac:dyDescent="0.25">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x14ac:dyDescent="0.25">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x14ac:dyDescent="0.25">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x14ac:dyDescent="0.25">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x14ac:dyDescent="0.25">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x14ac:dyDescent="0.25">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x14ac:dyDescent="0.25">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x14ac:dyDescent="0.25">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x14ac:dyDescent="0.25">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x14ac:dyDescent="0.25">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x14ac:dyDescent="0.25">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x14ac:dyDescent="0.25">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x14ac:dyDescent="0.25">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x14ac:dyDescent="0.25">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x14ac:dyDescent="0.25">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x14ac:dyDescent="0.25">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x14ac:dyDescent="0.25">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x14ac:dyDescent="0.25">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x14ac:dyDescent="0.25">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x14ac:dyDescent="0.25">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x14ac:dyDescent="0.25">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x14ac:dyDescent="0.25">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x14ac:dyDescent="0.25">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x14ac:dyDescent="0.25">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x14ac:dyDescent="0.25">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x14ac:dyDescent="0.25">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x14ac:dyDescent="0.25">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x14ac:dyDescent="0.25">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x14ac:dyDescent="0.25">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x14ac:dyDescent="0.25">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x14ac:dyDescent="0.25">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x14ac:dyDescent="0.25">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x14ac:dyDescent="0.25">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x14ac:dyDescent="0.25">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x14ac:dyDescent="0.25">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x14ac:dyDescent="0.25">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x14ac:dyDescent="0.25">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x14ac:dyDescent="0.25">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x14ac:dyDescent="0.25">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x14ac:dyDescent="0.25">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x14ac:dyDescent="0.25">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x14ac:dyDescent="0.25">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x14ac:dyDescent="0.25">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x14ac:dyDescent="0.25">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x14ac:dyDescent="0.25">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x14ac:dyDescent="0.25">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x14ac:dyDescent="0.25">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x14ac:dyDescent="0.25">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x14ac:dyDescent="0.25">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x14ac:dyDescent="0.25">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x14ac:dyDescent="0.25">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x14ac:dyDescent="0.25">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x14ac:dyDescent="0.25">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x14ac:dyDescent="0.25">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x14ac:dyDescent="0.25">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x14ac:dyDescent="0.25">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x14ac:dyDescent="0.25">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x14ac:dyDescent="0.25">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x14ac:dyDescent="0.25">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x14ac:dyDescent="0.25">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x14ac:dyDescent="0.25">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x14ac:dyDescent="0.25">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x14ac:dyDescent="0.25">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x14ac:dyDescent="0.25">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x14ac:dyDescent="0.25">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x14ac:dyDescent="0.25">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x14ac:dyDescent="0.25">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x14ac:dyDescent="0.25">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x14ac:dyDescent="0.25">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x14ac:dyDescent="0.25">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x14ac:dyDescent="0.25">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x14ac:dyDescent="0.25">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x14ac:dyDescent="0.25">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x14ac:dyDescent="0.25">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x14ac:dyDescent="0.25">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x14ac:dyDescent="0.25">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x14ac:dyDescent="0.25">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x14ac:dyDescent="0.25">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x14ac:dyDescent="0.25">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x14ac:dyDescent="0.25">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x14ac:dyDescent="0.25">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x14ac:dyDescent="0.25">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x14ac:dyDescent="0.25">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x14ac:dyDescent="0.25">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x14ac:dyDescent="0.25">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x14ac:dyDescent="0.25">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x14ac:dyDescent="0.25">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x14ac:dyDescent="0.25">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x14ac:dyDescent="0.25">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x14ac:dyDescent="0.25">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x14ac:dyDescent="0.25">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x14ac:dyDescent="0.25">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x14ac:dyDescent="0.25">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x14ac:dyDescent="0.25">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x14ac:dyDescent="0.25">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x14ac:dyDescent="0.25">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x14ac:dyDescent="0.25">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x14ac:dyDescent="0.25">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x14ac:dyDescent="0.25">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x14ac:dyDescent="0.25">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x14ac:dyDescent="0.25">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x14ac:dyDescent="0.25">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x14ac:dyDescent="0.25">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x14ac:dyDescent="0.25">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x14ac:dyDescent="0.25">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x14ac:dyDescent="0.25">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x14ac:dyDescent="0.25">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x14ac:dyDescent="0.25">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x14ac:dyDescent="0.25">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x14ac:dyDescent="0.25">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x14ac:dyDescent="0.25">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x14ac:dyDescent="0.25">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x14ac:dyDescent="0.25">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x14ac:dyDescent="0.25">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x14ac:dyDescent="0.25">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x14ac:dyDescent="0.25">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x14ac:dyDescent="0.25">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x14ac:dyDescent="0.25">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x14ac:dyDescent="0.25">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x14ac:dyDescent="0.25">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x14ac:dyDescent="0.25">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x14ac:dyDescent="0.25">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x14ac:dyDescent="0.25">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x14ac:dyDescent="0.25">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x14ac:dyDescent="0.25">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x14ac:dyDescent="0.25">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x14ac:dyDescent="0.25">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x14ac:dyDescent="0.25">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x14ac:dyDescent="0.25">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x14ac:dyDescent="0.25">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x14ac:dyDescent="0.25">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x14ac:dyDescent="0.25">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x14ac:dyDescent="0.25">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x14ac:dyDescent="0.25">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x14ac:dyDescent="0.25">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x14ac:dyDescent="0.25">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x14ac:dyDescent="0.25">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x14ac:dyDescent="0.25">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x14ac:dyDescent="0.25">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x14ac:dyDescent="0.25">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x14ac:dyDescent="0.25">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x14ac:dyDescent="0.25">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x14ac:dyDescent="0.25">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x14ac:dyDescent="0.25">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x14ac:dyDescent="0.25">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x14ac:dyDescent="0.25">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x14ac:dyDescent="0.25">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x14ac:dyDescent="0.25">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x14ac:dyDescent="0.25">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x14ac:dyDescent="0.25">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x14ac:dyDescent="0.25">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x14ac:dyDescent="0.25">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x14ac:dyDescent="0.25">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x14ac:dyDescent="0.25">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x14ac:dyDescent="0.25">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x14ac:dyDescent="0.25">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x14ac:dyDescent="0.25">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x14ac:dyDescent="0.25">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x14ac:dyDescent="0.25">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x14ac:dyDescent="0.25">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x14ac:dyDescent="0.25">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x14ac:dyDescent="0.25">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x14ac:dyDescent="0.25">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x14ac:dyDescent="0.25">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x14ac:dyDescent="0.25">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x14ac:dyDescent="0.25">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x14ac:dyDescent="0.25">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x14ac:dyDescent="0.25">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x14ac:dyDescent="0.25">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x14ac:dyDescent="0.25">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x14ac:dyDescent="0.25">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x14ac:dyDescent="0.25">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x14ac:dyDescent="0.25">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x14ac:dyDescent="0.25">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x14ac:dyDescent="0.25">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x14ac:dyDescent="0.25">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x14ac:dyDescent="0.25">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x14ac:dyDescent="0.25">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x14ac:dyDescent="0.25">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x14ac:dyDescent="0.25">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x14ac:dyDescent="0.25">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x14ac:dyDescent="0.25">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x14ac:dyDescent="0.25">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x14ac:dyDescent="0.25">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x14ac:dyDescent="0.25">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x14ac:dyDescent="0.25">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x14ac:dyDescent="0.25">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x14ac:dyDescent="0.25">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x14ac:dyDescent="0.25">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x14ac:dyDescent="0.25">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x14ac:dyDescent="0.25">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x14ac:dyDescent="0.25">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x14ac:dyDescent="0.25">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x14ac:dyDescent="0.25">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x14ac:dyDescent="0.25">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x14ac:dyDescent="0.25">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x14ac:dyDescent="0.25">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x14ac:dyDescent="0.25">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x14ac:dyDescent="0.25">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x14ac:dyDescent="0.25">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x14ac:dyDescent="0.25">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x14ac:dyDescent="0.25">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x14ac:dyDescent="0.25">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x14ac:dyDescent="0.25">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x14ac:dyDescent="0.25">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x14ac:dyDescent="0.25">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x14ac:dyDescent="0.25">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x14ac:dyDescent="0.25">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x14ac:dyDescent="0.25">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x14ac:dyDescent="0.25">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x14ac:dyDescent="0.25">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x14ac:dyDescent="0.25">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x14ac:dyDescent="0.25">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x14ac:dyDescent="0.25">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x14ac:dyDescent="0.25">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x14ac:dyDescent="0.25">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x14ac:dyDescent="0.25">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x14ac:dyDescent="0.25">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x14ac:dyDescent="0.25">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x14ac:dyDescent="0.25">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x14ac:dyDescent="0.25">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x14ac:dyDescent="0.25">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x14ac:dyDescent="0.25">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x14ac:dyDescent="0.25">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x14ac:dyDescent="0.25">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x14ac:dyDescent="0.25">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x14ac:dyDescent="0.25">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x14ac:dyDescent="0.25">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x14ac:dyDescent="0.25">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x14ac:dyDescent="0.25">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x14ac:dyDescent="0.25">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x14ac:dyDescent="0.25">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x14ac:dyDescent="0.25">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x14ac:dyDescent="0.25">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x14ac:dyDescent="0.25">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x14ac:dyDescent="0.25">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x14ac:dyDescent="0.25">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x14ac:dyDescent="0.25">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x14ac:dyDescent="0.25">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x14ac:dyDescent="0.25">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x14ac:dyDescent="0.25">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x14ac:dyDescent="0.25">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x14ac:dyDescent="0.25">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x14ac:dyDescent="0.25">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x14ac:dyDescent="0.25">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x14ac:dyDescent="0.25">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x14ac:dyDescent="0.25">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x14ac:dyDescent="0.25">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x14ac:dyDescent="0.25">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x14ac:dyDescent="0.25">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x14ac:dyDescent="0.25">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x14ac:dyDescent="0.25">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x14ac:dyDescent="0.25">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x14ac:dyDescent="0.25">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x14ac:dyDescent="0.25">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x14ac:dyDescent="0.25">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x14ac:dyDescent="0.25">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x14ac:dyDescent="0.25">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x14ac:dyDescent="0.25">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x14ac:dyDescent="0.25">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x14ac:dyDescent="0.25">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x14ac:dyDescent="0.25">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x14ac:dyDescent="0.25">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x14ac:dyDescent="0.25">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x14ac:dyDescent="0.25">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x14ac:dyDescent="0.25">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x14ac:dyDescent="0.25">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x14ac:dyDescent="0.25">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x14ac:dyDescent="0.25">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x14ac:dyDescent="0.25">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x14ac:dyDescent="0.25">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x14ac:dyDescent="0.25">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x14ac:dyDescent="0.25">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x14ac:dyDescent="0.25">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x14ac:dyDescent="0.25">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x14ac:dyDescent="0.25">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x14ac:dyDescent="0.25">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x14ac:dyDescent="0.25">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x14ac:dyDescent="0.25">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x14ac:dyDescent="0.25">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x14ac:dyDescent="0.25">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x14ac:dyDescent="0.25">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x14ac:dyDescent="0.25">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x14ac:dyDescent="0.25">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x14ac:dyDescent="0.25">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x14ac:dyDescent="0.25">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x14ac:dyDescent="0.25">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x14ac:dyDescent="0.25">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x14ac:dyDescent="0.25">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x14ac:dyDescent="0.25">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x14ac:dyDescent="0.25">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x14ac:dyDescent="0.25">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x14ac:dyDescent="0.25">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x14ac:dyDescent="0.25">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x14ac:dyDescent="0.25">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x14ac:dyDescent="0.25">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x14ac:dyDescent="0.25">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x14ac:dyDescent="0.25">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x14ac:dyDescent="0.25">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x14ac:dyDescent="0.25">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x14ac:dyDescent="0.25">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x14ac:dyDescent="0.25">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x14ac:dyDescent="0.25">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x14ac:dyDescent="0.25">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x14ac:dyDescent="0.25">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x14ac:dyDescent="0.25">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x14ac:dyDescent="0.25">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x14ac:dyDescent="0.25">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x14ac:dyDescent="0.25">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x14ac:dyDescent="0.25">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x14ac:dyDescent="0.25">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x14ac:dyDescent="0.25">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x14ac:dyDescent="0.25">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x14ac:dyDescent="0.25">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x14ac:dyDescent="0.25">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x14ac:dyDescent="0.25">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x14ac:dyDescent="0.25">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x14ac:dyDescent="0.25">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x14ac:dyDescent="0.25">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x14ac:dyDescent="0.25">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x14ac:dyDescent="0.25">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x14ac:dyDescent="0.25">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x14ac:dyDescent="0.25">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x14ac:dyDescent="0.25">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x14ac:dyDescent="0.25">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x14ac:dyDescent="0.25">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x14ac:dyDescent="0.25">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x14ac:dyDescent="0.25">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x14ac:dyDescent="0.25">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x14ac:dyDescent="0.25">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x14ac:dyDescent="0.25">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x14ac:dyDescent="0.25">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x14ac:dyDescent="0.25">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x14ac:dyDescent="0.25">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x14ac:dyDescent="0.25">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x14ac:dyDescent="0.25">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x14ac:dyDescent="0.25">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x14ac:dyDescent="0.25">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x14ac:dyDescent="0.25">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x14ac:dyDescent="0.25">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x14ac:dyDescent="0.25">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x14ac:dyDescent="0.25">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x14ac:dyDescent="0.25">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x14ac:dyDescent="0.25">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x14ac:dyDescent="0.25">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x14ac:dyDescent="0.25">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x14ac:dyDescent="0.25">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x14ac:dyDescent="0.25">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x14ac:dyDescent="0.25">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x14ac:dyDescent="0.25">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x14ac:dyDescent="0.25">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x14ac:dyDescent="0.25">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x14ac:dyDescent="0.25">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x14ac:dyDescent="0.25">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x14ac:dyDescent="0.25">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x14ac:dyDescent="0.25">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x14ac:dyDescent="0.25">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x14ac:dyDescent="0.25">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x14ac:dyDescent="0.25">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x14ac:dyDescent="0.25">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x14ac:dyDescent="0.25">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x14ac:dyDescent="0.25">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x14ac:dyDescent="0.25">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x14ac:dyDescent="0.25">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x14ac:dyDescent="0.25">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x14ac:dyDescent="0.25">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x14ac:dyDescent="0.25">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x14ac:dyDescent="0.25">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x14ac:dyDescent="0.25">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x14ac:dyDescent="0.25">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x14ac:dyDescent="0.25">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x14ac:dyDescent="0.25">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x14ac:dyDescent="0.25">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x14ac:dyDescent="0.25">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x14ac:dyDescent="0.25">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x14ac:dyDescent="0.25">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x14ac:dyDescent="0.25">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x14ac:dyDescent="0.25">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x14ac:dyDescent="0.25">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x14ac:dyDescent="0.25">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x14ac:dyDescent="0.25">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x14ac:dyDescent="0.25">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x14ac:dyDescent="0.25">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x14ac:dyDescent="0.25">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x14ac:dyDescent="0.25">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x14ac:dyDescent="0.25">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x14ac:dyDescent="0.25">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x14ac:dyDescent="0.25">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x14ac:dyDescent="0.25">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x14ac:dyDescent="0.25">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x14ac:dyDescent="0.25">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x14ac:dyDescent="0.25">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x14ac:dyDescent="0.25">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x14ac:dyDescent="0.25">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x14ac:dyDescent="0.25">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x14ac:dyDescent="0.25">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x14ac:dyDescent="0.25">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x14ac:dyDescent="0.25">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x14ac:dyDescent="0.25">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x14ac:dyDescent="0.25">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x14ac:dyDescent="0.25">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x14ac:dyDescent="0.25">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x14ac:dyDescent="0.25">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x14ac:dyDescent="0.25">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x14ac:dyDescent="0.25">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x14ac:dyDescent="0.25">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x14ac:dyDescent="0.25">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x14ac:dyDescent="0.25">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x14ac:dyDescent="0.25">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x14ac:dyDescent="0.25">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x14ac:dyDescent="0.25">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x14ac:dyDescent="0.25">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x14ac:dyDescent="0.25">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x14ac:dyDescent="0.25">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x14ac:dyDescent="0.25">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x14ac:dyDescent="0.25">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x14ac:dyDescent="0.25">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x14ac:dyDescent="0.25">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x14ac:dyDescent="0.25">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x14ac:dyDescent="0.25">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x14ac:dyDescent="0.25">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x14ac:dyDescent="0.25">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x14ac:dyDescent="0.25">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x14ac:dyDescent="0.25">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x14ac:dyDescent="0.25">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x14ac:dyDescent="0.25">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x14ac:dyDescent="0.25">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x14ac:dyDescent="0.25">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x14ac:dyDescent="0.25">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x14ac:dyDescent="0.25">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x14ac:dyDescent="0.25">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x14ac:dyDescent="0.25">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x14ac:dyDescent="0.25">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x14ac:dyDescent="0.25">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x14ac:dyDescent="0.25">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x14ac:dyDescent="0.25">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x14ac:dyDescent="0.25">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x14ac:dyDescent="0.25">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x14ac:dyDescent="0.25">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x14ac:dyDescent="0.25">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x14ac:dyDescent="0.25">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x14ac:dyDescent="0.25">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x14ac:dyDescent="0.25">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x14ac:dyDescent="0.25">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x14ac:dyDescent="0.25">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x14ac:dyDescent="0.25">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x14ac:dyDescent="0.25">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x14ac:dyDescent="0.25">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x14ac:dyDescent="0.25">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x14ac:dyDescent="0.25">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x14ac:dyDescent="0.25">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x14ac:dyDescent="0.25">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x14ac:dyDescent="0.25">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x14ac:dyDescent="0.25">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x14ac:dyDescent="0.25">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x14ac:dyDescent="0.25">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x14ac:dyDescent="0.25">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x14ac:dyDescent="0.25">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x14ac:dyDescent="0.25">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x14ac:dyDescent="0.25">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x14ac:dyDescent="0.25">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x14ac:dyDescent="0.25">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x14ac:dyDescent="0.25">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x14ac:dyDescent="0.25">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x14ac:dyDescent="0.25">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x14ac:dyDescent="0.25">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x14ac:dyDescent="0.25">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x14ac:dyDescent="0.25">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x14ac:dyDescent="0.25">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x14ac:dyDescent="0.25">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x14ac:dyDescent="0.25">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x14ac:dyDescent="0.25">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x14ac:dyDescent="0.25">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x14ac:dyDescent="0.25">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x14ac:dyDescent="0.25">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x14ac:dyDescent="0.25">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x14ac:dyDescent="0.25">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x14ac:dyDescent="0.25">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x14ac:dyDescent="0.25">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x14ac:dyDescent="0.25">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x14ac:dyDescent="0.25">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x14ac:dyDescent="0.25">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x14ac:dyDescent="0.25">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x14ac:dyDescent="0.25">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x14ac:dyDescent="0.25">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x14ac:dyDescent="0.25">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x14ac:dyDescent="0.25">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x14ac:dyDescent="0.25">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x14ac:dyDescent="0.25">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x14ac:dyDescent="0.25">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x14ac:dyDescent="0.25">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x14ac:dyDescent="0.25">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x14ac:dyDescent="0.25">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x14ac:dyDescent="0.25">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x14ac:dyDescent="0.25">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x14ac:dyDescent="0.25">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x14ac:dyDescent="0.25">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x14ac:dyDescent="0.25">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x14ac:dyDescent="0.25">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x14ac:dyDescent="0.25">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x14ac:dyDescent="0.25">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x14ac:dyDescent="0.25">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x14ac:dyDescent="0.25">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x14ac:dyDescent="0.25">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x14ac:dyDescent="0.25">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x14ac:dyDescent="0.25">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x14ac:dyDescent="0.25">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x14ac:dyDescent="0.25">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x14ac:dyDescent="0.25">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x14ac:dyDescent="0.25">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x14ac:dyDescent="0.25">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x14ac:dyDescent="0.25">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x14ac:dyDescent="0.25">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x14ac:dyDescent="0.25">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x14ac:dyDescent="0.25">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x14ac:dyDescent="0.25">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x14ac:dyDescent="0.25">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x14ac:dyDescent="0.25">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x14ac:dyDescent="0.25">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x14ac:dyDescent="0.25">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x14ac:dyDescent="0.25">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x14ac:dyDescent="0.25">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x14ac:dyDescent="0.25">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x14ac:dyDescent="0.25">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x14ac:dyDescent="0.25">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x14ac:dyDescent="0.25">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x14ac:dyDescent="0.25">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x14ac:dyDescent="0.25">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x14ac:dyDescent="0.25">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x14ac:dyDescent="0.25">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x14ac:dyDescent="0.25">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x14ac:dyDescent="0.25">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x14ac:dyDescent="0.25">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x14ac:dyDescent="0.25">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x14ac:dyDescent="0.25">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x14ac:dyDescent="0.25">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x14ac:dyDescent="0.25">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x14ac:dyDescent="0.25">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x14ac:dyDescent="0.25">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x14ac:dyDescent="0.25">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x14ac:dyDescent="0.25">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x14ac:dyDescent="0.25">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x14ac:dyDescent="0.25">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x14ac:dyDescent="0.25">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x14ac:dyDescent="0.25">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x14ac:dyDescent="0.25">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x14ac:dyDescent="0.25">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x14ac:dyDescent="0.25">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x14ac:dyDescent="0.25">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x14ac:dyDescent="0.25">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x14ac:dyDescent="0.25">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x14ac:dyDescent="0.25">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x14ac:dyDescent="0.25">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x14ac:dyDescent="0.25">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x14ac:dyDescent="0.25">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x14ac:dyDescent="0.25">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x14ac:dyDescent="0.25">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x14ac:dyDescent="0.25">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x14ac:dyDescent="0.25">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x14ac:dyDescent="0.25">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x14ac:dyDescent="0.25">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x14ac:dyDescent="0.25">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x14ac:dyDescent="0.25">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x14ac:dyDescent="0.25">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x14ac:dyDescent="0.25">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x14ac:dyDescent="0.25">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x14ac:dyDescent="0.25">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x14ac:dyDescent="0.25">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x14ac:dyDescent="0.25">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x14ac:dyDescent="0.25">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x14ac:dyDescent="0.25">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x14ac:dyDescent="0.25">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x14ac:dyDescent="0.25">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x14ac:dyDescent="0.25">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x14ac:dyDescent="0.25">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x14ac:dyDescent="0.25">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x14ac:dyDescent="0.25">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x14ac:dyDescent="0.25">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x14ac:dyDescent="0.25">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x14ac:dyDescent="0.25">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x14ac:dyDescent="0.25">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x14ac:dyDescent="0.25">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x14ac:dyDescent="0.25">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x14ac:dyDescent="0.25">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x14ac:dyDescent="0.25">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x14ac:dyDescent="0.25">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x14ac:dyDescent="0.25">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x14ac:dyDescent="0.25">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x14ac:dyDescent="0.25">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x14ac:dyDescent="0.25">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x14ac:dyDescent="0.25">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x14ac:dyDescent="0.25">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x14ac:dyDescent="0.25">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x14ac:dyDescent="0.25">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x14ac:dyDescent="0.25">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x14ac:dyDescent="0.25">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x14ac:dyDescent="0.25">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x14ac:dyDescent="0.25">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x14ac:dyDescent="0.25">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x14ac:dyDescent="0.25">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x14ac:dyDescent="0.25">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x14ac:dyDescent="0.25">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x14ac:dyDescent="0.25">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x14ac:dyDescent="0.25">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x14ac:dyDescent="0.25">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x14ac:dyDescent="0.25">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x14ac:dyDescent="0.25">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x14ac:dyDescent="0.25">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x14ac:dyDescent="0.25">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x14ac:dyDescent="0.25">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x14ac:dyDescent="0.25">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x14ac:dyDescent="0.25">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x14ac:dyDescent="0.25">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x14ac:dyDescent="0.25">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x14ac:dyDescent="0.25">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x14ac:dyDescent="0.25">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x14ac:dyDescent="0.25">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x14ac:dyDescent="0.25">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x14ac:dyDescent="0.25">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x14ac:dyDescent="0.25">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x14ac:dyDescent="0.25">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x14ac:dyDescent="0.25">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x14ac:dyDescent="0.25">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x14ac:dyDescent="0.25">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x14ac:dyDescent="0.25">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x14ac:dyDescent="0.25">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x14ac:dyDescent="0.25">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x14ac:dyDescent="0.25">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x14ac:dyDescent="0.25">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x14ac:dyDescent="0.25">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x14ac:dyDescent="0.25">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x14ac:dyDescent="0.25">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x14ac:dyDescent="0.25">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x14ac:dyDescent="0.25">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x14ac:dyDescent="0.25">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x14ac:dyDescent="0.25">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x14ac:dyDescent="0.25">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x14ac:dyDescent="0.25">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x14ac:dyDescent="0.25">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x14ac:dyDescent="0.25">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x14ac:dyDescent="0.25">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x14ac:dyDescent="0.25">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x14ac:dyDescent="0.25">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x14ac:dyDescent="0.25">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x14ac:dyDescent="0.25">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x14ac:dyDescent="0.25">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x14ac:dyDescent="0.25">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x14ac:dyDescent="0.25">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x14ac:dyDescent="0.25">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x14ac:dyDescent="0.25">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x14ac:dyDescent="0.25">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x14ac:dyDescent="0.25">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x14ac:dyDescent="0.25">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x14ac:dyDescent="0.25">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x14ac:dyDescent="0.25">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x14ac:dyDescent="0.25">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x14ac:dyDescent="0.25">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x14ac:dyDescent="0.25">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x14ac:dyDescent="0.25">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x14ac:dyDescent="0.25">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x14ac:dyDescent="0.25">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x14ac:dyDescent="0.25">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x14ac:dyDescent="0.25">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x14ac:dyDescent="0.25">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x14ac:dyDescent="0.25">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x14ac:dyDescent="0.25">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x14ac:dyDescent="0.25">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x14ac:dyDescent="0.25">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x14ac:dyDescent="0.25">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x14ac:dyDescent="0.25">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x14ac:dyDescent="0.25">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x14ac:dyDescent="0.25">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x14ac:dyDescent="0.25">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x14ac:dyDescent="0.25">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x14ac:dyDescent="0.25">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x14ac:dyDescent="0.25">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x14ac:dyDescent="0.25">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x14ac:dyDescent="0.25">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x14ac:dyDescent="0.25">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x14ac:dyDescent="0.25">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x14ac:dyDescent="0.25">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x14ac:dyDescent="0.25">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x14ac:dyDescent="0.25">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x14ac:dyDescent="0.25">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x14ac:dyDescent="0.25">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x14ac:dyDescent="0.25">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x14ac:dyDescent="0.25">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x14ac:dyDescent="0.25">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x14ac:dyDescent="0.25">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x14ac:dyDescent="0.25">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x14ac:dyDescent="0.25">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x14ac:dyDescent="0.25">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x14ac:dyDescent="0.25">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x14ac:dyDescent="0.25">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x14ac:dyDescent="0.25">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x14ac:dyDescent="0.25">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x14ac:dyDescent="0.25">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x14ac:dyDescent="0.25">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x14ac:dyDescent="0.25">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x14ac:dyDescent="0.25">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x14ac:dyDescent="0.25">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x14ac:dyDescent="0.25">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x14ac:dyDescent="0.25">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x14ac:dyDescent="0.25">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x14ac:dyDescent="0.25">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x14ac:dyDescent="0.25">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x14ac:dyDescent="0.25">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x14ac:dyDescent="0.25">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x14ac:dyDescent="0.25">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x14ac:dyDescent="0.25">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x14ac:dyDescent="0.25">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x14ac:dyDescent="0.25">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x14ac:dyDescent="0.25">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x14ac:dyDescent="0.25">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x14ac:dyDescent="0.25">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x14ac:dyDescent="0.25">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x14ac:dyDescent="0.25">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x14ac:dyDescent="0.25">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x14ac:dyDescent="0.25">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x14ac:dyDescent="0.25">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x14ac:dyDescent="0.25">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x14ac:dyDescent="0.25">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x14ac:dyDescent="0.25">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x14ac:dyDescent="0.25">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x14ac:dyDescent="0.25">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x14ac:dyDescent="0.25">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x14ac:dyDescent="0.25">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x14ac:dyDescent="0.25">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x14ac:dyDescent="0.25">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x14ac:dyDescent="0.25">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x14ac:dyDescent="0.25">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x14ac:dyDescent="0.25">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x14ac:dyDescent="0.25">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x14ac:dyDescent="0.25">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x14ac:dyDescent="0.25">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x14ac:dyDescent="0.25">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x14ac:dyDescent="0.25">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x14ac:dyDescent="0.25">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x14ac:dyDescent="0.25">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x14ac:dyDescent="0.25">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x14ac:dyDescent="0.25">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x14ac:dyDescent="0.25">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x14ac:dyDescent="0.25">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x14ac:dyDescent="0.25">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x14ac:dyDescent="0.25">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x14ac:dyDescent="0.25">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x14ac:dyDescent="0.25">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x14ac:dyDescent="0.25">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x14ac:dyDescent="0.25">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x14ac:dyDescent="0.25">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x14ac:dyDescent="0.25">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x14ac:dyDescent="0.25">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x14ac:dyDescent="0.25">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x14ac:dyDescent="0.25">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x14ac:dyDescent="0.25">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x14ac:dyDescent="0.25">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x14ac:dyDescent="0.25">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x14ac:dyDescent="0.25">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x14ac:dyDescent="0.25">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x14ac:dyDescent="0.25">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x14ac:dyDescent="0.25">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x14ac:dyDescent="0.25">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x14ac:dyDescent="0.25">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x14ac:dyDescent="0.25">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x14ac:dyDescent="0.25">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x14ac:dyDescent="0.25">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x14ac:dyDescent="0.25">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x14ac:dyDescent="0.25">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x14ac:dyDescent="0.25">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x14ac:dyDescent="0.25">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x14ac:dyDescent="0.25">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x14ac:dyDescent="0.25">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x14ac:dyDescent="0.25">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x14ac:dyDescent="0.25">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x14ac:dyDescent="0.25">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x14ac:dyDescent="0.25">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x14ac:dyDescent="0.25">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x14ac:dyDescent="0.25">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x14ac:dyDescent="0.25">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x14ac:dyDescent="0.25">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x14ac:dyDescent="0.25">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x14ac:dyDescent="0.25">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x14ac:dyDescent="0.25">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x14ac:dyDescent="0.25">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x14ac:dyDescent="0.25">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x14ac:dyDescent="0.25">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x14ac:dyDescent="0.25">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x14ac:dyDescent="0.25">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x14ac:dyDescent="0.25">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x14ac:dyDescent="0.25">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x14ac:dyDescent="0.25">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x14ac:dyDescent="0.25">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x14ac:dyDescent="0.25">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x14ac:dyDescent="0.25">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x14ac:dyDescent="0.25">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x14ac:dyDescent="0.25">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x14ac:dyDescent="0.25">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x14ac:dyDescent="0.25">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x14ac:dyDescent="0.25">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x14ac:dyDescent="0.25">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x14ac:dyDescent="0.25">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x14ac:dyDescent="0.25">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x14ac:dyDescent="0.25">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x14ac:dyDescent="0.25">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x14ac:dyDescent="0.25">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x14ac:dyDescent="0.25">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x14ac:dyDescent="0.25">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x14ac:dyDescent="0.25">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x14ac:dyDescent="0.25">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x14ac:dyDescent="0.25">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x14ac:dyDescent="0.25">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x14ac:dyDescent="0.25">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x14ac:dyDescent="0.25">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x14ac:dyDescent="0.25">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x14ac:dyDescent="0.25">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x14ac:dyDescent="0.25">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x14ac:dyDescent="0.25">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x14ac:dyDescent="0.25">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x14ac:dyDescent="0.25">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x14ac:dyDescent="0.25">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x14ac:dyDescent="0.25">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x14ac:dyDescent="0.25">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x14ac:dyDescent="0.25">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x14ac:dyDescent="0.25">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x14ac:dyDescent="0.25">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x14ac:dyDescent="0.25">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x14ac:dyDescent="0.25">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x14ac:dyDescent="0.25">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x14ac:dyDescent="0.25">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x14ac:dyDescent="0.25">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x14ac:dyDescent="0.25">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x14ac:dyDescent="0.25">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x14ac:dyDescent="0.25">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x14ac:dyDescent="0.25">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x14ac:dyDescent="0.25">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x14ac:dyDescent="0.25">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x14ac:dyDescent="0.25">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x14ac:dyDescent="0.25">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x14ac:dyDescent="0.25">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x14ac:dyDescent="0.25">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x14ac:dyDescent="0.25">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x14ac:dyDescent="0.25">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x14ac:dyDescent="0.25">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x14ac:dyDescent="0.25">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x14ac:dyDescent="0.25">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x14ac:dyDescent="0.25">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x14ac:dyDescent="0.25">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x14ac:dyDescent="0.25">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x14ac:dyDescent="0.25">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x14ac:dyDescent="0.25">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x14ac:dyDescent="0.25">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x14ac:dyDescent="0.25">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x14ac:dyDescent="0.25">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x14ac:dyDescent="0.25">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x14ac:dyDescent="0.25">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x14ac:dyDescent="0.25">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x14ac:dyDescent="0.25">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x14ac:dyDescent="0.25">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x14ac:dyDescent="0.25">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x14ac:dyDescent="0.25">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x14ac:dyDescent="0.25">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x14ac:dyDescent="0.25">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x14ac:dyDescent="0.25">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x14ac:dyDescent="0.25">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x14ac:dyDescent="0.25">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x14ac:dyDescent="0.25">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x14ac:dyDescent="0.25">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x14ac:dyDescent="0.25">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x14ac:dyDescent="0.25">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x14ac:dyDescent="0.25">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x14ac:dyDescent="0.25">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x14ac:dyDescent="0.25">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x14ac:dyDescent="0.25">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x14ac:dyDescent="0.25">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x14ac:dyDescent="0.25">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x14ac:dyDescent="0.25">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x14ac:dyDescent="0.25">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x14ac:dyDescent="0.25">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x14ac:dyDescent="0.25">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x14ac:dyDescent="0.25">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x14ac:dyDescent="0.25">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x14ac:dyDescent="0.25">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x14ac:dyDescent="0.25">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x14ac:dyDescent="0.25">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x14ac:dyDescent="0.25">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x14ac:dyDescent="0.25">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x14ac:dyDescent="0.25">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x14ac:dyDescent="0.25">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x14ac:dyDescent="0.25">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x14ac:dyDescent="0.25">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x14ac:dyDescent="0.25">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x14ac:dyDescent="0.25">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x14ac:dyDescent="0.25">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x14ac:dyDescent="0.25">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x14ac:dyDescent="0.25">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x14ac:dyDescent="0.25">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x14ac:dyDescent="0.25">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x14ac:dyDescent="0.25">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x14ac:dyDescent="0.25">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x14ac:dyDescent="0.25">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x14ac:dyDescent="0.25">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x14ac:dyDescent="0.25">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x14ac:dyDescent="0.25">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x14ac:dyDescent="0.25">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x14ac:dyDescent="0.25">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x14ac:dyDescent="0.25">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x14ac:dyDescent="0.25">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x14ac:dyDescent="0.25">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x14ac:dyDescent="0.25">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x14ac:dyDescent="0.25">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x14ac:dyDescent="0.25">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x14ac:dyDescent="0.25">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x14ac:dyDescent="0.25">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x14ac:dyDescent="0.25">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x14ac:dyDescent="0.25">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x14ac:dyDescent="0.25">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x14ac:dyDescent="0.25">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x14ac:dyDescent="0.25">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x14ac:dyDescent="0.25">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x14ac:dyDescent="0.25">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x14ac:dyDescent="0.25">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x14ac:dyDescent="0.25">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x14ac:dyDescent="0.25">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x14ac:dyDescent="0.25">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x14ac:dyDescent="0.25">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CEF8E-54E6-44E5-8979-C2810E7CCBB2}">
  <dimension ref="A2:L10"/>
  <sheetViews>
    <sheetView zoomScaleNormal="100" workbookViewId="0">
      <selection activeCell="A13" sqref="A13"/>
    </sheetView>
  </sheetViews>
  <sheetFormatPr defaultRowHeight="15" x14ac:dyDescent="0.25"/>
  <cols>
    <col min="1" max="1" width="14.85546875" customWidth="1"/>
    <col min="2" max="2" width="16.85546875" customWidth="1"/>
    <col min="3" max="3" width="7.140625" customWidth="1"/>
    <col min="4" max="4" width="6.140625" customWidth="1"/>
    <col min="5" max="5" width="9.28515625" customWidth="1"/>
    <col min="6" max="6" width="11.28515625" customWidth="1"/>
    <col min="8" max="8" width="13.85546875" customWidth="1"/>
  </cols>
  <sheetData>
    <row r="2" spans="1:12" x14ac:dyDescent="0.25">
      <c r="H2" t="s">
        <v>2568</v>
      </c>
    </row>
    <row r="3" spans="1:12" x14ac:dyDescent="0.25">
      <c r="A3" s="12" t="s">
        <v>2554</v>
      </c>
      <c r="B3" s="12" t="s">
        <v>2563</v>
      </c>
    </row>
    <row r="4" spans="1:12" ht="15.75" thickBot="1" x14ac:dyDescent="0.3">
      <c r="A4" s="12" t="s">
        <v>2560</v>
      </c>
      <c r="B4" t="s">
        <v>2564</v>
      </c>
      <c r="C4" t="s">
        <v>2565</v>
      </c>
      <c r="D4" t="s">
        <v>2566</v>
      </c>
      <c r="E4" t="s">
        <v>2567</v>
      </c>
      <c r="F4" t="s">
        <v>2561</v>
      </c>
      <c r="I4" t="str">
        <f t="shared" ref="I4:L9" si="0">B4</f>
        <v>Female</v>
      </c>
      <c r="J4" t="str">
        <f t="shared" si="0"/>
        <v>Male</v>
      </c>
      <c r="K4" t="str">
        <f t="shared" si="0"/>
        <v>Other</v>
      </c>
      <c r="L4" t="str">
        <f t="shared" si="0"/>
        <v>Unknown</v>
      </c>
    </row>
    <row r="5" spans="1:12" ht="16.5" thickTop="1" thickBot="1" x14ac:dyDescent="0.3">
      <c r="A5" s="13" t="s">
        <v>18</v>
      </c>
      <c r="B5" s="15">
        <v>0.18961825201634841</v>
      </c>
      <c r="C5" s="15">
        <v>0.12262322351336576</v>
      </c>
      <c r="D5" s="15">
        <v>1.060537752469185E-2</v>
      </c>
      <c r="E5" s="15">
        <v>3.0599220547662797E-2</v>
      </c>
      <c r="F5" s="15">
        <v>0.35344607360206881</v>
      </c>
      <c r="H5" s="16" t="str">
        <f>A5</f>
        <v>App</v>
      </c>
      <c r="I5" s="17">
        <f t="shared" si="0"/>
        <v>0.18961825201634841</v>
      </c>
      <c r="J5" s="17">
        <f t="shared" si="0"/>
        <v>0.12262322351336576</v>
      </c>
      <c r="K5" s="17">
        <f t="shared" si="0"/>
        <v>1.060537752469185E-2</v>
      </c>
      <c r="L5" s="17">
        <f t="shared" si="0"/>
        <v>3.0599220547662797E-2</v>
      </c>
    </row>
    <row r="6" spans="1:12" ht="16.5" thickTop="1" thickBot="1" x14ac:dyDescent="0.3">
      <c r="A6" s="13" t="s">
        <v>51</v>
      </c>
      <c r="B6" s="15">
        <v>5.0283982091147303E-2</v>
      </c>
      <c r="C6" s="15">
        <v>4.3060781812819873E-2</v>
      </c>
      <c r="D6" s="15">
        <v>1.5320025675641944E-3</v>
      </c>
      <c r="E6" s="15">
        <v>1.7794988689097006E-2</v>
      </c>
      <c r="F6" s="15">
        <v>0.11267175516062837</v>
      </c>
      <c r="H6" s="16" t="str">
        <f>A6</f>
        <v>Instagram</v>
      </c>
      <c r="I6" s="17">
        <f t="shared" si="0"/>
        <v>5.0283982091147303E-2</v>
      </c>
      <c r="J6" s="17">
        <f t="shared" si="0"/>
        <v>4.3060781812819873E-2</v>
      </c>
      <c r="K6" s="17">
        <f t="shared" si="0"/>
        <v>1.5320025675641944E-3</v>
      </c>
      <c r="L6" s="17">
        <f t="shared" si="0"/>
        <v>1.7794988689097006E-2</v>
      </c>
    </row>
    <row r="7" spans="1:12" ht="16.5" thickTop="1" thickBot="1" x14ac:dyDescent="0.3">
      <c r="A7" s="13" t="s">
        <v>70</v>
      </c>
      <c r="B7" s="15">
        <v>6.3496059750411282E-2</v>
      </c>
      <c r="C7" s="15">
        <v>4.6071629863988765E-2</v>
      </c>
      <c r="D7" s="15">
        <v>2.306247051322625E-3</v>
      </c>
      <c r="E7" s="15">
        <v>3.8927934093844286E-3</v>
      </c>
      <c r="F7" s="15">
        <v>0.11576673007510711</v>
      </c>
      <c r="H7" s="16" t="str">
        <f>A7</f>
        <v>Partner App</v>
      </c>
      <c r="I7" s="17">
        <f t="shared" si="0"/>
        <v>6.3496059750411282E-2</v>
      </c>
      <c r="J7" s="17">
        <f t="shared" si="0"/>
        <v>4.6071629863988765E-2</v>
      </c>
      <c r="K7" s="17">
        <f t="shared" si="0"/>
        <v>2.306247051322625E-3</v>
      </c>
      <c r="L7" s="17">
        <f t="shared" si="0"/>
        <v>3.8927934093844286E-3</v>
      </c>
    </row>
    <row r="8" spans="1:12" ht="16.5" thickTop="1" thickBot="1" x14ac:dyDescent="0.3">
      <c r="A8" s="13" t="s">
        <v>40</v>
      </c>
      <c r="B8" s="15">
        <v>9.6337892927149532E-2</v>
      </c>
      <c r="C8" s="15">
        <v>6.7920115842382611E-2</v>
      </c>
      <c r="D8" s="15">
        <v>5.4979832664581261E-3</v>
      </c>
      <c r="E8" s="15">
        <v>1.2933041488102518E-2</v>
      </c>
      <c r="F8" s="15">
        <v>0.1826890335240928</v>
      </c>
      <c r="H8" s="16" t="str">
        <f>A8</f>
        <v>Target.com</v>
      </c>
      <c r="I8" s="17">
        <f t="shared" si="0"/>
        <v>9.6337892927149532E-2</v>
      </c>
      <c r="J8" s="17">
        <f t="shared" si="0"/>
        <v>6.7920115842382611E-2</v>
      </c>
      <c r="K8" s="17">
        <f t="shared" si="0"/>
        <v>5.4979832664581261E-3</v>
      </c>
      <c r="L8" s="17">
        <f t="shared" si="0"/>
        <v>1.2933041488102518E-2</v>
      </c>
    </row>
    <row r="9" spans="1:12" ht="16.5" thickTop="1" thickBot="1" x14ac:dyDescent="0.3">
      <c r="A9" s="13" t="s">
        <v>35</v>
      </c>
      <c r="B9" s="15">
        <v>0.12522098709469262</v>
      </c>
      <c r="C9" s="15">
        <v>9.1492740283116228E-2</v>
      </c>
      <c r="D9" s="15">
        <v>6.3042760790965081E-3</v>
      </c>
      <c r="E9" s="15">
        <v>1.2408404181197551E-2</v>
      </c>
      <c r="F9" s="15">
        <v>0.23542640763810288</v>
      </c>
      <c r="H9" s="16" t="str">
        <f>A9</f>
        <v>Website</v>
      </c>
      <c r="I9" s="17">
        <f t="shared" si="0"/>
        <v>0.12522098709469262</v>
      </c>
      <c r="J9" s="17">
        <f t="shared" si="0"/>
        <v>9.1492740283116228E-2</v>
      </c>
      <c r="K9" s="17">
        <f t="shared" si="0"/>
        <v>6.3042760790965081E-3</v>
      </c>
      <c r="L9" s="17">
        <f t="shared" si="0"/>
        <v>1.2408404181197551E-2</v>
      </c>
    </row>
    <row r="10" spans="1:12" ht="15.75" thickTop="1" x14ac:dyDescent="0.25">
      <c r="A10" s="13" t="s">
        <v>2561</v>
      </c>
      <c r="B10" s="15">
        <v>0.52495717387974916</v>
      </c>
      <c r="C10" s="15">
        <v>0.3711684913156732</v>
      </c>
      <c r="D10" s="15">
        <v>2.6245886489133303E-2</v>
      </c>
      <c r="E10" s="15">
        <v>7.7628448315444312E-2</v>
      </c>
      <c r="F10" s="15">
        <v>1</v>
      </c>
    </row>
  </sheetData>
  <conditionalFormatting sqref="H4:L9">
    <cfRule type="colorScale" priority="1">
      <colorScale>
        <cfvo type="min"/>
        <cfvo type="percentile" val="50"/>
        <cfvo type="max"/>
        <color rgb="FFF8696B"/>
        <color rgb="FFFCFCFF"/>
        <color rgb="FF5A8AC6"/>
      </colorScale>
    </cfRule>
  </conditionalFormatting>
  <conditionalFormatting sqref="L6">
    <cfRule type="colorScale" priority="2">
      <colorScale>
        <cfvo type="min"/>
        <cfvo type="percentile" val="50"/>
        <cfvo type="max"/>
        <color rgb="FFF8696B"/>
        <color rgb="FFFCFCFF"/>
        <color rgb="FF5A8AC6"/>
      </colorScale>
    </cfRule>
  </conditionalFormatting>
  <pageMargins left="0.7" right="0.7" top="0.75" bottom="0.75" header="0.3" footer="0.3"/>
  <pageSetup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3B715-3DE4-4B4F-85D6-F2428A89447B}">
  <dimension ref="A3:L25"/>
  <sheetViews>
    <sheetView workbookViewId="0">
      <selection activeCell="K6" sqref="K6:L6"/>
    </sheetView>
  </sheetViews>
  <sheetFormatPr defaultRowHeight="15" x14ac:dyDescent="0.25"/>
  <cols>
    <col min="1" max="1" width="21.140625" bestFit="1" customWidth="1"/>
    <col min="2" max="2" width="16.28515625" bestFit="1" customWidth="1"/>
    <col min="3" max="4" width="5" bestFit="1" customWidth="1"/>
    <col min="5" max="5" width="4" bestFit="1" customWidth="1"/>
    <col min="6" max="6" width="11.28515625" customWidth="1"/>
    <col min="11" max="11" width="13.140625" bestFit="1" customWidth="1"/>
    <col min="12" max="12" width="15.42578125" bestFit="1" customWidth="1"/>
    <col min="13" max="13" width="5" customWidth="1"/>
    <col min="14" max="14" width="5" bestFit="1" customWidth="1"/>
    <col min="15" max="15" width="4" bestFit="1" customWidth="1"/>
    <col min="16" max="16" width="11.28515625" bestFit="1" customWidth="1"/>
  </cols>
  <sheetData>
    <row r="3" spans="1:12" x14ac:dyDescent="0.25">
      <c r="A3" s="12" t="s">
        <v>2553</v>
      </c>
      <c r="B3" s="12" t="s">
        <v>2563</v>
      </c>
      <c r="K3" s="12" t="s">
        <v>2560</v>
      </c>
      <c r="L3" t="s">
        <v>2553</v>
      </c>
    </row>
    <row r="4" spans="1:12" x14ac:dyDescent="0.25">
      <c r="A4" s="12" t="s">
        <v>2560</v>
      </c>
      <c r="C4" t="s">
        <v>27</v>
      </c>
      <c r="D4" t="s">
        <v>23</v>
      </c>
      <c r="E4" t="s">
        <v>89</v>
      </c>
      <c r="F4" t="s">
        <v>2561</v>
      </c>
      <c r="K4" s="13"/>
      <c r="L4">
        <v>736</v>
      </c>
    </row>
    <row r="5" spans="1:12" x14ac:dyDescent="0.25">
      <c r="A5" s="13" t="s">
        <v>44</v>
      </c>
      <c r="B5">
        <v>98</v>
      </c>
      <c r="C5">
        <v>744</v>
      </c>
      <c r="D5">
        <v>713</v>
      </c>
      <c r="E5">
        <v>90</v>
      </c>
      <c r="F5">
        <v>1645</v>
      </c>
      <c r="K5" s="13" t="s">
        <v>27</v>
      </c>
      <c r="L5">
        <v>6272</v>
      </c>
    </row>
    <row r="6" spans="1:12" x14ac:dyDescent="0.25">
      <c r="A6" s="13" t="s">
        <v>39</v>
      </c>
      <c r="B6">
        <v>214</v>
      </c>
      <c r="C6">
        <v>716</v>
      </c>
      <c r="D6">
        <v>598</v>
      </c>
      <c r="E6">
        <v>18</v>
      </c>
      <c r="F6">
        <v>1546</v>
      </c>
      <c r="K6" s="13" t="s">
        <v>23</v>
      </c>
      <c r="L6">
        <v>4672</v>
      </c>
    </row>
    <row r="7" spans="1:12" x14ac:dyDescent="0.25">
      <c r="A7" s="13" t="s">
        <v>26</v>
      </c>
      <c r="B7">
        <v>137</v>
      </c>
      <c r="C7">
        <v>627</v>
      </c>
      <c r="D7">
        <v>393</v>
      </c>
      <c r="E7">
        <v>29</v>
      </c>
      <c r="F7">
        <v>1186</v>
      </c>
      <c r="K7" s="13" t="s">
        <v>89</v>
      </c>
      <c r="L7">
        <v>317</v>
      </c>
    </row>
    <row r="8" spans="1:12" x14ac:dyDescent="0.25">
      <c r="A8" s="13" t="s">
        <v>22</v>
      </c>
      <c r="B8">
        <v>16</v>
      </c>
      <c r="C8">
        <v>568</v>
      </c>
      <c r="D8">
        <v>306</v>
      </c>
      <c r="E8">
        <v>22</v>
      </c>
      <c r="F8">
        <v>912</v>
      </c>
      <c r="K8" s="13" t="s">
        <v>2561</v>
      </c>
      <c r="L8">
        <v>11997</v>
      </c>
    </row>
    <row r="9" spans="1:12" x14ac:dyDescent="0.25">
      <c r="A9" s="13" t="s">
        <v>54</v>
      </c>
      <c r="B9">
        <v>22</v>
      </c>
      <c r="C9">
        <v>482</v>
      </c>
      <c r="D9">
        <v>295</v>
      </c>
      <c r="E9">
        <v>8</v>
      </c>
      <c r="F9">
        <v>807</v>
      </c>
    </row>
    <row r="10" spans="1:12" x14ac:dyDescent="0.25">
      <c r="A10" s="13" t="s">
        <v>16</v>
      </c>
      <c r="B10">
        <v>24</v>
      </c>
      <c r="C10">
        <v>428</v>
      </c>
      <c r="D10">
        <v>293</v>
      </c>
      <c r="F10">
        <v>745</v>
      </c>
    </row>
    <row r="11" spans="1:12" x14ac:dyDescent="0.25">
      <c r="A11" s="13" t="s">
        <v>46</v>
      </c>
      <c r="B11">
        <v>39</v>
      </c>
      <c r="C11">
        <v>445</v>
      </c>
      <c r="D11">
        <v>202</v>
      </c>
      <c r="E11">
        <v>14</v>
      </c>
      <c r="F11">
        <v>700</v>
      </c>
    </row>
    <row r="12" spans="1:12" x14ac:dyDescent="0.25">
      <c r="A12" s="13" t="s">
        <v>32</v>
      </c>
      <c r="B12">
        <v>15</v>
      </c>
      <c r="C12">
        <v>431</v>
      </c>
      <c r="D12">
        <v>187</v>
      </c>
      <c r="E12">
        <v>14</v>
      </c>
      <c r="F12">
        <v>647</v>
      </c>
    </row>
    <row r="13" spans="1:12" x14ac:dyDescent="0.25">
      <c r="A13" s="13" t="s">
        <v>42</v>
      </c>
      <c r="B13">
        <v>9</v>
      </c>
      <c r="C13">
        <v>264</v>
      </c>
      <c r="D13">
        <v>318</v>
      </c>
      <c r="E13">
        <v>15</v>
      </c>
      <c r="F13">
        <v>606</v>
      </c>
    </row>
    <row r="14" spans="1:12" x14ac:dyDescent="0.25">
      <c r="A14" s="13" t="s">
        <v>37</v>
      </c>
      <c r="B14">
        <v>23</v>
      </c>
      <c r="C14">
        <v>296</v>
      </c>
      <c r="D14">
        <v>275</v>
      </c>
      <c r="E14">
        <v>9</v>
      </c>
      <c r="F14">
        <v>603</v>
      </c>
    </row>
    <row r="15" spans="1:12" x14ac:dyDescent="0.25">
      <c r="A15" s="13" t="s">
        <v>123</v>
      </c>
      <c r="B15">
        <v>8</v>
      </c>
      <c r="C15">
        <v>153</v>
      </c>
      <c r="D15">
        <v>246</v>
      </c>
      <c r="E15">
        <v>30</v>
      </c>
      <c r="F15">
        <v>437</v>
      </c>
    </row>
    <row r="16" spans="1:12" x14ac:dyDescent="0.25">
      <c r="A16" s="13" t="s">
        <v>146</v>
      </c>
      <c r="B16">
        <v>31</v>
      </c>
      <c r="C16">
        <v>189</v>
      </c>
      <c r="D16">
        <v>168</v>
      </c>
      <c r="E16">
        <v>10</v>
      </c>
      <c r="F16">
        <v>398</v>
      </c>
    </row>
    <row r="17" spans="1:6" x14ac:dyDescent="0.25">
      <c r="A17" s="13" t="s">
        <v>69</v>
      </c>
      <c r="B17">
        <v>24</v>
      </c>
      <c r="C17">
        <v>234</v>
      </c>
      <c r="D17">
        <v>93</v>
      </c>
      <c r="E17">
        <v>19</v>
      </c>
      <c r="F17">
        <v>370</v>
      </c>
    </row>
    <row r="18" spans="1:6" x14ac:dyDescent="0.25">
      <c r="A18" s="13" t="s">
        <v>30</v>
      </c>
      <c r="B18">
        <v>28</v>
      </c>
      <c r="C18">
        <v>146</v>
      </c>
      <c r="D18">
        <v>94</v>
      </c>
      <c r="E18">
        <v>4</v>
      </c>
      <c r="F18">
        <v>272</v>
      </c>
    </row>
    <row r="19" spans="1:6" x14ac:dyDescent="0.25">
      <c r="A19" s="13" t="s">
        <v>135</v>
      </c>
      <c r="B19">
        <v>12</v>
      </c>
      <c r="C19">
        <v>127</v>
      </c>
      <c r="D19">
        <v>118</v>
      </c>
      <c r="E19">
        <v>13</v>
      </c>
      <c r="F19">
        <v>270</v>
      </c>
    </row>
    <row r="20" spans="1:6" x14ac:dyDescent="0.25">
      <c r="A20" s="13" t="s">
        <v>67</v>
      </c>
      <c r="C20">
        <v>179</v>
      </c>
      <c r="D20">
        <v>76</v>
      </c>
      <c r="E20">
        <v>3</v>
      </c>
      <c r="F20">
        <v>258</v>
      </c>
    </row>
    <row r="21" spans="1:6" x14ac:dyDescent="0.25">
      <c r="A21" s="13" t="s">
        <v>128</v>
      </c>
      <c r="B21">
        <v>24</v>
      </c>
      <c r="C21">
        <v>99</v>
      </c>
      <c r="D21">
        <v>69</v>
      </c>
      <c r="E21">
        <v>3</v>
      </c>
      <c r="F21">
        <v>195</v>
      </c>
    </row>
    <row r="22" spans="1:6" x14ac:dyDescent="0.25">
      <c r="A22" s="13" t="s">
        <v>76</v>
      </c>
      <c r="B22">
        <v>6</v>
      </c>
      <c r="C22">
        <v>75</v>
      </c>
      <c r="D22">
        <v>103</v>
      </c>
      <c r="E22">
        <v>4</v>
      </c>
      <c r="F22">
        <v>188</v>
      </c>
    </row>
    <row r="23" spans="1:6" x14ac:dyDescent="0.25">
      <c r="A23" s="13" t="s">
        <v>81</v>
      </c>
      <c r="B23">
        <v>6</v>
      </c>
      <c r="C23">
        <v>43</v>
      </c>
      <c r="D23">
        <v>90</v>
      </c>
      <c r="E23">
        <v>8</v>
      </c>
      <c r="F23">
        <v>147</v>
      </c>
    </row>
    <row r="24" spans="1:6" x14ac:dyDescent="0.25">
      <c r="A24" s="13" t="s">
        <v>171</v>
      </c>
      <c r="C24">
        <v>26</v>
      </c>
      <c r="D24">
        <v>35</v>
      </c>
      <c r="E24">
        <v>4</v>
      </c>
      <c r="F24">
        <v>65</v>
      </c>
    </row>
    <row r="25" spans="1:6" x14ac:dyDescent="0.25">
      <c r="A25" s="13" t="s">
        <v>2561</v>
      </c>
      <c r="B25">
        <v>736</v>
      </c>
      <c r="C25">
        <v>6272</v>
      </c>
      <c r="D25">
        <v>4672</v>
      </c>
      <c r="E25">
        <v>317</v>
      </c>
      <c r="F25">
        <v>11997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37647-72DB-4F9D-8232-2AAD790166A6}">
  <dimension ref="A3:B11"/>
  <sheetViews>
    <sheetView workbookViewId="0">
      <selection activeCell="A14" sqref="A14:XFD14"/>
    </sheetView>
  </sheetViews>
  <sheetFormatPr defaultRowHeight="15" x14ac:dyDescent="0.25"/>
  <cols>
    <col min="1" max="1" width="13.140625" bestFit="1" customWidth="1"/>
    <col min="2" max="2" width="13.5703125" bestFit="1" customWidth="1"/>
  </cols>
  <sheetData>
    <row r="3" spans="1:2" x14ac:dyDescent="0.25">
      <c r="A3" s="12" t="s">
        <v>2560</v>
      </c>
      <c r="B3" t="s">
        <v>2552</v>
      </c>
    </row>
    <row r="4" spans="1:2" x14ac:dyDescent="0.25">
      <c r="A4" s="13">
        <v>1</v>
      </c>
      <c r="B4">
        <v>397</v>
      </c>
    </row>
    <row r="5" spans="1:2" x14ac:dyDescent="0.25">
      <c r="A5" s="13">
        <v>2</v>
      </c>
      <c r="B5">
        <v>540</v>
      </c>
    </row>
    <row r="6" spans="1:2" x14ac:dyDescent="0.25">
      <c r="A6" s="13">
        <v>3</v>
      </c>
      <c r="B6">
        <v>375</v>
      </c>
    </row>
    <row r="7" spans="1:2" x14ac:dyDescent="0.25">
      <c r="A7" s="13">
        <v>4</v>
      </c>
      <c r="B7">
        <v>246</v>
      </c>
    </row>
    <row r="8" spans="1:2" x14ac:dyDescent="0.25">
      <c r="A8" s="13">
        <v>5</v>
      </c>
      <c r="B8">
        <v>195</v>
      </c>
    </row>
    <row r="9" spans="1:2" x14ac:dyDescent="0.25">
      <c r="A9" s="13" t="s">
        <v>2569</v>
      </c>
      <c r="B9">
        <v>414</v>
      </c>
    </row>
    <row r="10" spans="1:2" x14ac:dyDescent="0.25">
      <c r="A10" s="13" t="s">
        <v>2570</v>
      </c>
      <c r="B10">
        <v>233</v>
      </c>
    </row>
    <row r="11" spans="1:2" x14ac:dyDescent="0.25">
      <c r="A11" s="13" t="s">
        <v>2561</v>
      </c>
      <c r="B11">
        <v>2400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topLeftCell="A4" workbookViewId="0">
      <selection activeCell="E9" sqref="E9"/>
    </sheetView>
  </sheetViews>
  <sheetFormatPr defaultRowHeight="15" x14ac:dyDescent="0.25"/>
  <cols>
    <col min="1" max="1" width="3.7109375" customWidth="1"/>
    <col min="2" max="2" width="52.7109375" customWidth="1"/>
  </cols>
  <sheetData>
    <row r="2" spans="2:2" x14ac:dyDescent="0.25">
      <c r="B2" s="3" t="s">
        <v>2503</v>
      </c>
    </row>
    <row r="3" spans="2:2" x14ac:dyDescent="0.25">
      <c r="B3" s="4" t="s">
        <v>2504</v>
      </c>
    </row>
    <row r="4" spans="2:2" x14ac:dyDescent="0.25">
      <c r="B4" s="4" t="s">
        <v>2505</v>
      </c>
    </row>
    <row r="5" spans="2:2" x14ac:dyDescent="0.25">
      <c r="B5" s="4" t="s">
        <v>2506</v>
      </c>
    </row>
    <row r="6" spans="2:2" x14ac:dyDescent="0.25">
      <c r="B6" s="4" t="s">
        <v>2507</v>
      </c>
    </row>
    <row r="7" spans="2:2" x14ac:dyDescent="0.25">
      <c r="B7" s="4" t="s">
        <v>2508</v>
      </c>
    </row>
    <row r="10" spans="2:2" x14ac:dyDescent="0.25">
      <c r="B10" s="3" t="s">
        <v>2509</v>
      </c>
    </row>
    <row r="11" spans="2:2" x14ac:dyDescent="0.25">
      <c r="B11" t="s">
        <v>2510</v>
      </c>
    </row>
    <row r="12" spans="2:2" x14ac:dyDescent="0.25">
      <c r="B12" t="s">
        <v>2511</v>
      </c>
    </row>
    <row r="13" spans="2:2" x14ac:dyDescent="0.25">
      <c r="B13" t="s">
        <v>2512</v>
      </c>
    </row>
    <row r="14" spans="2:2" x14ac:dyDescent="0.25">
      <c r="B14" t="s">
        <v>2513</v>
      </c>
    </row>
    <row r="15" spans="2:2" x14ac:dyDescent="0.25">
      <c r="B15" t="s">
        <v>2514</v>
      </c>
    </row>
    <row r="16" spans="2:2" x14ac:dyDescent="0.25">
      <c r="B16" t="s">
        <v>2515</v>
      </c>
    </row>
    <row r="17" spans="2:2" x14ac:dyDescent="0.25">
      <c r="B17" t="s">
        <v>2516</v>
      </c>
    </row>
    <row r="18" spans="2:2" x14ac:dyDescent="0.25">
      <c r="B18" t="s">
        <v>2517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1D30B-60E4-4685-B421-10EFD7769A97}">
  <dimension ref="B2:H24"/>
  <sheetViews>
    <sheetView workbookViewId="0">
      <selection activeCell="D10" sqref="D10"/>
    </sheetView>
  </sheetViews>
  <sheetFormatPr defaultRowHeight="15" x14ac:dyDescent="0.25"/>
  <cols>
    <col min="1" max="1" width="3.28515625" customWidth="1"/>
    <col min="8" max="8" width="37.28515625" customWidth="1"/>
  </cols>
  <sheetData>
    <row r="2" spans="2:8" x14ac:dyDescent="0.25">
      <c r="H2" t="s">
        <v>2548</v>
      </c>
    </row>
    <row r="3" spans="2:8" x14ac:dyDescent="0.25">
      <c r="B3" t="s">
        <v>2518</v>
      </c>
    </row>
    <row r="4" spans="2:8" x14ac:dyDescent="0.25">
      <c r="H4" s="11" t="s">
        <v>2549</v>
      </c>
    </row>
    <row r="5" spans="2:8" x14ac:dyDescent="0.25">
      <c r="B5" t="s">
        <v>2519</v>
      </c>
      <c r="H5" s="11" t="s">
        <v>2550</v>
      </c>
    </row>
    <row r="6" spans="2:8" x14ac:dyDescent="0.25">
      <c r="B6" s="5"/>
      <c r="C6" t="s">
        <v>2520</v>
      </c>
      <c r="D6" t="s">
        <v>2526</v>
      </c>
      <c r="H6" t="s">
        <v>2551</v>
      </c>
    </row>
    <row r="7" spans="2:8" x14ac:dyDescent="0.25">
      <c r="B7" s="6"/>
      <c r="C7" t="s">
        <v>2521</v>
      </c>
      <c r="D7" t="s">
        <v>2527</v>
      </c>
    </row>
    <row r="8" spans="2:8" x14ac:dyDescent="0.25">
      <c r="B8" s="7"/>
      <c r="C8" t="s">
        <v>2522</v>
      </c>
      <c r="D8" t="s">
        <v>2528</v>
      </c>
    </row>
    <row r="9" spans="2:8" x14ac:dyDescent="0.25">
      <c r="B9" s="8"/>
      <c r="C9" t="s">
        <v>2523</v>
      </c>
      <c r="D9" t="s">
        <v>2529</v>
      </c>
    </row>
    <row r="10" spans="2:8" x14ac:dyDescent="0.25">
      <c r="B10" s="9"/>
      <c r="C10" t="s">
        <v>2524</v>
      </c>
      <c r="D10" t="s">
        <v>2530</v>
      </c>
    </row>
    <row r="11" spans="2:8" x14ac:dyDescent="0.25">
      <c r="B11" s="2"/>
      <c r="C11" t="s">
        <v>2525</v>
      </c>
      <c r="D11" t="s">
        <v>2531</v>
      </c>
    </row>
    <row r="13" spans="2:8" x14ac:dyDescent="0.25">
      <c r="B13" t="s">
        <v>2532</v>
      </c>
    </row>
    <row r="14" spans="2:8" x14ac:dyDescent="0.25">
      <c r="B14" t="s">
        <v>2533</v>
      </c>
      <c r="C14" t="s">
        <v>2538</v>
      </c>
    </row>
    <row r="15" spans="2:8" x14ac:dyDescent="0.25">
      <c r="B15" t="s">
        <v>2534</v>
      </c>
      <c r="C15" t="s">
        <v>2</v>
      </c>
    </row>
    <row r="16" spans="2:8" x14ac:dyDescent="0.25">
      <c r="B16" t="s">
        <v>2535</v>
      </c>
      <c r="C16" t="s">
        <v>4</v>
      </c>
    </row>
    <row r="17" spans="2:3" x14ac:dyDescent="0.25">
      <c r="B17" t="s">
        <v>2536</v>
      </c>
      <c r="C17" t="s">
        <v>2539</v>
      </c>
    </row>
    <row r="18" spans="2:3" x14ac:dyDescent="0.25">
      <c r="B18" t="s">
        <v>2537</v>
      </c>
      <c r="C18" t="s">
        <v>2540</v>
      </c>
    </row>
    <row r="21" spans="2:3" x14ac:dyDescent="0.25">
      <c r="B21" t="s">
        <v>2541</v>
      </c>
    </row>
    <row r="22" spans="2:3" x14ac:dyDescent="0.25">
      <c r="B22" t="s">
        <v>2542</v>
      </c>
      <c r="C22" t="s">
        <v>2543</v>
      </c>
    </row>
    <row r="23" spans="2:3" x14ac:dyDescent="0.25">
      <c r="B23" t="s">
        <v>2544</v>
      </c>
      <c r="C23" t="s">
        <v>2545</v>
      </c>
    </row>
    <row r="24" spans="2:3" x14ac:dyDescent="0.25">
      <c r="B24" s="10" t="s">
        <v>2546</v>
      </c>
      <c r="C24" t="s">
        <v>2547</v>
      </c>
    </row>
  </sheetData>
  <phoneticPr fontId="2" type="noConversion"/>
  <hyperlinks>
    <hyperlink ref="H4" r:id="rId1" xr:uid="{A77862B0-B580-43DF-9272-7B32B5A35427}"/>
    <hyperlink ref="H5" r:id="rId2" xr:uid="{602AE8E3-2587-4F74-A241-C4690768D1EC}"/>
  </hyperlinks>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pivot</vt:lpstr>
      <vt:lpstr>Dashboard</vt:lpstr>
      <vt:lpstr>Sheet6</vt:lpstr>
      <vt:lpstr>Sheet8</vt:lpstr>
      <vt:lpstr>Data</vt:lpstr>
      <vt:lpstr>Sheet3</vt:lpstr>
      <vt:lpstr>Sheet5</vt:lpstr>
      <vt:lpstr>Sheet4</vt:lpstr>
      <vt:lpstr>Questions &amp; KPIs</vt:lpstr>
      <vt:lpstr>Logo &amp; Colors</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david thuo</cp:lastModifiedBy>
  <dcterms:created xsi:type="dcterms:W3CDTF">2025-06-13T02:42:26Z</dcterms:created>
  <dcterms:modified xsi:type="dcterms:W3CDTF">2025-12-05T09:27:31Z</dcterms:modified>
</cp:coreProperties>
</file>